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codeName="ThisWorkbook" defaultThemeVersion="166925"/>
  <mc:AlternateContent xmlns:mc="http://schemas.openxmlformats.org/markup-compatibility/2006">
    <mc:Choice Requires="x15">
      <x15ac:absPath xmlns:x15ac="http://schemas.microsoft.com/office/spreadsheetml/2010/11/ac" url="https://d.docs.live.net/aff4865fe465e31e/Documentos/ACTION PLAN 2025/BENUE SUBEB ACTION PLAN WITH ATTACHMENTS/"/>
    </mc:Choice>
  </mc:AlternateContent>
  <xr:revisionPtr revIDLastSave="63" documentId="13_ncr:1_{2FE4B788-9DC8-4E49-8D58-91A88FCC5E54}" xr6:coauthVersionLast="47" xr6:coauthVersionMax="47" xr10:uidLastSave="{8DF2E869-6BB9-46CC-A3EE-8C0514EFCE2E}"/>
  <bookViews>
    <workbookView minimized="1" xWindow="5220" yWindow="3120" windowWidth="15375" windowHeight="7785" activeTab="1" xr2:uid="{00000000-000D-0000-FFFF-FFFF00000000}"/>
  </bookViews>
  <sheets>
    <sheet name="Welcome Page" sheetId="1" r:id="rId1"/>
    <sheet name="Infrastructure Projects" sheetId="10" r:id="rId2"/>
    <sheet name="Description of sheets" sheetId="17" state="hidden" r:id="rId3"/>
    <sheet name="Pillar 1 - Access" sheetId="21" r:id="rId4"/>
    <sheet name="Sports Development" sheetId="23" r:id="rId5"/>
    <sheet name="GSCCS" sheetId="25" r:id="rId6"/>
    <sheet name="Pillar 2 - Quality" sheetId="4" r:id="rId7"/>
    <sheet name="Pillar 3 - Systems Optimization" sheetId="6" r:id="rId8"/>
    <sheet name="Unit Cost Set-Up" sheetId="22" state="hidden" r:id="rId9"/>
    <sheet name="Activity costing " sheetId="11" state="hidden" r:id="rId10"/>
    <sheet name="Total budget summary" sheetId="16" r:id="rId11"/>
    <sheet name="HOPE-DLI " sheetId="26" r:id="rId12"/>
  </sheets>
  <definedNames>
    <definedName name="_xlnm.Print_Area" localSheetId="10">'Total budget summary'!$A$1:$AF$108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224" i="4" l="1"/>
  <c r="L224" i="4"/>
  <c r="D223" i="4"/>
  <c r="M224" i="4"/>
  <c r="O224" i="4"/>
  <c r="P508" i="25"/>
  <c r="P507" i="25"/>
  <c r="P506" i="25"/>
  <c r="P505" i="25"/>
  <c r="P504" i="25"/>
  <c r="P503" i="25"/>
  <c r="P502" i="25"/>
  <c r="P501" i="25"/>
  <c r="P500" i="25"/>
  <c r="P499" i="25"/>
  <c r="P498" i="25"/>
  <c r="P497" i="25"/>
  <c r="P496" i="25"/>
  <c r="P495" i="25"/>
  <c r="P494" i="25"/>
  <c r="P493" i="25"/>
  <c r="P492" i="25"/>
  <c r="P491" i="25"/>
  <c r="P490" i="25"/>
  <c r="P489" i="25"/>
  <c r="P488" i="25"/>
  <c r="P487" i="25"/>
  <c r="P486" i="25"/>
  <c r="P485" i="25"/>
  <c r="P484" i="25"/>
  <c r="P483" i="25"/>
  <c r="P482" i="25"/>
  <c r="P481" i="25"/>
  <c r="P480" i="25"/>
  <c r="P479" i="25"/>
  <c r="P478" i="25"/>
  <c r="P477" i="25"/>
  <c r="P476" i="25"/>
  <c r="P475" i="25"/>
  <c r="P474" i="25"/>
  <c r="P473" i="25"/>
  <c r="P472" i="25"/>
  <c r="P471" i="25"/>
  <c r="P470" i="25"/>
  <c r="P469" i="25"/>
  <c r="P468" i="25"/>
  <c r="P467" i="25"/>
  <c r="P466" i="25"/>
  <c r="P465" i="25"/>
  <c r="P464" i="25"/>
  <c r="P463" i="25"/>
  <c r="P462" i="25"/>
  <c r="P461" i="25"/>
  <c r="P460" i="25"/>
  <c r="P459" i="25"/>
  <c r="P458" i="25"/>
  <c r="P457" i="25"/>
  <c r="P456" i="25"/>
  <c r="P455" i="25"/>
  <c r="P454" i="25"/>
  <c r="P453" i="25"/>
  <c r="P452" i="25"/>
  <c r="P451" i="25"/>
  <c r="P450" i="25"/>
  <c r="P449" i="25"/>
  <c r="P448" i="25"/>
  <c r="P447" i="25"/>
  <c r="D222" i="4"/>
  <c r="D221" i="4"/>
  <c r="P438" i="25"/>
  <c r="P437" i="25"/>
  <c r="P436" i="25"/>
  <c r="P435" i="25"/>
  <c r="P434" i="25"/>
  <c r="P433" i="25"/>
  <c r="P432" i="25"/>
  <c r="P431" i="25"/>
  <c r="P430" i="25"/>
  <c r="P429" i="25"/>
  <c r="P428" i="25"/>
  <c r="P427" i="25"/>
  <c r="P426" i="25"/>
  <c r="P425" i="25"/>
  <c r="P424" i="25"/>
  <c r="P423" i="25"/>
  <c r="P422" i="25"/>
  <c r="P421" i="25"/>
  <c r="P420" i="25"/>
  <c r="P419" i="25"/>
  <c r="P418" i="25"/>
  <c r="P417" i="25"/>
  <c r="P416" i="25"/>
  <c r="P415" i="25"/>
  <c r="P414" i="25"/>
  <c r="P413" i="25"/>
  <c r="P412" i="25"/>
  <c r="P411" i="25"/>
  <c r="P410" i="25"/>
  <c r="P409" i="25"/>
  <c r="P408" i="25"/>
  <c r="P407" i="25"/>
  <c r="P406" i="25"/>
  <c r="P405" i="25"/>
  <c r="P404" i="25"/>
  <c r="P403" i="25"/>
  <c r="P402" i="25"/>
  <c r="P401" i="25"/>
  <c r="P400" i="25"/>
  <c r="P399" i="25"/>
  <c r="P398" i="25"/>
  <c r="P397" i="25"/>
  <c r="P396" i="25"/>
  <c r="P395" i="25"/>
  <c r="P394" i="25"/>
  <c r="P393" i="25"/>
  <c r="P392" i="25"/>
  <c r="P391" i="25"/>
  <c r="P390" i="25"/>
  <c r="P389" i="25"/>
  <c r="P388" i="25"/>
  <c r="P387" i="25"/>
  <c r="P386" i="25"/>
  <c r="P385" i="25"/>
  <c r="P384" i="25"/>
  <c r="P383" i="25"/>
  <c r="P382" i="25"/>
  <c r="P381" i="25"/>
  <c r="P380" i="25"/>
  <c r="P379" i="25"/>
  <c r="P378" i="25"/>
  <c r="P377" i="25"/>
  <c r="P306" i="25"/>
  <c r="P346" i="25"/>
  <c r="P347" i="25"/>
  <c r="P348" i="25"/>
  <c r="P349" i="25"/>
  <c r="P350" i="25"/>
  <c r="P351" i="25"/>
  <c r="P352" i="25"/>
  <c r="P353" i="25"/>
  <c r="P354" i="25"/>
  <c r="P355" i="25"/>
  <c r="P356" i="25"/>
  <c r="P357" i="25"/>
  <c r="P358" i="25"/>
  <c r="P359" i="25"/>
  <c r="P360" i="25"/>
  <c r="P361" i="25"/>
  <c r="P362" i="25"/>
  <c r="P363" i="25"/>
  <c r="P364" i="25"/>
  <c r="P365" i="25"/>
  <c r="P366" i="25"/>
  <c r="P367" i="25"/>
  <c r="P345" i="25"/>
  <c r="P344" i="25"/>
  <c r="P343" i="25"/>
  <c r="P342" i="25"/>
  <c r="P341" i="25"/>
  <c r="P340" i="25"/>
  <c r="P339" i="25"/>
  <c r="P338" i="25"/>
  <c r="P337" i="25"/>
  <c r="P336" i="25"/>
  <c r="P335" i="25"/>
  <c r="P334" i="25"/>
  <c r="P333" i="25"/>
  <c r="P332" i="25"/>
  <c r="P331" i="25"/>
  <c r="P330" i="25"/>
  <c r="P329" i="25"/>
  <c r="P328" i="25"/>
  <c r="P327" i="25"/>
  <c r="P326" i="25"/>
  <c r="P325" i="25"/>
  <c r="P324" i="25"/>
  <c r="P323" i="25"/>
  <c r="P322" i="25"/>
  <c r="P321" i="25"/>
  <c r="P320" i="25"/>
  <c r="P319" i="25"/>
  <c r="P318" i="25"/>
  <c r="P317" i="25"/>
  <c r="P316" i="25"/>
  <c r="P315" i="25"/>
  <c r="P314" i="25"/>
  <c r="P313" i="25"/>
  <c r="P312" i="25"/>
  <c r="P311" i="25"/>
  <c r="P310" i="25"/>
  <c r="P309" i="25"/>
  <c r="P308" i="25"/>
  <c r="P307" i="25"/>
  <c r="P1525" i="10"/>
  <c r="P1526" i="10"/>
  <c r="P1527" i="10"/>
  <c r="P1528" i="10"/>
  <c r="P1529" i="10"/>
  <c r="P1530" i="10"/>
  <c r="P1531" i="10"/>
  <c r="P1532" i="10"/>
  <c r="P1533" i="10"/>
  <c r="P1534" i="10"/>
  <c r="P1535" i="10"/>
  <c r="P1536" i="10"/>
  <c r="P1537" i="10"/>
  <c r="P1538" i="10"/>
  <c r="P1539" i="10"/>
  <c r="P1540" i="10"/>
  <c r="P1541" i="10"/>
  <c r="P1542" i="10"/>
  <c r="P1543" i="10"/>
  <c r="P1544" i="10"/>
  <c r="P1545" i="10"/>
  <c r="P1546" i="10"/>
  <c r="P1547" i="10"/>
  <c r="P1548" i="10"/>
  <c r="P1549" i="10"/>
  <c r="P1550" i="10"/>
  <c r="P1551" i="10"/>
  <c r="P1552" i="10"/>
  <c r="P1553" i="10"/>
  <c r="P1554" i="10"/>
  <c r="P1555" i="10"/>
  <c r="P1556" i="10"/>
  <c r="P1557" i="10"/>
  <c r="P1558" i="10"/>
  <c r="P1559" i="10"/>
  <c r="P1560" i="10"/>
  <c r="P1561" i="10"/>
  <c r="P1562" i="10"/>
  <c r="P1563" i="10"/>
  <c r="P1564" i="10"/>
  <c r="P1565" i="10"/>
  <c r="P1566" i="10"/>
  <c r="P1567" i="10"/>
  <c r="P1568" i="10"/>
  <c r="P1569" i="10"/>
  <c r="P1570" i="10"/>
  <c r="P1571" i="10"/>
  <c r="P1572" i="10"/>
  <c r="P1573" i="10"/>
  <c r="P1574" i="10"/>
  <c r="P1575" i="10"/>
  <c r="P1576" i="10"/>
  <c r="P1577" i="10"/>
  <c r="P1578" i="10"/>
  <c r="P1579" i="10"/>
  <c r="P1580" i="10"/>
  <c r="P1581" i="10"/>
  <c r="P1582" i="10"/>
  <c r="P1583" i="10"/>
  <c r="P1584" i="10"/>
  <c r="P1585" i="10"/>
  <c r="P1586" i="10"/>
  <c r="P1587" i="10"/>
  <c r="P1588" i="10"/>
  <c r="P1589" i="10"/>
  <c r="P1590" i="10"/>
  <c r="P1591" i="10"/>
  <c r="P1592" i="10"/>
  <c r="P1593" i="10"/>
  <c r="P1594" i="10"/>
  <c r="P1595" i="10"/>
  <c r="P1596" i="10"/>
  <c r="P1597" i="10"/>
  <c r="P1598" i="10"/>
  <c r="P1599" i="10"/>
  <c r="P1600" i="10"/>
  <c r="P1601" i="10"/>
  <c r="P1602" i="10"/>
  <c r="P1603" i="10"/>
  <c r="P1604" i="10"/>
  <c r="P1605" i="10"/>
  <c r="P1606" i="10"/>
  <c r="P1607" i="10"/>
  <c r="P1608" i="10"/>
  <c r="P1609" i="10"/>
  <c r="P1610" i="10"/>
  <c r="P1611" i="10"/>
  <c r="P1612" i="10"/>
  <c r="P1613" i="10"/>
  <c r="P1614" i="10"/>
  <c r="P1615" i="10"/>
  <c r="P1616" i="10"/>
  <c r="P1617" i="10"/>
  <c r="P1618" i="10"/>
  <c r="P1619" i="10"/>
  <c r="P1620" i="10"/>
  <c r="P1621" i="10"/>
  <c r="P1622" i="10"/>
  <c r="P1623" i="10"/>
  <c r="P1624" i="10"/>
  <c r="P1625" i="10"/>
  <c r="P1626" i="10"/>
  <c r="P1627" i="10"/>
  <c r="P1628" i="10"/>
  <c r="P1629" i="10"/>
  <c r="P1630" i="10"/>
  <c r="P1631" i="10"/>
  <c r="P1632" i="10"/>
  <c r="P1633" i="10"/>
  <c r="P1634" i="10"/>
  <c r="P1635" i="10"/>
  <c r="P1636" i="10"/>
  <c r="P1637" i="10"/>
  <c r="P1638" i="10"/>
  <c r="P1639" i="10"/>
  <c r="P1640" i="10"/>
  <c r="P1641" i="10"/>
  <c r="P1642" i="10"/>
  <c r="P1643" i="10"/>
  <c r="P1644" i="10"/>
  <c r="P1645" i="10"/>
  <c r="P1646" i="10"/>
  <c r="P1647" i="10"/>
  <c r="P1648" i="10"/>
  <c r="P1649" i="10"/>
  <c r="P1650" i="10"/>
  <c r="P1651" i="10"/>
  <c r="P1652" i="10"/>
  <c r="P1653" i="10"/>
  <c r="P1654" i="10"/>
  <c r="P1655" i="10"/>
  <c r="P1656" i="10"/>
  <c r="P1657" i="10"/>
  <c r="P1658" i="10"/>
  <c r="P1659" i="10"/>
  <c r="P1660" i="10"/>
  <c r="P1661" i="10"/>
  <c r="P1662" i="10"/>
  <c r="P1663" i="10"/>
  <c r="P1664" i="10"/>
  <c r="P1665" i="10"/>
  <c r="P1666" i="10"/>
  <c r="P1667" i="10"/>
  <c r="P1668" i="10"/>
  <c r="P1669" i="10"/>
  <c r="P1670" i="10"/>
  <c r="P1671" i="10"/>
  <c r="P1672" i="10"/>
  <c r="P1673" i="10"/>
  <c r="P1674" i="10"/>
  <c r="P1675" i="10"/>
  <c r="P1676" i="10"/>
  <c r="P1677" i="10"/>
  <c r="P1678" i="10"/>
  <c r="P1679" i="10"/>
  <c r="P1680" i="10"/>
  <c r="P1681" i="10"/>
  <c r="P1682" i="10"/>
  <c r="P1683" i="10"/>
  <c r="P1684" i="10"/>
  <c r="P1685" i="10"/>
  <c r="P1686" i="10"/>
  <c r="P1687" i="10"/>
  <c r="P1688" i="10"/>
  <c r="P1689" i="10"/>
  <c r="P1690" i="10"/>
  <c r="P1691" i="10"/>
  <c r="P1692" i="10"/>
  <c r="P1693" i="10"/>
  <c r="P1694" i="10"/>
  <c r="P1695" i="10"/>
  <c r="P1696" i="10"/>
  <c r="P1697" i="10"/>
  <c r="P1698" i="10"/>
  <c r="P1699" i="10"/>
  <c r="P1700" i="10"/>
  <c r="P1701" i="10"/>
  <c r="P1702" i="10"/>
  <c r="P1703" i="10"/>
  <c r="P1704" i="10"/>
  <c r="P1705" i="10"/>
  <c r="P1706" i="10"/>
  <c r="P1707" i="10"/>
  <c r="P1708" i="10"/>
  <c r="P1709" i="10"/>
  <c r="P1710" i="10"/>
  <c r="P1711" i="10"/>
  <c r="P1712" i="10"/>
  <c r="P1713" i="10"/>
  <c r="P1714" i="10"/>
  <c r="P1715" i="10"/>
  <c r="P1716" i="10"/>
  <c r="P1717" i="10"/>
  <c r="P1718" i="10"/>
  <c r="P1719" i="10"/>
  <c r="P1720" i="10"/>
  <c r="P1721" i="10"/>
  <c r="P1722" i="10"/>
  <c r="P1723" i="10"/>
  <c r="P1724" i="10"/>
  <c r="U802" i="10"/>
  <c r="U803" i="10"/>
  <c r="U804" i="10"/>
  <c r="U805" i="10"/>
  <c r="U806" i="10"/>
  <c r="U807" i="10"/>
  <c r="U808" i="10"/>
  <c r="U809" i="10"/>
  <c r="U810" i="10"/>
  <c r="U811" i="10"/>
  <c r="U812" i="10"/>
  <c r="U813" i="10"/>
  <c r="U814" i="10"/>
  <c r="U815" i="10"/>
  <c r="U816" i="10"/>
  <c r="U817" i="10"/>
  <c r="U818" i="10"/>
  <c r="U819" i="10"/>
  <c r="U820" i="10"/>
  <c r="U821" i="10"/>
  <c r="U822" i="10"/>
  <c r="U823" i="10"/>
  <c r="U824" i="10"/>
  <c r="U825" i="10"/>
  <c r="U826" i="10"/>
  <c r="U827" i="10"/>
  <c r="U828" i="10"/>
  <c r="U829" i="10"/>
  <c r="U830" i="10"/>
  <c r="U831" i="10"/>
  <c r="U832" i="10"/>
  <c r="U833" i="10"/>
  <c r="U834" i="10"/>
  <c r="U835" i="10"/>
  <c r="U836" i="10"/>
  <c r="U837" i="10"/>
  <c r="U838" i="10"/>
  <c r="U839" i="10"/>
  <c r="U840" i="10"/>
  <c r="U841" i="10"/>
  <c r="U842" i="10"/>
  <c r="U843" i="10"/>
  <c r="U844" i="10"/>
  <c r="U845" i="10"/>
  <c r="U846" i="10"/>
  <c r="U847" i="10"/>
  <c r="U848" i="10"/>
  <c r="U849" i="10"/>
  <c r="U850" i="10"/>
  <c r="U851" i="10"/>
  <c r="U852" i="10"/>
  <c r="U853" i="10"/>
  <c r="U854" i="10"/>
  <c r="U855" i="10"/>
  <c r="U856" i="10"/>
  <c r="U857" i="10"/>
  <c r="U858" i="10"/>
  <c r="U859" i="10"/>
  <c r="U860" i="10"/>
  <c r="U861" i="10"/>
  <c r="U862" i="10"/>
  <c r="U863" i="10"/>
  <c r="U864" i="10"/>
  <c r="U865" i="10"/>
  <c r="U866" i="10"/>
  <c r="U867" i="10"/>
  <c r="U868" i="10"/>
  <c r="U869" i="10"/>
  <c r="U870" i="10"/>
  <c r="U871" i="10"/>
  <c r="U872" i="10"/>
  <c r="U873" i="10"/>
  <c r="U874" i="10"/>
  <c r="U875" i="10"/>
  <c r="U876" i="10"/>
  <c r="U877" i="10"/>
  <c r="U878" i="10"/>
  <c r="U879" i="10"/>
  <c r="U880" i="10"/>
  <c r="U881" i="10"/>
  <c r="U882" i="10"/>
  <c r="U883" i="10"/>
  <c r="U884" i="10"/>
  <c r="U885" i="10"/>
  <c r="U886" i="10"/>
  <c r="U887" i="10"/>
  <c r="U888" i="10"/>
  <c r="U889" i="10"/>
  <c r="U890" i="10"/>
  <c r="U891" i="10"/>
  <c r="U892" i="10"/>
  <c r="U893" i="10"/>
  <c r="U894" i="10"/>
  <c r="U895" i="10"/>
  <c r="U896" i="10"/>
  <c r="U897" i="10"/>
  <c r="U898" i="10"/>
  <c r="U899" i="10"/>
  <c r="U900" i="10"/>
  <c r="U901" i="10"/>
  <c r="U902" i="10"/>
  <c r="U903" i="10"/>
  <c r="U904" i="10"/>
  <c r="U905" i="10"/>
  <c r="U906" i="10"/>
  <c r="U907" i="10"/>
  <c r="U908" i="10"/>
  <c r="U909" i="10"/>
  <c r="U910" i="10"/>
  <c r="U911" i="10"/>
  <c r="U912" i="10"/>
  <c r="U913" i="10"/>
  <c r="U914" i="10"/>
  <c r="U915" i="10"/>
  <c r="U916" i="10"/>
  <c r="U917" i="10"/>
  <c r="U918" i="10"/>
  <c r="U919" i="10"/>
  <c r="U920" i="10"/>
  <c r="U921" i="10"/>
  <c r="U922" i="10"/>
  <c r="U923" i="10"/>
  <c r="U924" i="10"/>
  <c r="U925" i="10"/>
  <c r="U926" i="10"/>
  <c r="U927" i="10"/>
  <c r="U928" i="10"/>
  <c r="U929" i="10"/>
  <c r="U930" i="10"/>
  <c r="U931" i="10"/>
  <c r="U932" i="10"/>
  <c r="U933" i="10"/>
  <c r="U934" i="10"/>
  <c r="U935" i="10"/>
  <c r="U936" i="10"/>
  <c r="U937" i="10"/>
  <c r="U938" i="10"/>
  <c r="U939" i="10"/>
  <c r="U940" i="10"/>
  <c r="U941" i="10"/>
  <c r="U942" i="10"/>
  <c r="U943" i="10"/>
  <c r="U944" i="10"/>
  <c r="U945" i="10"/>
  <c r="U946" i="10"/>
  <c r="U947" i="10"/>
  <c r="U948" i="10"/>
  <c r="U949" i="10"/>
  <c r="U950" i="10"/>
  <c r="U951" i="10"/>
  <c r="P1261" i="10"/>
  <c r="P1061" i="10"/>
  <c r="P1062" i="10"/>
  <c r="P1063" i="10"/>
  <c r="P1064" i="10"/>
  <c r="P1065" i="10"/>
  <c r="P1066" i="10"/>
  <c r="P1067" i="10"/>
  <c r="P1068" i="10"/>
  <c r="P1069" i="10"/>
  <c r="P1070" i="10"/>
  <c r="P1071" i="10"/>
  <c r="P1072" i="10"/>
  <c r="P1073" i="10"/>
  <c r="P1074" i="10"/>
  <c r="P1075" i="10"/>
  <c r="P1076" i="10"/>
  <c r="P1077" i="10"/>
  <c r="P1078" i="10"/>
  <c r="P1079" i="10"/>
  <c r="P1080" i="10"/>
  <c r="P1081" i="10"/>
  <c r="P1082" i="10"/>
  <c r="P1083" i="10"/>
  <c r="P1084" i="10"/>
  <c r="P1085" i="10"/>
  <c r="P1086" i="10"/>
  <c r="P1087" i="10"/>
  <c r="P1088" i="10"/>
  <c r="P1089" i="10"/>
  <c r="P1090" i="10"/>
  <c r="P1091" i="10"/>
  <c r="P1092" i="10"/>
  <c r="P1093" i="10"/>
  <c r="P1094" i="10"/>
  <c r="P1095" i="10"/>
  <c r="P1096" i="10"/>
  <c r="P1097" i="10"/>
  <c r="P1098" i="10"/>
  <c r="P1099" i="10"/>
  <c r="P1100" i="10"/>
  <c r="P1101" i="10"/>
  <c r="P1102" i="10"/>
  <c r="P1103" i="10"/>
  <c r="P1104" i="10"/>
  <c r="P1105" i="10"/>
  <c r="P1106" i="10"/>
  <c r="P1107" i="10"/>
  <c r="P1108" i="10"/>
  <c r="P1109" i="10"/>
  <c r="P1110" i="10"/>
  <c r="P1111" i="10"/>
  <c r="P1112" i="10"/>
  <c r="P1113" i="10"/>
  <c r="P1114" i="10"/>
  <c r="P1115" i="10"/>
  <c r="P1116" i="10"/>
  <c r="P1117" i="10"/>
  <c r="P1118" i="10"/>
  <c r="P1119" i="10"/>
  <c r="P1120" i="10"/>
  <c r="P1121" i="10"/>
  <c r="P1122" i="10"/>
  <c r="P1123" i="10"/>
  <c r="P1124" i="10"/>
  <c r="P1125" i="10"/>
  <c r="P1126" i="10"/>
  <c r="P1127" i="10"/>
  <c r="P1128" i="10"/>
  <c r="P1129" i="10"/>
  <c r="P1130" i="10"/>
  <c r="P1131" i="10"/>
  <c r="P1132" i="10"/>
  <c r="P1133" i="10"/>
  <c r="P1134" i="10"/>
  <c r="P1135" i="10"/>
  <c r="P1136" i="10"/>
  <c r="P1137" i="10"/>
  <c r="P1138" i="10"/>
  <c r="P1139" i="10"/>
  <c r="P1140" i="10"/>
  <c r="P1141" i="10"/>
  <c r="P1142" i="10"/>
  <c r="P1143" i="10"/>
  <c r="P1144" i="10"/>
  <c r="P1145" i="10"/>
  <c r="P1146" i="10"/>
  <c r="P1147" i="10"/>
  <c r="P1148" i="10"/>
  <c r="P1149" i="10"/>
  <c r="P1150" i="10"/>
  <c r="P1151" i="10"/>
  <c r="P1152" i="10"/>
  <c r="P1153" i="10"/>
  <c r="P1154" i="10"/>
  <c r="P1155" i="10"/>
  <c r="P1156" i="10"/>
  <c r="P1157" i="10"/>
  <c r="P1158" i="10"/>
  <c r="P1159" i="10"/>
  <c r="P1160" i="10"/>
  <c r="P1161" i="10"/>
  <c r="P1162" i="10"/>
  <c r="P1163" i="10"/>
  <c r="P1164" i="10"/>
  <c r="P1165" i="10"/>
  <c r="P1166" i="10"/>
  <c r="P1167" i="10"/>
  <c r="P1168" i="10"/>
  <c r="P1169" i="10"/>
  <c r="P1170" i="10"/>
  <c r="P1171" i="10"/>
  <c r="P1172" i="10"/>
  <c r="P1173" i="10"/>
  <c r="P1174" i="10"/>
  <c r="P1175" i="10"/>
  <c r="P1176" i="10"/>
  <c r="P1177" i="10"/>
  <c r="P1178" i="10"/>
  <c r="P1179" i="10"/>
  <c r="P1180" i="10"/>
  <c r="P1181" i="10"/>
  <c r="P1182" i="10"/>
  <c r="P1183" i="10"/>
  <c r="P1184" i="10"/>
  <c r="P1185" i="10"/>
  <c r="P1186" i="10"/>
  <c r="P1187" i="10"/>
  <c r="P1188" i="10"/>
  <c r="P1189" i="10"/>
  <c r="P1190" i="10"/>
  <c r="P1191" i="10"/>
  <c r="P1192" i="10"/>
  <c r="P1193" i="10"/>
  <c r="P1194" i="10"/>
  <c r="P1195" i="10"/>
  <c r="P1196" i="10"/>
  <c r="P1197" i="10"/>
  <c r="P1198" i="10"/>
  <c r="P1199" i="10"/>
  <c r="P1200" i="10"/>
  <c r="P1201" i="10"/>
  <c r="P1202" i="10"/>
  <c r="P1203" i="10"/>
  <c r="P1204" i="10"/>
  <c r="P1205" i="10"/>
  <c r="P1206" i="10"/>
  <c r="P1207" i="10"/>
  <c r="P1208" i="10"/>
  <c r="P1209" i="10"/>
  <c r="P1210" i="10"/>
  <c r="P1211" i="10"/>
  <c r="P1212" i="10"/>
  <c r="P1213" i="10"/>
  <c r="P1214" i="10"/>
  <c r="P1215" i="10"/>
  <c r="P1216" i="10"/>
  <c r="P1217" i="10"/>
  <c r="P1218" i="10"/>
  <c r="P1219" i="10"/>
  <c r="P1220" i="10"/>
  <c r="P1221" i="10"/>
  <c r="P1222" i="10"/>
  <c r="P1223" i="10"/>
  <c r="P1224" i="10"/>
  <c r="P1225" i="10"/>
  <c r="P1226" i="10"/>
  <c r="P1227" i="10"/>
  <c r="P1228" i="10"/>
  <c r="P1229" i="10"/>
  <c r="P1230" i="10"/>
  <c r="P1231" i="10"/>
  <c r="P1232" i="10"/>
  <c r="P1233" i="10"/>
  <c r="P1234" i="10"/>
  <c r="P1235" i="10"/>
  <c r="P1236" i="10"/>
  <c r="P1237" i="10"/>
  <c r="P1238" i="10"/>
  <c r="P1239" i="10"/>
  <c r="P1240" i="10"/>
  <c r="P1241" i="10"/>
  <c r="P1242" i="10"/>
  <c r="P1243" i="10"/>
  <c r="P1244" i="10"/>
  <c r="P1245" i="10"/>
  <c r="P1246" i="10"/>
  <c r="P1247" i="10"/>
  <c r="P1248" i="10"/>
  <c r="P1249" i="10"/>
  <c r="P1250" i="10"/>
  <c r="P1251" i="10"/>
  <c r="P1252" i="10"/>
  <c r="P1253" i="10"/>
  <c r="P1254" i="10"/>
  <c r="P1255" i="10"/>
  <c r="P1256" i="10"/>
  <c r="P1257" i="10"/>
  <c r="P1258" i="10"/>
  <c r="P1259" i="10"/>
  <c r="P1260" i="10"/>
  <c r="C2" i="16"/>
  <c r="P443" i="25" l="1"/>
  <c r="I223" i="4" s="1"/>
  <c r="S223" i="4" s="1"/>
  <c r="P373" i="25"/>
  <c r="I222" i="4" s="1"/>
  <c r="S222" i="4" s="1"/>
  <c r="P302" i="25"/>
  <c r="I221" i="4" s="1"/>
  <c r="S221" i="4" s="1"/>
  <c r="E85" i="16"/>
  <c r="D85" i="16"/>
  <c r="C85" i="16"/>
  <c r="E84" i="16"/>
  <c r="D84" i="16"/>
  <c r="C84" i="16"/>
  <c r="E83" i="16"/>
  <c r="D83" i="16"/>
  <c r="C83" i="16"/>
  <c r="C82" i="16"/>
  <c r="D82" i="16"/>
  <c r="E82" i="16"/>
  <c r="E81" i="16"/>
  <c r="D81" i="16"/>
  <c r="C81" i="16"/>
  <c r="E80" i="16"/>
  <c r="D80" i="16"/>
  <c r="C80" i="16"/>
  <c r="E79" i="16"/>
  <c r="D79" i="16"/>
  <c r="C79" i="16"/>
  <c r="E78" i="16"/>
  <c r="D78" i="16"/>
  <c r="C78" i="16"/>
  <c r="E75" i="16"/>
  <c r="D75" i="16"/>
  <c r="C75" i="16"/>
  <c r="C74" i="16"/>
  <c r="C73" i="16"/>
  <c r="C72" i="16"/>
  <c r="D74" i="16"/>
  <c r="D73" i="16"/>
  <c r="D72" i="16"/>
  <c r="E74" i="16"/>
  <c r="E73" i="16"/>
  <c r="E72" i="16"/>
  <c r="E71" i="16"/>
  <c r="D71" i="16"/>
  <c r="C71" i="16"/>
  <c r="C70" i="16"/>
  <c r="E70" i="16"/>
  <c r="D70" i="16"/>
  <c r="C108" i="16" l="1"/>
  <c r="C107" i="16"/>
  <c r="C106" i="16"/>
  <c r="C102" i="16"/>
  <c r="C101" i="16"/>
  <c r="C100" i="16"/>
  <c r="C97" i="16"/>
  <c r="C96" i="16"/>
  <c r="C95" i="16"/>
  <c r="D57" i="4"/>
  <c r="P1725" i="10"/>
  <c r="P1524" i="10"/>
  <c r="P1523" i="10"/>
  <c r="P1522" i="10"/>
  <c r="P1521" i="10"/>
  <c r="P1520" i="10"/>
  <c r="P1519" i="10"/>
  <c r="P1518" i="10"/>
  <c r="P1517" i="10"/>
  <c r="P1516" i="10"/>
  <c r="P1515" i="10"/>
  <c r="P1514" i="10"/>
  <c r="P1513" i="10"/>
  <c r="P1512" i="10"/>
  <c r="P1511" i="10"/>
  <c r="P1510" i="10"/>
  <c r="P1509" i="10"/>
  <c r="P1508" i="10"/>
  <c r="P1507" i="10"/>
  <c r="P1506" i="10"/>
  <c r="P1505" i="10"/>
  <c r="P1504" i="10"/>
  <c r="P1503" i="10"/>
  <c r="P1502" i="10"/>
  <c r="P1501" i="10"/>
  <c r="P1500" i="10"/>
  <c r="P1499" i="10"/>
  <c r="P1498" i="10"/>
  <c r="P1497" i="10"/>
  <c r="P1496" i="10"/>
  <c r="P1495" i="10"/>
  <c r="P1494" i="10"/>
  <c r="P1493" i="10"/>
  <c r="P1492" i="10"/>
  <c r="P1491" i="10"/>
  <c r="P1490" i="10"/>
  <c r="P1489" i="10"/>
  <c r="P1488" i="10"/>
  <c r="P1487" i="10"/>
  <c r="P1486" i="10"/>
  <c r="P1485" i="10"/>
  <c r="P1484" i="10"/>
  <c r="P1483" i="10"/>
  <c r="P1482" i="10"/>
  <c r="P1481" i="10"/>
  <c r="P1480" i="10"/>
  <c r="P1479" i="10"/>
  <c r="P1478" i="10"/>
  <c r="P1477" i="10"/>
  <c r="P1476" i="10"/>
  <c r="P1475" i="10"/>
  <c r="P1474" i="10"/>
  <c r="P1473" i="10"/>
  <c r="P1472" i="10"/>
  <c r="P1471" i="10"/>
  <c r="P1470" i="10"/>
  <c r="P1469" i="10"/>
  <c r="P1468" i="10"/>
  <c r="P1467" i="10"/>
  <c r="P1466" i="10"/>
  <c r="P1465" i="10"/>
  <c r="P1464" i="10"/>
  <c r="P1463" i="10"/>
  <c r="P1462" i="10"/>
  <c r="P1461" i="10"/>
  <c r="P1460" i="10"/>
  <c r="P1459" i="10"/>
  <c r="P1458" i="10"/>
  <c r="P1457" i="10"/>
  <c r="P1456" i="10"/>
  <c r="P1455" i="10"/>
  <c r="P1454" i="10"/>
  <c r="P1453" i="10"/>
  <c r="P1452" i="10"/>
  <c r="P1451" i="10"/>
  <c r="P1450" i="10"/>
  <c r="P1449" i="10"/>
  <c r="P1448" i="10"/>
  <c r="P1447" i="10"/>
  <c r="P1446" i="10"/>
  <c r="P1445" i="10"/>
  <c r="P1444" i="10"/>
  <c r="P1443" i="10"/>
  <c r="P1442" i="10"/>
  <c r="P1441" i="10"/>
  <c r="P1440" i="10"/>
  <c r="P1439" i="10"/>
  <c r="P1438" i="10"/>
  <c r="P1437" i="10"/>
  <c r="P1436" i="10"/>
  <c r="P1435" i="10"/>
  <c r="P1434" i="10"/>
  <c r="P1433" i="10"/>
  <c r="P1432" i="10"/>
  <c r="P1431" i="10"/>
  <c r="P1430" i="10"/>
  <c r="P1429" i="10"/>
  <c r="P1428" i="10"/>
  <c r="P1427" i="10"/>
  <c r="P1426" i="10"/>
  <c r="P1425" i="10"/>
  <c r="R1376" i="10"/>
  <c r="R1377" i="10"/>
  <c r="R1378" i="10"/>
  <c r="R1379" i="10"/>
  <c r="R1380" i="10"/>
  <c r="R1381" i="10"/>
  <c r="R1382" i="10"/>
  <c r="R1383" i="10"/>
  <c r="R1384" i="10"/>
  <c r="R1385" i="10"/>
  <c r="R1386" i="10"/>
  <c r="R1387" i="10"/>
  <c r="R1388" i="10"/>
  <c r="R1389" i="10"/>
  <c r="R1390" i="10"/>
  <c r="R1391" i="10"/>
  <c r="R1392" i="10"/>
  <c r="R1393" i="10"/>
  <c r="R1394" i="10"/>
  <c r="R1395" i="10"/>
  <c r="R1396" i="10"/>
  <c r="R1397" i="10"/>
  <c r="R1398" i="10"/>
  <c r="R1399" i="10"/>
  <c r="R1400" i="10"/>
  <c r="R1401" i="10"/>
  <c r="R1402" i="10"/>
  <c r="R1403" i="10"/>
  <c r="R1404" i="10"/>
  <c r="R1405" i="10"/>
  <c r="R1406" i="10"/>
  <c r="R1407" i="10"/>
  <c r="R1408" i="10"/>
  <c r="R1409" i="10"/>
  <c r="R1410" i="10"/>
  <c r="R1411" i="10"/>
  <c r="R1412" i="10"/>
  <c r="R1413" i="10"/>
  <c r="R1414" i="10"/>
  <c r="R1375" i="10"/>
  <c r="P1271" i="10"/>
  <c r="P1272" i="10"/>
  <c r="P1273" i="10"/>
  <c r="P1274" i="10"/>
  <c r="P1275" i="10"/>
  <c r="P1276" i="10"/>
  <c r="P1277" i="10"/>
  <c r="P1278" i="10"/>
  <c r="P1279" i="10"/>
  <c r="P1280" i="10"/>
  <c r="P1281" i="10"/>
  <c r="P1282" i="10"/>
  <c r="P1283" i="10"/>
  <c r="P1284" i="10"/>
  <c r="P1285" i="10"/>
  <c r="P1286" i="10"/>
  <c r="P1287" i="10"/>
  <c r="P1288" i="10"/>
  <c r="P1289" i="10"/>
  <c r="P1290" i="10"/>
  <c r="P1291" i="10"/>
  <c r="P1292" i="10"/>
  <c r="P1293" i="10"/>
  <c r="P1294" i="10"/>
  <c r="P1295" i="10"/>
  <c r="P1296" i="10"/>
  <c r="P1297" i="10"/>
  <c r="P1298" i="10"/>
  <c r="P1299" i="10"/>
  <c r="P1300" i="10"/>
  <c r="P1301" i="10"/>
  <c r="P1302" i="10"/>
  <c r="P1303" i="10"/>
  <c r="P1304" i="10"/>
  <c r="P1305" i="10"/>
  <c r="P1306" i="10"/>
  <c r="P1307" i="10"/>
  <c r="P1308" i="10"/>
  <c r="P1309" i="10"/>
  <c r="P1310" i="10"/>
  <c r="P1311" i="10"/>
  <c r="P1312" i="10"/>
  <c r="P1313" i="10"/>
  <c r="P1314" i="10"/>
  <c r="P1315" i="10"/>
  <c r="P1316" i="10"/>
  <c r="P1317" i="10"/>
  <c r="P1318" i="10"/>
  <c r="P1319" i="10"/>
  <c r="P1320" i="10"/>
  <c r="P1321" i="10"/>
  <c r="P1322" i="10"/>
  <c r="P1323" i="10"/>
  <c r="P1324" i="10"/>
  <c r="P1325" i="10"/>
  <c r="P1326" i="10"/>
  <c r="P1327" i="10"/>
  <c r="P1328" i="10"/>
  <c r="P1329" i="10"/>
  <c r="P1330" i="10"/>
  <c r="P1331" i="10"/>
  <c r="P1332" i="10"/>
  <c r="P1333" i="10"/>
  <c r="P1334" i="10"/>
  <c r="P1335" i="10"/>
  <c r="P1336" i="10"/>
  <c r="P1337" i="10"/>
  <c r="P1338" i="10"/>
  <c r="P1339" i="10"/>
  <c r="P1340" i="10"/>
  <c r="P1341" i="10"/>
  <c r="P1342" i="10"/>
  <c r="P1343" i="10"/>
  <c r="P1344" i="10"/>
  <c r="P1345" i="10"/>
  <c r="P1346" i="10"/>
  <c r="P1347" i="10"/>
  <c r="P1348" i="10"/>
  <c r="P1349" i="10"/>
  <c r="P1350" i="10"/>
  <c r="P1351" i="10"/>
  <c r="P1352" i="10"/>
  <c r="P1353" i="10"/>
  <c r="P1354" i="10"/>
  <c r="P1355" i="10"/>
  <c r="P1356" i="10"/>
  <c r="P1357" i="10"/>
  <c r="P1358" i="10"/>
  <c r="P1359" i="10"/>
  <c r="P1360" i="10"/>
  <c r="P1361" i="10"/>
  <c r="P1362" i="10"/>
  <c r="P1363" i="10"/>
  <c r="P1364" i="10"/>
  <c r="P1365" i="10"/>
  <c r="P1366" i="10"/>
  <c r="P1367" i="10"/>
  <c r="P1368" i="10"/>
  <c r="P1369" i="10"/>
  <c r="P1370" i="10"/>
  <c r="U662" i="10"/>
  <c r="U952" i="10"/>
  <c r="U797" i="10"/>
  <c r="U798" i="10"/>
  <c r="U799" i="10"/>
  <c r="U800" i="10"/>
  <c r="U801" i="10"/>
  <c r="U653" i="10"/>
  <c r="U654" i="10"/>
  <c r="U655" i="10"/>
  <c r="U656" i="10"/>
  <c r="U657" i="10"/>
  <c r="U658" i="10"/>
  <c r="U659" i="10"/>
  <c r="U660" i="10"/>
  <c r="U661" i="10"/>
  <c r="U663" i="10"/>
  <c r="U664" i="10"/>
  <c r="U665" i="10"/>
  <c r="U666" i="10"/>
  <c r="U667" i="10"/>
  <c r="U668" i="10"/>
  <c r="U669" i="10"/>
  <c r="U670" i="10"/>
  <c r="U671" i="10"/>
  <c r="U672" i="10"/>
  <c r="U673" i="10"/>
  <c r="U674" i="10"/>
  <c r="U675" i="10"/>
  <c r="U676" i="10"/>
  <c r="U677" i="10"/>
  <c r="U678" i="10"/>
  <c r="U679" i="10"/>
  <c r="U680" i="10"/>
  <c r="U681" i="10"/>
  <c r="U682" i="10"/>
  <c r="U683" i="10"/>
  <c r="U684" i="10"/>
  <c r="U685" i="10"/>
  <c r="U686" i="10"/>
  <c r="U687" i="10"/>
  <c r="U688" i="10"/>
  <c r="U689" i="10"/>
  <c r="U690" i="10"/>
  <c r="U691" i="10"/>
  <c r="U692" i="10"/>
  <c r="U693" i="10"/>
  <c r="U694" i="10"/>
  <c r="U695" i="10"/>
  <c r="U696" i="10"/>
  <c r="U697" i="10"/>
  <c r="U698" i="10"/>
  <c r="U699" i="10"/>
  <c r="U700" i="10"/>
  <c r="U701" i="10"/>
  <c r="U702" i="10"/>
  <c r="U703" i="10"/>
  <c r="U704" i="10"/>
  <c r="U705" i="10"/>
  <c r="U706" i="10"/>
  <c r="U707" i="10"/>
  <c r="U708" i="10"/>
  <c r="U709" i="10"/>
  <c r="U710" i="10"/>
  <c r="U711" i="10"/>
  <c r="U712" i="10"/>
  <c r="U713" i="10"/>
  <c r="U714" i="10"/>
  <c r="U715" i="10"/>
  <c r="U716" i="10"/>
  <c r="U717" i="10"/>
  <c r="U718" i="10"/>
  <c r="U719" i="10"/>
  <c r="U720" i="10"/>
  <c r="U721" i="10"/>
  <c r="U722" i="10"/>
  <c r="U723" i="10"/>
  <c r="U724" i="10"/>
  <c r="U725" i="10"/>
  <c r="U726" i="10"/>
  <c r="U727" i="10"/>
  <c r="U728" i="10"/>
  <c r="U729" i="10"/>
  <c r="U730" i="10"/>
  <c r="U731" i="10"/>
  <c r="U732" i="10"/>
  <c r="U733" i="10"/>
  <c r="U734" i="10"/>
  <c r="U735" i="10"/>
  <c r="U736" i="10"/>
  <c r="U737" i="10"/>
  <c r="U738" i="10"/>
  <c r="U739" i="10"/>
  <c r="U740" i="10"/>
  <c r="U741" i="10"/>
  <c r="U742" i="10"/>
  <c r="U743" i="10"/>
  <c r="U744" i="10"/>
  <c r="U745" i="10"/>
  <c r="U746" i="10"/>
  <c r="U747" i="10"/>
  <c r="U748" i="10"/>
  <c r="U749" i="10"/>
  <c r="U750" i="10"/>
  <c r="U751" i="10"/>
  <c r="U752" i="10"/>
  <c r="U753" i="10"/>
  <c r="U754" i="10"/>
  <c r="U755" i="10"/>
  <c r="U756" i="10"/>
  <c r="U757" i="10"/>
  <c r="U758" i="10"/>
  <c r="U759" i="10"/>
  <c r="U760" i="10"/>
  <c r="U761" i="10"/>
  <c r="U762" i="10"/>
  <c r="U763" i="10"/>
  <c r="U764" i="10"/>
  <c r="U765" i="10"/>
  <c r="U766" i="10"/>
  <c r="U767" i="10"/>
  <c r="U768" i="10"/>
  <c r="U769" i="10"/>
  <c r="U770" i="10"/>
  <c r="U771" i="10"/>
  <c r="U772" i="10"/>
  <c r="U773" i="10"/>
  <c r="U774" i="10"/>
  <c r="U775" i="10"/>
  <c r="U776" i="10"/>
  <c r="U777" i="10"/>
  <c r="U778" i="10"/>
  <c r="U779" i="10"/>
  <c r="U780" i="10"/>
  <c r="U781" i="10"/>
  <c r="U782" i="10"/>
  <c r="U783" i="10"/>
  <c r="U784" i="10"/>
  <c r="U785" i="10"/>
  <c r="U786" i="10"/>
  <c r="U787" i="10"/>
  <c r="U788" i="10"/>
  <c r="U789" i="10"/>
  <c r="U790" i="10"/>
  <c r="U791" i="10"/>
  <c r="U792" i="10"/>
  <c r="U793" i="10"/>
  <c r="U794" i="10"/>
  <c r="U795" i="10"/>
  <c r="U796" i="10"/>
  <c r="U652" i="10"/>
  <c r="O644" i="10"/>
  <c r="O545" i="10"/>
  <c r="O546" i="10"/>
  <c r="O547" i="10"/>
  <c r="O548" i="10"/>
  <c r="O549" i="10"/>
  <c r="O550" i="10"/>
  <c r="O551" i="10"/>
  <c r="O552" i="10"/>
  <c r="O553" i="10"/>
  <c r="O554" i="10"/>
  <c r="O555" i="10"/>
  <c r="O556" i="10"/>
  <c r="O557" i="10"/>
  <c r="O558" i="10"/>
  <c r="O559" i="10"/>
  <c r="O560" i="10"/>
  <c r="O561" i="10"/>
  <c r="O562" i="10"/>
  <c r="O563" i="10"/>
  <c r="O564" i="10"/>
  <c r="O565" i="10"/>
  <c r="O566" i="10"/>
  <c r="O567" i="10"/>
  <c r="O568" i="10"/>
  <c r="O569" i="10"/>
  <c r="O570" i="10"/>
  <c r="O571" i="10"/>
  <c r="O572" i="10"/>
  <c r="O573" i="10"/>
  <c r="O574" i="10"/>
  <c r="O575" i="10"/>
  <c r="O576" i="10"/>
  <c r="O577" i="10"/>
  <c r="O578" i="10"/>
  <c r="O579" i="10"/>
  <c r="O580" i="10"/>
  <c r="O581" i="10"/>
  <c r="O582" i="10"/>
  <c r="O583" i="10"/>
  <c r="O584" i="10"/>
  <c r="O585" i="10"/>
  <c r="O586" i="10"/>
  <c r="O587" i="10"/>
  <c r="O588" i="10"/>
  <c r="O589" i="10"/>
  <c r="O590" i="10"/>
  <c r="O591" i="10"/>
  <c r="O592" i="10"/>
  <c r="O593" i="10"/>
  <c r="O594" i="10"/>
  <c r="O595" i="10"/>
  <c r="O596" i="10"/>
  <c r="O597" i="10"/>
  <c r="O598" i="10"/>
  <c r="O599" i="10"/>
  <c r="O600" i="10"/>
  <c r="O601" i="10"/>
  <c r="O602" i="10"/>
  <c r="O603" i="10"/>
  <c r="O604" i="10"/>
  <c r="O605" i="10"/>
  <c r="O606" i="10"/>
  <c r="O607" i="10"/>
  <c r="O608" i="10"/>
  <c r="O609" i="10"/>
  <c r="O610" i="10"/>
  <c r="O611" i="10"/>
  <c r="O612" i="10"/>
  <c r="O613" i="10"/>
  <c r="O614" i="10"/>
  <c r="O615" i="10"/>
  <c r="O616" i="10"/>
  <c r="O617" i="10"/>
  <c r="O618" i="10"/>
  <c r="O619" i="10"/>
  <c r="O620" i="10"/>
  <c r="O621" i="10"/>
  <c r="O622" i="10"/>
  <c r="O623" i="10"/>
  <c r="O624" i="10"/>
  <c r="O625" i="10"/>
  <c r="O626" i="10"/>
  <c r="O627" i="10"/>
  <c r="O628" i="10"/>
  <c r="O629" i="10"/>
  <c r="O630" i="10"/>
  <c r="O631" i="10"/>
  <c r="O632" i="10"/>
  <c r="O633" i="10"/>
  <c r="O634" i="10"/>
  <c r="O635" i="10"/>
  <c r="O636" i="10"/>
  <c r="O637" i="10"/>
  <c r="O638" i="10"/>
  <c r="O639" i="10"/>
  <c r="O640" i="10"/>
  <c r="O641" i="10"/>
  <c r="O642" i="10"/>
  <c r="O643" i="10"/>
  <c r="O544" i="10"/>
  <c r="T439" i="10"/>
  <c r="T334" i="10"/>
  <c r="T335" i="10"/>
  <c r="T336" i="10"/>
  <c r="T337" i="10"/>
  <c r="T338" i="10"/>
  <c r="T339" i="10"/>
  <c r="T340" i="10"/>
  <c r="T341" i="10"/>
  <c r="T342" i="10"/>
  <c r="T343" i="10"/>
  <c r="T344" i="10"/>
  <c r="T345" i="10"/>
  <c r="T346" i="10"/>
  <c r="T347" i="10"/>
  <c r="T348" i="10"/>
  <c r="T349" i="10"/>
  <c r="T350" i="10"/>
  <c r="T351" i="10"/>
  <c r="T352" i="10"/>
  <c r="T353" i="10"/>
  <c r="T354" i="10"/>
  <c r="T355" i="10"/>
  <c r="T356" i="10"/>
  <c r="T357" i="10"/>
  <c r="T358" i="10"/>
  <c r="T359" i="10"/>
  <c r="T360" i="10"/>
  <c r="T361" i="10"/>
  <c r="T362" i="10"/>
  <c r="T363" i="10"/>
  <c r="T364" i="10"/>
  <c r="T365" i="10"/>
  <c r="T366" i="10"/>
  <c r="T367" i="10"/>
  <c r="T368" i="10"/>
  <c r="T369" i="10"/>
  <c r="T370" i="10"/>
  <c r="T371" i="10"/>
  <c r="T372" i="10"/>
  <c r="T373" i="10"/>
  <c r="T374" i="10"/>
  <c r="T375" i="10"/>
  <c r="T376" i="10"/>
  <c r="T377" i="10"/>
  <c r="T378" i="10"/>
  <c r="T379" i="10"/>
  <c r="T380" i="10"/>
  <c r="T381" i="10"/>
  <c r="T382" i="10"/>
  <c r="T383" i="10"/>
  <c r="T384" i="10"/>
  <c r="T385" i="10"/>
  <c r="T386" i="10"/>
  <c r="T387" i="10"/>
  <c r="T388" i="10"/>
  <c r="T389" i="10"/>
  <c r="T390" i="10"/>
  <c r="T391" i="10"/>
  <c r="T392" i="10"/>
  <c r="T393" i="10"/>
  <c r="T394" i="10"/>
  <c r="T395" i="10"/>
  <c r="T396" i="10"/>
  <c r="T397" i="10"/>
  <c r="T398" i="10"/>
  <c r="T399" i="10"/>
  <c r="T400" i="10"/>
  <c r="T401" i="10"/>
  <c r="T402" i="10"/>
  <c r="T403" i="10"/>
  <c r="T404" i="10"/>
  <c r="T405" i="10"/>
  <c r="T406" i="10"/>
  <c r="T407" i="10"/>
  <c r="T408" i="10"/>
  <c r="T409" i="10"/>
  <c r="T410" i="10"/>
  <c r="T411" i="10"/>
  <c r="T412" i="10"/>
  <c r="T413" i="10"/>
  <c r="T414" i="10"/>
  <c r="T415" i="10"/>
  <c r="T416" i="10"/>
  <c r="T417" i="10"/>
  <c r="T418" i="10"/>
  <c r="T419" i="10"/>
  <c r="T420" i="10"/>
  <c r="T421" i="10"/>
  <c r="T422" i="10"/>
  <c r="T423" i="10"/>
  <c r="T424" i="10"/>
  <c r="T425" i="10"/>
  <c r="T426" i="10"/>
  <c r="T427" i="10"/>
  <c r="T428" i="10"/>
  <c r="T429" i="10"/>
  <c r="T430" i="10"/>
  <c r="T431" i="10"/>
  <c r="T432" i="10"/>
  <c r="T433" i="10"/>
  <c r="T333" i="10"/>
  <c r="T229" i="10"/>
  <c r="T230" i="10"/>
  <c r="T231" i="10"/>
  <c r="T232" i="10"/>
  <c r="T233" i="10"/>
  <c r="T234" i="10"/>
  <c r="T235" i="10"/>
  <c r="T236" i="10"/>
  <c r="T237" i="10"/>
  <c r="T238" i="10"/>
  <c r="T239" i="10"/>
  <c r="T240" i="10"/>
  <c r="T241" i="10"/>
  <c r="T242" i="10"/>
  <c r="T243" i="10"/>
  <c r="T244" i="10"/>
  <c r="T245" i="10"/>
  <c r="T246" i="10"/>
  <c r="T247" i="10"/>
  <c r="T248" i="10"/>
  <c r="T249" i="10"/>
  <c r="T250" i="10"/>
  <c r="T251" i="10"/>
  <c r="T252" i="10"/>
  <c r="T253" i="10"/>
  <c r="T254" i="10"/>
  <c r="T255" i="10"/>
  <c r="T256" i="10"/>
  <c r="T257" i="10"/>
  <c r="T258" i="10"/>
  <c r="T259" i="10"/>
  <c r="T260" i="10"/>
  <c r="T261" i="10"/>
  <c r="T262" i="10"/>
  <c r="T263" i="10"/>
  <c r="T264" i="10"/>
  <c r="T265" i="10"/>
  <c r="T266" i="10"/>
  <c r="T267" i="10"/>
  <c r="T268" i="10"/>
  <c r="T269" i="10"/>
  <c r="T270" i="10"/>
  <c r="T271" i="10"/>
  <c r="T272" i="10"/>
  <c r="T273" i="10"/>
  <c r="T274" i="10"/>
  <c r="T275" i="10"/>
  <c r="T276" i="10"/>
  <c r="T277" i="10"/>
  <c r="T278" i="10"/>
  <c r="T279" i="10"/>
  <c r="T280" i="10"/>
  <c r="T281" i="10"/>
  <c r="T282" i="10"/>
  <c r="T283" i="10"/>
  <c r="T284" i="10"/>
  <c r="T285" i="10"/>
  <c r="T286" i="10"/>
  <c r="T287" i="10"/>
  <c r="T288" i="10"/>
  <c r="T289" i="10"/>
  <c r="T290" i="10"/>
  <c r="T291" i="10"/>
  <c r="T292" i="10"/>
  <c r="T293" i="10"/>
  <c r="T294" i="10"/>
  <c r="T295" i="10"/>
  <c r="T296" i="10"/>
  <c r="T297" i="10"/>
  <c r="T298" i="10"/>
  <c r="T299" i="10"/>
  <c r="T300" i="10"/>
  <c r="T301" i="10"/>
  <c r="T302" i="10"/>
  <c r="T303" i="10"/>
  <c r="T304" i="10"/>
  <c r="T305" i="10"/>
  <c r="T306" i="10"/>
  <c r="T307" i="10"/>
  <c r="T308" i="10"/>
  <c r="T309" i="10"/>
  <c r="T310" i="10"/>
  <c r="T311" i="10"/>
  <c r="T312" i="10"/>
  <c r="T313" i="10"/>
  <c r="T314" i="10"/>
  <c r="T315" i="10"/>
  <c r="T316" i="10"/>
  <c r="T317" i="10"/>
  <c r="T318" i="10"/>
  <c r="T319" i="10"/>
  <c r="T320" i="10"/>
  <c r="T321" i="10"/>
  <c r="T322" i="10"/>
  <c r="T323" i="10"/>
  <c r="T324" i="10"/>
  <c r="T325" i="10"/>
  <c r="T326" i="10"/>
  <c r="T327" i="10"/>
  <c r="T328" i="10"/>
  <c r="T228" i="10"/>
  <c r="T124" i="10"/>
  <c r="T125" i="10"/>
  <c r="T126" i="10"/>
  <c r="T127" i="10"/>
  <c r="T128" i="10"/>
  <c r="T129" i="10"/>
  <c r="T130" i="10"/>
  <c r="T131" i="10"/>
  <c r="T132" i="10"/>
  <c r="T133" i="10"/>
  <c r="T134" i="10"/>
  <c r="T135" i="10"/>
  <c r="T136" i="10"/>
  <c r="T137" i="10"/>
  <c r="T138" i="10"/>
  <c r="T139" i="10"/>
  <c r="T140" i="10"/>
  <c r="T141" i="10"/>
  <c r="T142" i="10"/>
  <c r="T143" i="10"/>
  <c r="T144" i="10"/>
  <c r="T145" i="10"/>
  <c r="T146" i="10"/>
  <c r="T147" i="10"/>
  <c r="T148" i="10"/>
  <c r="T149" i="10"/>
  <c r="T150" i="10"/>
  <c r="T151" i="10"/>
  <c r="T152" i="10"/>
  <c r="T153" i="10"/>
  <c r="T154" i="10"/>
  <c r="T155" i="10"/>
  <c r="T156" i="10"/>
  <c r="T157" i="10"/>
  <c r="T158" i="10"/>
  <c r="T159" i="10"/>
  <c r="T160" i="10"/>
  <c r="T161" i="10"/>
  <c r="T162" i="10"/>
  <c r="T163" i="10"/>
  <c r="T164" i="10"/>
  <c r="T165" i="10"/>
  <c r="T166" i="10"/>
  <c r="T167" i="10"/>
  <c r="T168" i="10"/>
  <c r="T169" i="10"/>
  <c r="T170" i="10"/>
  <c r="T171" i="10"/>
  <c r="T172" i="10"/>
  <c r="T173" i="10"/>
  <c r="T174" i="10"/>
  <c r="T175" i="10"/>
  <c r="T176" i="10"/>
  <c r="T177" i="10"/>
  <c r="T178" i="10"/>
  <c r="T179" i="10"/>
  <c r="T180" i="10"/>
  <c r="T181" i="10"/>
  <c r="T182" i="10"/>
  <c r="T183" i="10"/>
  <c r="T184" i="10"/>
  <c r="T185" i="10"/>
  <c r="T186" i="10"/>
  <c r="T187" i="10"/>
  <c r="T188" i="10"/>
  <c r="T189" i="10"/>
  <c r="T190" i="10"/>
  <c r="T191" i="10"/>
  <c r="T192" i="10"/>
  <c r="T193" i="10"/>
  <c r="T194" i="10"/>
  <c r="T195" i="10"/>
  <c r="T196" i="10"/>
  <c r="T197" i="10"/>
  <c r="T198" i="10"/>
  <c r="T199" i="10"/>
  <c r="T200" i="10"/>
  <c r="T201" i="10"/>
  <c r="T202" i="10"/>
  <c r="T203" i="10"/>
  <c r="T204" i="10"/>
  <c r="T205" i="10"/>
  <c r="T206" i="10"/>
  <c r="T207" i="10"/>
  <c r="T208" i="10"/>
  <c r="T209" i="10"/>
  <c r="T210" i="10"/>
  <c r="T211" i="10"/>
  <c r="T212" i="10"/>
  <c r="T213" i="10"/>
  <c r="T214" i="10"/>
  <c r="T215" i="10"/>
  <c r="T216" i="10"/>
  <c r="T217" i="10"/>
  <c r="T218" i="10"/>
  <c r="T219" i="10"/>
  <c r="T220" i="10"/>
  <c r="T221" i="10"/>
  <c r="T222" i="10"/>
  <c r="T223" i="10"/>
  <c r="T123" i="10"/>
  <c r="T19" i="10"/>
  <c r="T20" i="10"/>
  <c r="T21" i="10"/>
  <c r="T22" i="10"/>
  <c r="T23" i="10"/>
  <c r="T24" i="10"/>
  <c r="T25" i="10"/>
  <c r="T26" i="10"/>
  <c r="T27" i="10"/>
  <c r="T28" i="10"/>
  <c r="T29" i="10"/>
  <c r="T30" i="10"/>
  <c r="T31" i="10"/>
  <c r="T32" i="10"/>
  <c r="T33" i="10"/>
  <c r="T34" i="10"/>
  <c r="T35" i="10"/>
  <c r="T36" i="10"/>
  <c r="T37" i="10"/>
  <c r="T38" i="10"/>
  <c r="T39" i="10"/>
  <c r="T40" i="10"/>
  <c r="T41" i="10"/>
  <c r="T42" i="10"/>
  <c r="T43" i="10"/>
  <c r="T44" i="10"/>
  <c r="T45" i="10"/>
  <c r="T46" i="10"/>
  <c r="T47" i="10"/>
  <c r="T48" i="10"/>
  <c r="T49" i="10"/>
  <c r="T50" i="10"/>
  <c r="T51" i="10"/>
  <c r="T52" i="10"/>
  <c r="T53" i="10"/>
  <c r="T54" i="10"/>
  <c r="T55" i="10"/>
  <c r="T56" i="10"/>
  <c r="T57" i="10"/>
  <c r="T58" i="10"/>
  <c r="T59" i="10"/>
  <c r="T60" i="10"/>
  <c r="T61" i="10"/>
  <c r="T62" i="10"/>
  <c r="T63" i="10"/>
  <c r="T64" i="10"/>
  <c r="T65" i="10"/>
  <c r="T66" i="10"/>
  <c r="T67" i="10"/>
  <c r="T68" i="10"/>
  <c r="T69" i="10"/>
  <c r="T70" i="10"/>
  <c r="T71" i="10"/>
  <c r="T72" i="10"/>
  <c r="T73" i="10"/>
  <c r="T74" i="10"/>
  <c r="T75" i="10"/>
  <c r="T76" i="10"/>
  <c r="T77" i="10"/>
  <c r="T78" i="10"/>
  <c r="T79" i="10"/>
  <c r="T80" i="10"/>
  <c r="T81" i="10"/>
  <c r="T82" i="10"/>
  <c r="T83" i="10"/>
  <c r="T84" i="10"/>
  <c r="T85" i="10"/>
  <c r="T86" i="10"/>
  <c r="T87" i="10"/>
  <c r="T88" i="10"/>
  <c r="T89" i="10"/>
  <c r="T90" i="10"/>
  <c r="T91" i="10"/>
  <c r="T92" i="10"/>
  <c r="T93" i="10"/>
  <c r="T94" i="10"/>
  <c r="T95" i="10"/>
  <c r="T96" i="10"/>
  <c r="T97" i="10"/>
  <c r="T98" i="10"/>
  <c r="T99" i="10"/>
  <c r="T100" i="10"/>
  <c r="T101" i="10"/>
  <c r="T102" i="10"/>
  <c r="T103" i="10"/>
  <c r="T104" i="10"/>
  <c r="T105" i="10"/>
  <c r="T106" i="10"/>
  <c r="T107" i="10"/>
  <c r="T108" i="10"/>
  <c r="T109" i="10"/>
  <c r="T110" i="10"/>
  <c r="T111" i="10"/>
  <c r="T112" i="10"/>
  <c r="T113" i="10"/>
  <c r="T114" i="10"/>
  <c r="T115" i="10"/>
  <c r="T116" i="10"/>
  <c r="T117" i="10"/>
  <c r="T118" i="10"/>
  <c r="T18" i="10"/>
  <c r="P20" i="25"/>
  <c r="C21" i="16"/>
  <c r="G364" i="23"/>
  <c r="G389" i="23"/>
  <c r="G414" i="23"/>
  <c r="G439" i="23"/>
  <c r="G337" i="23"/>
  <c r="G312" i="23"/>
  <c r="G287" i="23"/>
  <c r="G262" i="23"/>
  <c r="G235" i="23"/>
  <c r="G210" i="23"/>
  <c r="G185" i="23"/>
  <c r="G160" i="23"/>
  <c r="G117" i="23"/>
  <c r="G122" i="23"/>
  <c r="G128" i="23"/>
  <c r="G133" i="23"/>
  <c r="G108" i="23"/>
  <c r="G83" i="23"/>
  <c r="G58" i="23"/>
  <c r="G33" i="23"/>
  <c r="Q34" i="6"/>
  <c r="Q35" i="6"/>
  <c r="Q20" i="6"/>
  <c r="Q21" i="4"/>
  <c r="Z21" i="4" s="1"/>
  <c r="O209" i="4"/>
  <c r="N209" i="4"/>
  <c r="M209" i="4"/>
  <c r="L209" i="4"/>
  <c r="Q170" i="4"/>
  <c r="Z170" i="4" s="1"/>
  <c r="Q171" i="4"/>
  <c r="Z171" i="4" s="1"/>
  <c r="Q172" i="4"/>
  <c r="Z172" i="4" s="1"/>
  <c r="Q173" i="4"/>
  <c r="Z173" i="4" s="1"/>
  <c r="Q174" i="4"/>
  <c r="Z174" i="4" s="1"/>
  <c r="Q175" i="4"/>
  <c r="Z175" i="4" s="1"/>
  <c r="Q176" i="4"/>
  <c r="Z176" i="4" s="1"/>
  <c r="Q177" i="4"/>
  <c r="Z177" i="4" s="1"/>
  <c r="Q178" i="4"/>
  <c r="Z178" i="4" s="1"/>
  <c r="Q179" i="4"/>
  <c r="Z179" i="4" s="1"/>
  <c r="Q180" i="4"/>
  <c r="Z180" i="4" s="1"/>
  <c r="Q181" i="4"/>
  <c r="Z181" i="4" s="1"/>
  <c r="Q182" i="4"/>
  <c r="Z182" i="4" s="1"/>
  <c r="Q183" i="4"/>
  <c r="Z183" i="4" s="1"/>
  <c r="Q184" i="4"/>
  <c r="Z184" i="4" s="1"/>
  <c r="Q185" i="4"/>
  <c r="Z185" i="4" s="1"/>
  <c r="Q186" i="4"/>
  <c r="Z186" i="4" s="1"/>
  <c r="Q187" i="4"/>
  <c r="Z187" i="4" s="1"/>
  <c r="Q188" i="4"/>
  <c r="Z188" i="4" s="1"/>
  <c r="Q189" i="4"/>
  <c r="Z189" i="4" s="1"/>
  <c r="Q190" i="4"/>
  <c r="Z190" i="4" s="1"/>
  <c r="Q191" i="4"/>
  <c r="Z191" i="4" s="1"/>
  <c r="Q192" i="4"/>
  <c r="Z192" i="4" s="1"/>
  <c r="Q193" i="4"/>
  <c r="Z193" i="4" s="1"/>
  <c r="Q194" i="4"/>
  <c r="Z194" i="4" s="1"/>
  <c r="Q195" i="4"/>
  <c r="Z195" i="4" s="1"/>
  <c r="Q196" i="4"/>
  <c r="Z196" i="4" s="1"/>
  <c r="Q197" i="4"/>
  <c r="Z197" i="4" s="1"/>
  <c r="Q198" i="4"/>
  <c r="Z198" i="4" s="1"/>
  <c r="Q169" i="4"/>
  <c r="Z169" i="4" s="1"/>
  <c r="Y155" i="4"/>
  <c r="P162" i="4"/>
  <c r="Y162" i="4" s="1"/>
  <c r="P134" i="4"/>
  <c r="Y134" i="4" s="1"/>
  <c r="P135" i="4"/>
  <c r="Y135" i="4" s="1"/>
  <c r="P136" i="4"/>
  <c r="Y136" i="4" s="1"/>
  <c r="P137" i="4"/>
  <c r="Y137" i="4" s="1"/>
  <c r="P138" i="4"/>
  <c r="Y138" i="4" s="1"/>
  <c r="P139" i="4"/>
  <c r="Y139" i="4" s="1"/>
  <c r="P140" i="4"/>
  <c r="Y140" i="4" s="1"/>
  <c r="P141" i="4"/>
  <c r="Y141" i="4" s="1"/>
  <c r="P142" i="4"/>
  <c r="Y142" i="4" s="1"/>
  <c r="P143" i="4"/>
  <c r="Y143" i="4" s="1"/>
  <c r="P144" i="4"/>
  <c r="Y144" i="4" s="1"/>
  <c r="P145" i="4"/>
  <c r="Y145" i="4" s="1"/>
  <c r="P146" i="4"/>
  <c r="Y146" i="4" s="1"/>
  <c r="P147" i="4"/>
  <c r="Y147" i="4" s="1"/>
  <c r="P148" i="4"/>
  <c r="Y148" i="4" s="1"/>
  <c r="P149" i="4"/>
  <c r="Y149" i="4" s="1"/>
  <c r="P150" i="4"/>
  <c r="Y150" i="4" s="1"/>
  <c r="P151" i="4"/>
  <c r="Y151" i="4" s="1"/>
  <c r="P152" i="4"/>
  <c r="Y152" i="4" s="1"/>
  <c r="P153" i="4"/>
  <c r="Y153" i="4" s="1"/>
  <c r="P154" i="4"/>
  <c r="Y154" i="4" s="1"/>
  <c r="P155" i="4"/>
  <c r="P156" i="4"/>
  <c r="Y156" i="4" s="1"/>
  <c r="P157" i="4"/>
  <c r="Y157" i="4" s="1"/>
  <c r="P158" i="4"/>
  <c r="Y158" i="4" s="1"/>
  <c r="P159" i="4"/>
  <c r="Y159" i="4" s="1"/>
  <c r="P160" i="4"/>
  <c r="Y160" i="4" s="1"/>
  <c r="P161" i="4"/>
  <c r="Y161" i="4" s="1"/>
  <c r="P133" i="4"/>
  <c r="Y133" i="4" s="1"/>
  <c r="S94" i="4"/>
  <c r="AB94" i="4" s="1"/>
  <c r="S95" i="4"/>
  <c r="AB95" i="4" s="1"/>
  <c r="S96" i="4"/>
  <c r="AB96" i="4" s="1"/>
  <c r="S97" i="4"/>
  <c r="AB97" i="4" s="1"/>
  <c r="S98" i="4"/>
  <c r="AB98" i="4" s="1"/>
  <c r="S99" i="4"/>
  <c r="AB99" i="4" s="1"/>
  <c r="S100" i="4"/>
  <c r="AB100" i="4" s="1"/>
  <c r="S101" i="4"/>
  <c r="AB101" i="4" s="1"/>
  <c r="S102" i="4"/>
  <c r="AB102" i="4" s="1"/>
  <c r="S103" i="4"/>
  <c r="AB103" i="4" s="1"/>
  <c r="S104" i="4"/>
  <c r="AB104" i="4" s="1"/>
  <c r="S105" i="4"/>
  <c r="AB105" i="4" s="1"/>
  <c r="S106" i="4"/>
  <c r="AB106" i="4" s="1"/>
  <c r="S107" i="4"/>
  <c r="AB107" i="4" s="1"/>
  <c r="S108" i="4"/>
  <c r="AB108" i="4" s="1"/>
  <c r="S109" i="4"/>
  <c r="AB109" i="4" s="1"/>
  <c r="S110" i="4"/>
  <c r="AB110" i="4" s="1"/>
  <c r="S111" i="4"/>
  <c r="AB111" i="4" s="1"/>
  <c r="S112" i="4"/>
  <c r="AB112" i="4" s="1"/>
  <c r="S113" i="4"/>
  <c r="AB113" i="4" s="1"/>
  <c r="S114" i="4"/>
  <c r="AB114" i="4" s="1"/>
  <c r="S115" i="4"/>
  <c r="AB115" i="4" s="1"/>
  <c r="S116" i="4"/>
  <c r="AB116" i="4" s="1"/>
  <c r="S117" i="4"/>
  <c r="AB117" i="4" s="1"/>
  <c r="S118" i="4"/>
  <c r="AB118" i="4" s="1"/>
  <c r="S119" i="4"/>
  <c r="AB119" i="4" s="1"/>
  <c r="S120" i="4"/>
  <c r="AB120" i="4" s="1"/>
  <c r="S121" i="4"/>
  <c r="AB121" i="4" s="1"/>
  <c r="S122" i="4"/>
  <c r="AB122" i="4" s="1"/>
  <c r="S123" i="4"/>
  <c r="AB123" i="4" s="1"/>
  <c r="Q58" i="4"/>
  <c r="Z58" i="4" s="1"/>
  <c r="Q59" i="4"/>
  <c r="Z59" i="4" s="1"/>
  <c r="Q60" i="4"/>
  <c r="Z60" i="4" s="1"/>
  <c r="Q61" i="4"/>
  <c r="Z61" i="4" s="1"/>
  <c r="Q62" i="4"/>
  <c r="Z62" i="4" s="1"/>
  <c r="Q63" i="4"/>
  <c r="Z63" i="4" s="1"/>
  <c r="Q64" i="4"/>
  <c r="Z64" i="4" s="1"/>
  <c r="Q65" i="4"/>
  <c r="Z65" i="4" s="1"/>
  <c r="Q66" i="4"/>
  <c r="Z66" i="4" s="1"/>
  <c r="Q67" i="4"/>
  <c r="Z67" i="4" s="1"/>
  <c r="Q68" i="4"/>
  <c r="Z68" i="4" s="1"/>
  <c r="Q69" i="4"/>
  <c r="Z69" i="4" s="1"/>
  <c r="Q70" i="4"/>
  <c r="Z70" i="4" s="1"/>
  <c r="Q71" i="4"/>
  <c r="Z71" i="4" s="1"/>
  <c r="Q72" i="4"/>
  <c r="Z72" i="4" s="1"/>
  <c r="Q73" i="4"/>
  <c r="Z73" i="4" s="1"/>
  <c r="Q74" i="4"/>
  <c r="Z74" i="4" s="1"/>
  <c r="Q75" i="4"/>
  <c r="Z75" i="4" s="1"/>
  <c r="Q76" i="4"/>
  <c r="Z76" i="4" s="1"/>
  <c r="Q77" i="4"/>
  <c r="Z77" i="4" s="1"/>
  <c r="Q78" i="4"/>
  <c r="Z78" i="4" s="1"/>
  <c r="Q79" i="4"/>
  <c r="Z79" i="4" s="1"/>
  <c r="Q80" i="4"/>
  <c r="Z80" i="4" s="1"/>
  <c r="Q81" i="4"/>
  <c r="Z81" i="4" s="1"/>
  <c r="Q82" i="4"/>
  <c r="Z82" i="4" s="1"/>
  <c r="Q83" i="4"/>
  <c r="Z83" i="4" s="1"/>
  <c r="Q84" i="4"/>
  <c r="Z84" i="4" s="1"/>
  <c r="Q85" i="4"/>
  <c r="Z85" i="4" s="1"/>
  <c r="Q86" i="4"/>
  <c r="Z86" i="4" s="1"/>
  <c r="Z57" i="4"/>
  <c r="Q49" i="4"/>
  <c r="Z49" i="4" s="1"/>
  <c r="Q22" i="4"/>
  <c r="Z22" i="4" s="1"/>
  <c r="Q23" i="4"/>
  <c r="Z23" i="4" s="1"/>
  <c r="Q24" i="4"/>
  <c r="Z24" i="4" s="1"/>
  <c r="Q25" i="4"/>
  <c r="Z25" i="4" s="1"/>
  <c r="Q26" i="4"/>
  <c r="Z26" i="4" s="1"/>
  <c r="Q27" i="4"/>
  <c r="Z27" i="4" s="1"/>
  <c r="Q28" i="4"/>
  <c r="Z28" i="4" s="1"/>
  <c r="Q29" i="4"/>
  <c r="Z29" i="4" s="1"/>
  <c r="Q30" i="4"/>
  <c r="Z30" i="4" s="1"/>
  <c r="Q31" i="4"/>
  <c r="Z31" i="4" s="1"/>
  <c r="Q32" i="4"/>
  <c r="Z32" i="4" s="1"/>
  <c r="Q33" i="4"/>
  <c r="Z33" i="4" s="1"/>
  <c r="Q34" i="4"/>
  <c r="Z34" i="4" s="1"/>
  <c r="Q35" i="4"/>
  <c r="Z35" i="4" s="1"/>
  <c r="Q36" i="4"/>
  <c r="Z36" i="4" s="1"/>
  <c r="Q37" i="4"/>
  <c r="Z37" i="4" s="1"/>
  <c r="Q38" i="4"/>
  <c r="Z38" i="4" s="1"/>
  <c r="Q39" i="4"/>
  <c r="Z39" i="4" s="1"/>
  <c r="Q40" i="4"/>
  <c r="Z40" i="4" s="1"/>
  <c r="Q41" i="4"/>
  <c r="Z41" i="4" s="1"/>
  <c r="Q42" i="4"/>
  <c r="Z42" i="4" s="1"/>
  <c r="Q43" i="4"/>
  <c r="Z43" i="4" s="1"/>
  <c r="Q44" i="4"/>
  <c r="Z44" i="4" s="1"/>
  <c r="Q45" i="4"/>
  <c r="Z45" i="4" s="1"/>
  <c r="Q46" i="4"/>
  <c r="Z46" i="4" s="1"/>
  <c r="Q47" i="4"/>
  <c r="Z47" i="4" s="1"/>
  <c r="Q48" i="4"/>
  <c r="Z48" i="4" s="1"/>
  <c r="Q50" i="4"/>
  <c r="Z50" i="4" s="1"/>
  <c r="Q73" i="6"/>
  <c r="Q84" i="6"/>
  <c r="G15" i="23"/>
  <c r="B23" i="16"/>
  <c r="D220" i="4"/>
  <c r="D219" i="4"/>
  <c r="D218" i="4"/>
  <c r="D217" i="4"/>
  <c r="D216" i="4"/>
  <c r="D215" i="4"/>
  <c r="P71" i="25"/>
  <c r="P298" i="25"/>
  <c r="P297" i="25"/>
  <c r="P296" i="25"/>
  <c r="P295" i="25"/>
  <c r="P294" i="25"/>
  <c r="P293" i="25"/>
  <c r="P292" i="25"/>
  <c r="P291" i="25"/>
  <c r="P290" i="25"/>
  <c r="P289" i="25"/>
  <c r="P288" i="25"/>
  <c r="P287" i="25"/>
  <c r="P286" i="25"/>
  <c r="P285" i="25"/>
  <c r="P284" i="25"/>
  <c r="P283" i="25"/>
  <c r="P282" i="25"/>
  <c r="P281" i="25"/>
  <c r="P280" i="25"/>
  <c r="P279" i="25"/>
  <c r="P278" i="25"/>
  <c r="P277" i="25"/>
  <c r="P276" i="25"/>
  <c r="P275" i="25"/>
  <c r="P274" i="25"/>
  <c r="P273" i="25"/>
  <c r="P272" i="25"/>
  <c r="P271" i="25"/>
  <c r="P270" i="25"/>
  <c r="P269" i="25"/>
  <c r="P268" i="25"/>
  <c r="P267" i="25"/>
  <c r="P266" i="25"/>
  <c r="P265" i="25"/>
  <c r="P264" i="25"/>
  <c r="P263" i="25"/>
  <c r="P262" i="25"/>
  <c r="P261" i="25"/>
  <c r="P260" i="25"/>
  <c r="P259" i="25"/>
  <c r="P258" i="25"/>
  <c r="P250" i="25"/>
  <c r="P249" i="25"/>
  <c r="P248" i="25"/>
  <c r="P247" i="25"/>
  <c r="P246" i="25"/>
  <c r="P245" i="25"/>
  <c r="P244" i="25"/>
  <c r="P243" i="25"/>
  <c r="P242" i="25"/>
  <c r="P241" i="25"/>
  <c r="P240" i="25"/>
  <c r="P239" i="25"/>
  <c r="P238" i="25"/>
  <c r="P237" i="25"/>
  <c r="P236" i="25"/>
  <c r="P235" i="25"/>
  <c r="P234" i="25"/>
  <c r="P233" i="25"/>
  <c r="P232" i="25"/>
  <c r="P231" i="25"/>
  <c r="P230" i="25"/>
  <c r="P229" i="25"/>
  <c r="P228" i="25"/>
  <c r="P227" i="25"/>
  <c r="P226" i="25"/>
  <c r="P225" i="25"/>
  <c r="P224" i="25"/>
  <c r="P223" i="25"/>
  <c r="P222" i="25"/>
  <c r="P221" i="25"/>
  <c r="P220" i="25"/>
  <c r="P219" i="25"/>
  <c r="P218" i="25"/>
  <c r="P217" i="25"/>
  <c r="P216" i="25"/>
  <c r="P215" i="25"/>
  <c r="P214" i="25"/>
  <c r="P213" i="25"/>
  <c r="P212" i="25"/>
  <c r="P211" i="25"/>
  <c r="P210" i="25"/>
  <c r="P202" i="25"/>
  <c r="P201" i="25"/>
  <c r="P200" i="25"/>
  <c r="P199" i="25"/>
  <c r="P198" i="25"/>
  <c r="P197" i="25"/>
  <c r="P196" i="25"/>
  <c r="P195" i="25"/>
  <c r="P194" i="25"/>
  <c r="P193" i="25"/>
  <c r="P192" i="25"/>
  <c r="P191" i="25"/>
  <c r="P190" i="25"/>
  <c r="P189" i="25"/>
  <c r="P188" i="25"/>
  <c r="P187" i="25"/>
  <c r="P186" i="25"/>
  <c r="P185" i="25"/>
  <c r="P184" i="25"/>
  <c r="P183" i="25"/>
  <c r="P182" i="25"/>
  <c r="P181" i="25"/>
  <c r="P180" i="25"/>
  <c r="P179" i="25"/>
  <c r="P178" i="25"/>
  <c r="P177" i="25"/>
  <c r="P176" i="25"/>
  <c r="P175" i="25"/>
  <c r="P174" i="25"/>
  <c r="P173" i="25"/>
  <c r="P172" i="25"/>
  <c r="P171" i="25"/>
  <c r="P170" i="25"/>
  <c r="P169" i="25"/>
  <c r="P168" i="25"/>
  <c r="P167" i="25"/>
  <c r="P166" i="25"/>
  <c r="P165" i="25"/>
  <c r="P164" i="25"/>
  <c r="P163" i="25"/>
  <c r="P162" i="25"/>
  <c r="P154" i="25"/>
  <c r="P153" i="25"/>
  <c r="P152" i="25"/>
  <c r="P151" i="25"/>
  <c r="P150" i="25"/>
  <c r="P149" i="25"/>
  <c r="P148" i="25"/>
  <c r="P147" i="25"/>
  <c r="P146" i="25"/>
  <c r="P145" i="25"/>
  <c r="P144" i="25"/>
  <c r="P143" i="25"/>
  <c r="P142" i="25"/>
  <c r="P141" i="25"/>
  <c r="P140" i="25"/>
  <c r="P139" i="25"/>
  <c r="P138" i="25"/>
  <c r="P137" i="25"/>
  <c r="P136" i="25"/>
  <c r="P135" i="25"/>
  <c r="P134" i="25"/>
  <c r="P133" i="25"/>
  <c r="P132" i="25"/>
  <c r="P131" i="25"/>
  <c r="P130" i="25"/>
  <c r="P129" i="25"/>
  <c r="P128" i="25"/>
  <c r="P127" i="25"/>
  <c r="P126" i="25"/>
  <c r="P125" i="25"/>
  <c r="P124" i="25"/>
  <c r="P123" i="25"/>
  <c r="P122" i="25"/>
  <c r="P121" i="25"/>
  <c r="P120" i="25"/>
  <c r="P119" i="25"/>
  <c r="P118" i="25"/>
  <c r="P117" i="25"/>
  <c r="P116" i="25"/>
  <c r="P115" i="25"/>
  <c r="P114" i="25"/>
  <c r="P106" i="25"/>
  <c r="P105" i="25"/>
  <c r="P104" i="25"/>
  <c r="P103" i="25"/>
  <c r="P102" i="25"/>
  <c r="P101" i="25"/>
  <c r="P100" i="25"/>
  <c r="P99" i="25"/>
  <c r="P98" i="25"/>
  <c r="P97" i="25"/>
  <c r="P96" i="25"/>
  <c r="P95" i="25"/>
  <c r="P94" i="25"/>
  <c r="P93" i="25"/>
  <c r="P92" i="25"/>
  <c r="P91" i="25"/>
  <c r="P90" i="25"/>
  <c r="P89" i="25"/>
  <c r="P88" i="25"/>
  <c r="P87" i="25"/>
  <c r="P86" i="25"/>
  <c r="P85" i="25"/>
  <c r="P84" i="25"/>
  <c r="P83" i="25"/>
  <c r="P82" i="25"/>
  <c r="P81" i="25"/>
  <c r="P80" i="25"/>
  <c r="P79" i="25"/>
  <c r="P78" i="25"/>
  <c r="P77" i="25"/>
  <c r="P76" i="25"/>
  <c r="P75" i="25"/>
  <c r="P74" i="25"/>
  <c r="P73" i="25"/>
  <c r="P72" i="25"/>
  <c r="P70" i="25"/>
  <c r="P69" i="25"/>
  <c r="P68" i="25"/>
  <c r="P67" i="25"/>
  <c r="P66" i="25"/>
  <c r="P58" i="25"/>
  <c r="P56" i="25"/>
  <c r="P57" i="25"/>
  <c r="P45" i="25"/>
  <c r="P46" i="25"/>
  <c r="P47" i="25"/>
  <c r="P48" i="25"/>
  <c r="P49" i="25"/>
  <c r="P50" i="25"/>
  <c r="P51" i="25"/>
  <c r="P52" i="25"/>
  <c r="P53" i="25"/>
  <c r="P54" i="25"/>
  <c r="P55" i="25"/>
  <c r="P38" i="25"/>
  <c r="P39" i="25"/>
  <c r="P40" i="25"/>
  <c r="P41" i="25"/>
  <c r="P42" i="25"/>
  <c r="P43" i="25"/>
  <c r="P44" i="25"/>
  <c r="Q90" i="21"/>
  <c r="Z90" i="21" s="1"/>
  <c r="Q91" i="21"/>
  <c r="Z91" i="21" s="1"/>
  <c r="Q92" i="21"/>
  <c r="Z92" i="21" s="1"/>
  <c r="Q93" i="21"/>
  <c r="Z93" i="21" s="1"/>
  <c r="Q94" i="21"/>
  <c r="Z94" i="21" s="1"/>
  <c r="Q95" i="21"/>
  <c r="Z95" i="21" s="1"/>
  <c r="Q96" i="21"/>
  <c r="Z96" i="21" s="1"/>
  <c r="Q97" i="21"/>
  <c r="Z97" i="21" s="1"/>
  <c r="Q98" i="21"/>
  <c r="Z98" i="21" s="1"/>
  <c r="Q99" i="21"/>
  <c r="Z99" i="21" s="1"/>
  <c r="Q100" i="21"/>
  <c r="Z100" i="21" s="1"/>
  <c r="Q101" i="21"/>
  <c r="Z101" i="21" s="1"/>
  <c r="Q102" i="21"/>
  <c r="Z102" i="21" s="1"/>
  <c r="Q103" i="21"/>
  <c r="Z103" i="21" s="1"/>
  <c r="Q104" i="21"/>
  <c r="Z104" i="21" s="1"/>
  <c r="Q105" i="21"/>
  <c r="Z105" i="21" s="1"/>
  <c r="Q106" i="21"/>
  <c r="Z106" i="21" s="1"/>
  <c r="Q107" i="21"/>
  <c r="Z107" i="21" s="1"/>
  <c r="Q108" i="21"/>
  <c r="Z108" i="21" s="1"/>
  <c r="Q109" i="21"/>
  <c r="Z109" i="21" s="1"/>
  <c r="Q110" i="21"/>
  <c r="Z110" i="21" s="1"/>
  <c r="Q64" i="21"/>
  <c r="Z64" i="21" s="1"/>
  <c r="G26" i="21"/>
  <c r="G20" i="21"/>
  <c r="G19" i="21"/>
  <c r="P1060" i="10"/>
  <c r="T442" i="10"/>
  <c r="T443" i="10"/>
  <c r="T444" i="10"/>
  <c r="T445" i="10"/>
  <c r="T446" i="10"/>
  <c r="T447" i="10"/>
  <c r="T448" i="10"/>
  <c r="T449" i="10"/>
  <c r="T450" i="10"/>
  <c r="T451" i="10"/>
  <c r="T452" i="10"/>
  <c r="T453" i="10"/>
  <c r="T454" i="10"/>
  <c r="T455" i="10"/>
  <c r="T456" i="10"/>
  <c r="T457" i="10"/>
  <c r="T458" i="10"/>
  <c r="T459" i="10"/>
  <c r="T460" i="10"/>
  <c r="T461" i="10"/>
  <c r="T462" i="10"/>
  <c r="T463" i="10"/>
  <c r="T464" i="10"/>
  <c r="T465" i="10"/>
  <c r="T466" i="10"/>
  <c r="T467" i="10"/>
  <c r="T468" i="10"/>
  <c r="T469" i="10"/>
  <c r="T470" i="10"/>
  <c r="T471" i="10"/>
  <c r="T472" i="10"/>
  <c r="T473" i="10"/>
  <c r="T474" i="10"/>
  <c r="T475" i="10"/>
  <c r="T476" i="10"/>
  <c r="T477" i="10"/>
  <c r="T478" i="10"/>
  <c r="T479" i="10"/>
  <c r="T480" i="10"/>
  <c r="T481" i="10"/>
  <c r="T482" i="10"/>
  <c r="T483" i="10"/>
  <c r="T484" i="10"/>
  <c r="T485" i="10"/>
  <c r="T486" i="10"/>
  <c r="T487" i="10"/>
  <c r="T488" i="10"/>
  <c r="T489" i="10"/>
  <c r="T490" i="10"/>
  <c r="T491" i="10"/>
  <c r="T492" i="10"/>
  <c r="T493" i="10"/>
  <c r="T494" i="10"/>
  <c r="T495" i="10"/>
  <c r="T496" i="10"/>
  <c r="T497" i="10"/>
  <c r="T498" i="10"/>
  <c r="T499" i="10"/>
  <c r="T500" i="10"/>
  <c r="T501" i="10"/>
  <c r="T502" i="10"/>
  <c r="T503" i="10"/>
  <c r="T504" i="10"/>
  <c r="T505" i="10"/>
  <c r="T506" i="10"/>
  <c r="T507" i="10"/>
  <c r="T508" i="10"/>
  <c r="T509" i="10"/>
  <c r="T510" i="10"/>
  <c r="T511" i="10"/>
  <c r="T512" i="10"/>
  <c r="T513" i="10"/>
  <c r="T514" i="10"/>
  <c r="T515" i="10"/>
  <c r="T516" i="10"/>
  <c r="T517" i="10"/>
  <c r="T518" i="10"/>
  <c r="T519" i="10"/>
  <c r="T520" i="10"/>
  <c r="T521" i="10"/>
  <c r="T522" i="10"/>
  <c r="T523" i="10"/>
  <c r="T524" i="10"/>
  <c r="T525" i="10"/>
  <c r="T526" i="10"/>
  <c r="T527" i="10"/>
  <c r="T528" i="10"/>
  <c r="T529" i="10"/>
  <c r="T530" i="10"/>
  <c r="T531" i="10"/>
  <c r="T532" i="10"/>
  <c r="T533" i="10"/>
  <c r="T534" i="10"/>
  <c r="T535" i="10"/>
  <c r="T536" i="10"/>
  <c r="T537" i="10"/>
  <c r="T538" i="10"/>
  <c r="T539" i="10"/>
  <c r="B31" i="1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00" i="6"/>
  <c r="V197" i="21"/>
  <c r="U197" i="21"/>
  <c r="T197" i="21"/>
  <c r="S197" i="21"/>
  <c r="Q196" i="21"/>
  <c r="Z196" i="21" s="1"/>
  <c r="Q195" i="21"/>
  <c r="Z195" i="21" s="1"/>
  <c r="Q194" i="21"/>
  <c r="Z194" i="21" s="1"/>
  <c r="Q193" i="21"/>
  <c r="Z193" i="21" s="1"/>
  <c r="Q192" i="21"/>
  <c r="Z192" i="21" s="1"/>
  <c r="Q191" i="21"/>
  <c r="Z191" i="21" s="1"/>
  <c r="Q190" i="21"/>
  <c r="Z190" i="21" s="1"/>
  <c r="Q189" i="21"/>
  <c r="Z189" i="21" s="1"/>
  <c r="Q188" i="21"/>
  <c r="Z188" i="21" s="1"/>
  <c r="Q187" i="21"/>
  <c r="Z187" i="21" s="1"/>
  <c r="Q186" i="21"/>
  <c r="Z186" i="21" s="1"/>
  <c r="Q185" i="21"/>
  <c r="Z185" i="21" s="1"/>
  <c r="Q184" i="21"/>
  <c r="Z184" i="21" s="1"/>
  <c r="Q183" i="21"/>
  <c r="Z183" i="21" s="1"/>
  <c r="Q182" i="21"/>
  <c r="Z182" i="21" s="1"/>
  <c r="Q181" i="21"/>
  <c r="Z181" i="21" s="1"/>
  <c r="Q180" i="21"/>
  <c r="Z180" i="21" s="1"/>
  <c r="Q179" i="21"/>
  <c r="Z179" i="21" s="1"/>
  <c r="Q178" i="21"/>
  <c r="Z178" i="21" s="1"/>
  <c r="Q177" i="21"/>
  <c r="Z177" i="21" s="1"/>
  <c r="Q176" i="21"/>
  <c r="Z176" i="21" s="1"/>
  <c r="Q175" i="21"/>
  <c r="Z175" i="21" s="1"/>
  <c r="Q174" i="21"/>
  <c r="Z174" i="21" s="1"/>
  <c r="Q173" i="21"/>
  <c r="Z173" i="21" s="1"/>
  <c r="Q172" i="21"/>
  <c r="Z172" i="21" s="1"/>
  <c r="Q171" i="21"/>
  <c r="Z171" i="21" s="1"/>
  <c r="Q170" i="21"/>
  <c r="Z170" i="21" s="1"/>
  <c r="Q169" i="21"/>
  <c r="Z169" i="21" s="1"/>
  <c r="Q168" i="21"/>
  <c r="Z168" i="21" s="1"/>
  <c r="Q167" i="21"/>
  <c r="Z167" i="21" s="1"/>
  <c r="V159" i="21"/>
  <c r="U159" i="21"/>
  <c r="T159" i="21"/>
  <c r="S159" i="21"/>
  <c r="Q158" i="21"/>
  <c r="Z158" i="21" s="1"/>
  <c r="Q157" i="21"/>
  <c r="Z157" i="21" s="1"/>
  <c r="Q156" i="21"/>
  <c r="Z156" i="21" s="1"/>
  <c r="Q155" i="21"/>
  <c r="Z155" i="21" s="1"/>
  <c r="Q154" i="21"/>
  <c r="Z154" i="21" s="1"/>
  <c r="Q153" i="21"/>
  <c r="Z153" i="21" s="1"/>
  <c r="Q152" i="21"/>
  <c r="Z152" i="21" s="1"/>
  <c r="Q151" i="21"/>
  <c r="Z151" i="21" s="1"/>
  <c r="Q150" i="21"/>
  <c r="Z150" i="21" s="1"/>
  <c r="Q149" i="21"/>
  <c r="Z149" i="21" s="1"/>
  <c r="Q148" i="21"/>
  <c r="Z148" i="21" s="1"/>
  <c r="Q147" i="21"/>
  <c r="Z147" i="21" s="1"/>
  <c r="Q146" i="21"/>
  <c r="Z146" i="21" s="1"/>
  <c r="Q145" i="21"/>
  <c r="Z145" i="21" s="1"/>
  <c r="Q144" i="21"/>
  <c r="Z144" i="21" s="1"/>
  <c r="Q143" i="21"/>
  <c r="Z143" i="21" s="1"/>
  <c r="Q142" i="21"/>
  <c r="Z142" i="21" s="1"/>
  <c r="Q141" i="21"/>
  <c r="Z141" i="21" s="1"/>
  <c r="Q140" i="21"/>
  <c r="Z140" i="21" s="1"/>
  <c r="Q139" i="21"/>
  <c r="Z139" i="21" s="1"/>
  <c r="Q138" i="21"/>
  <c r="Z138" i="21" s="1"/>
  <c r="Q137" i="21"/>
  <c r="Z137" i="21" s="1"/>
  <c r="Q136" i="21"/>
  <c r="Z136" i="21" s="1"/>
  <c r="Q135" i="21"/>
  <c r="Z135" i="21" s="1"/>
  <c r="Q134" i="21"/>
  <c r="Z134" i="21" s="1"/>
  <c r="Q133" i="21"/>
  <c r="Z133" i="21" s="1"/>
  <c r="Q132" i="21"/>
  <c r="Z132" i="21" s="1"/>
  <c r="Q131" i="21"/>
  <c r="Z131" i="21" s="1"/>
  <c r="Q130" i="21"/>
  <c r="Z130" i="21" s="1"/>
  <c r="Q129" i="21"/>
  <c r="Z129" i="21" s="1"/>
  <c r="V123" i="21"/>
  <c r="U123" i="21"/>
  <c r="T123" i="21"/>
  <c r="S123" i="21"/>
  <c r="Q122" i="21"/>
  <c r="Z122" i="21" s="1"/>
  <c r="Q121" i="21"/>
  <c r="Z121" i="21" s="1"/>
  <c r="Q120" i="21"/>
  <c r="Z120" i="21" s="1"/>
  <c r="Q119" i="21"/>
  <c r="Z119" i="21" s="1"/>
  <c r="Q118" i="21"/>
  <c r="Z118" i="21" s="1"/>
  <c r="Q117" i="21"/>
  <c r="Z117" i="21" s="1"/>
  <c r="Q116" i="21"/>
  <c r="Z116" i="21" s="1"/>
  <c r="Q115" i="21"/>
  <c r="Z115" i="21" s="1"/>
  <c r="Q114" i="21"/>
  <c r="Z114" i="21" s="1"/>
  <c r="Q113" i="21"/>
  <c r="Z113" i="21" s="1"/>
  <c r="Q112" i="21"/>
  <c r="Z112" i="21" s="1"/>
  <c r="Q111" i="21"/>
  <c r="Z111" i="21" s="1"/>
  <c r="Q89" i="21"/>
  <c r="Z89" i="21" s="1"/>
  <c r="Q88" i="21"/>
  <c r="Z88" i="21" s="1"/>
  <c r="Q87" i="21"/>
  <c r="Z87" i="21" s="1"/>
  <c r="Q86" i="21"/>
  <c r="Z86" i="21" s="1"/>
  <c r="Q85" i="21"/>
  <c r="Z85" i="21" s="1"/>
  <c r="Q84" i="21"/>
  <c r="Z84" i="21" s="1"/>
  <c r="Q83" i="21"/>
  <c r="Z83" i="21" s="1"/>
  <c r="Q82" i="21"/>
  <c r="Z82" i="21" s="1"/>
  <c r="Q81" i="21"/>
  <c r="Z81" i="21" s="1"/>
  <c r="Q80" i="21"/>
  <c r="Z80" i="21" s="1"/>
  <c r="Q79" i="21"/>
  <c r="Z79" i="21" s="1"/>
  <c r="Q78" i="21"/>
  <c r="Z78" i="21" s="1"/>
  <c r="Q77" i="21"/>
  <c r="Z77" i="21" s="1"/>
  <c r="Q76" i="21"/>
  <c r="Z76" i="21" s="1"/>
  <c r="Q75" i="21"/>
  <c r="Z75" i="21" s="1"/>
  <c r="Q74" i="21"/>
  <c r="Z74" i="21" s="1"/>
  <c r="Q73" i="21"/>
  <c r="Z73" i="21" s="1"/>
  <c r="T28" i="21"/>
  <c r="S28" i="21"/>
  <c r="R28" i="21"/>
  <c r="Q28" i="21"/>
  <c r="V66" i="21"/>
  <c r="T66" i="21"/>
  <c r="U66" i="21"/>
  <c r="S66" i="21"/>
  <c r="Q36" i="21"/>
  <c r="Z36" i="21" s="1"/>
  <c r="Q37" i="21"/>
  <c r="Q38" i="21"/>
  <c r="Q39" i="21"/>
  <c r="Q40" i="21"/>
  <c r="Z40" i="21" s="1"/>
  <c r="Q41" i="21"/>
  <c r="Z41" i="21" s="1"/>
  <c r="Q42" i="21"/>
  <c r="Z42" i="21" s="1"/>
  <c r="Q43" i="21"/>
  <c r="Z43" i="21" s="1"/>
  <c r="Q44" i="21"/>
  <c r="Z44" i="21" s="1"/>
  <c r="Q45" i="21"/>
  <c r="Z45" i="21" s="1"/>
  <c r="Q46" i="21"/>
  <c r="Z46" i="21" s="1"/>
  <c r="Q47" i="21"/>
  <c r="Z47" i="21" s="1"/>
  <c r="Q48" i="21"/>
  <c r="Z48" i="21" s="1"/>
  <c r="Q49" i="21"/>
  <c r="Z49" i="21" s="1"/>
  <c r="Q50" i="21"/>
  <c r="Z50" i="21" s="1"/>
  <c r="Q51" i="21"/>
  <c r="Z51" i="21" s="1"/>
  <c r="Q52" i="21"/>
  <c r="Z52" i="21" s="1"/>
  <c r="Q53" i="21"/>
  <c r="Z53" i="21" s="1"/>
  <c r="Q54" i="21"/>
  <c r="Z54" i="21" s="1"/>
  <c r="Q55" i="21"/>
  <c r="Z55" i="21" s="1"/>
  <c r="Q56" i="21"/>
  <c r="Z56" i="21" s="1"/>
  <c r="Q57" i="21"/>
  <c r="Z57" i="21" s="1"/>
  <c r="Q58" i="21"/>
  <c r="Z58" i="21" s="1"/>
  <c r="Q59" i="21"/>
  <c r="Z59" i="21" s="1"/>
  <c r="Q60" i="21"/>
  <c r="Z60" i="21" s="1"/>
  <c r="Q61" i="21"/>
  <c r="Z61" i="21" s="1"/>
  <c r="Q62" i="21"/>
  <c r="Z62" i="21" s="1"/>
  <c r="Q63" i="21"/>
  <c r="Z63" i="21" s="1"/>
  <c r="Q65" i="21"/>
  <c r="Z65" i="21" s="1"/>
  <c r="Q35" i="21"/>
  <c r="Z35" i="21" s="1"/>
  <c r="S201" i="21" l="1"/>
  <c r="T201" i="21"/>
  <c r="U201" i="21"/>
  <c r="V201" i="21"/>
  <c r="P254" i="25"/>
  <c r="I220" i="4" s="1"/>
  <c r="S220" i="4" s="1"/>
  <c r="P1422" i="10"/>
  <c r="P1421" i="10" s="1"/>
  <c r="P57" i="4" s="1"/>
  <c r="R1372" i="10"/>
  <c r="P230" i="6"/>
  <c r="C33" i="16" s="1"/>
  <c r="P62" i="25"/>
  <c r="I216" i="4" s="1"/>
  <c r="S216" i="4" s="1"/>
  <c r="P158" i="25"/>
  <c r="I218" i="4" s="1"/>
  <c r="S218" i="4" s="1"/>
  <c r="P206" i="25"/>
  <c r="I219" i="4" s="1"/>
  <c r="S219" i="4" s="1"/>
  <c r="P110" i="25"/>
  <c r="I217" i="4" s="1"/>
  <c r="S217" i="4" s="1"/>
  <c r="Q159" i="21"/>
  <c r="Q66" i="21"/>
  <c r="Z197" i="21"/>
  <c r="Q197" i="21"/>
  <c r="Z159" i="21"/>
  <c r="Z123" i="21"/>
  <c r="Q123" i="21"/>
  <c r="D41" i="16" s="1"/>
  <c r="X19" i="21" l="1"/>
  <c r="P1270" i="10"/>
  <c r="P1267" i="10" s="1"/>
  <c r="P1266" i="10" s="1"/>
  <c r="G27" i="21" s="1"/>
  <c r="P1046" i="10"/>
  <c r="P997" i="10"/>
  <c r="P1059" i="10"/>
  <c r="P1058" i="10"/>
  <c r="P1057" i="10"/>
  <c r="P1056" i="10"/>
  <c r="P1055" i="10"/>
  <c r="P1054" i="10"/>
  <c r="P1053" i="10"/>
  <c r="P1052" i="10"/>
  <c r="P1051" i="10"/>
  <c r="P1050" i="10"/>
  <c r="P1049" i="10"/>
  <c r="P1048" i="10"/>
  <c r="P1047" i="10"/>
  <c r="P1045" i="10"/>
  <c r="P1044" i="10"/>
  <c r="P1043" i="10"/>
  <c r="P1042" i="10"/>
  <c r="P1041" i="10"/>
  <c r="P1040" i="10"/>
  <c r="P1039" i="10"/>
  <c r="P1038" i="10"/>
  <c r="P1037" i="10"/>
  <c r="P1036" i="10"/>
  <c r="P1035" i="10"/>
  <c r="P1034" i="10"/>
  <c r="P1033" i="10"/>
  <c r="P1032" i="10"/>
  <c r="P1031" i="10"/>
  <c r="P1030" i="10"/>
  <c r="P1029" i="10"/>
  <c r="P1028" i="10"/>
  <c r="P1027" i="10"/>
  <c r="P1026" i="10"/>
  <c r="P1025" i="10"/>
  <c r="P1024" i="10"/>
  <c r="P1023" i="10"/>
  <c r="P1022" i="10"/>
  <c r="P1021" i="10"/>
  <c r="P1020" i="10"/>
  <c r="P1019" i="10"/>
  <c r="P1018" i="10"/>
  <c r="P1017" i="10"/>
  <c r="P1016" i="10"/>
  <c r="P1015" i="10"/>
  <c r="P1014" i="10"/>
  <c r="P1013" i="10"/>
  <c r="P1012" i="10"/>
  <c r="P1011" i="10"/>
  <c r="P1010" i="10"/>
  <c r="P1009" i="10"/>
  <c r="P1008" i="10"/>
  <c r="P1007" i="10"/>
  <c r="P1006" i="10"/>
  <c r="P1005" i="10"/>
  <c r="P1004" i="10"/>
  <c r="P1003" i="10"/>
  <c r="P1002" i="10"/>
  <c r="P1001" i="10"/>
  <c r="P1000" i="10"/>
  <c r="P999" i="10"/>
  <c r="P998" i="10"/>
  <c r="P996" i="10"/>
  <c r="P995" i="10"/>
  <c r="P994" i="10"/>
  <c r="P993" i="10"/>
  <c r="P992" i="10"/>
  <c r="P991" i="10"/>
  <c r="P990" i="10"/>
  <c r="P989" i="10"/>
  <c r="P988" i="10"/>
  <c r="P987" i="10"/>
  <c r="P986" i="10"/>
  <c r="P985" i="10"/>
  <c r="P984" i="10"/>
  <c r="P983" i="10"/>
  <c r="P982" i="10"/>
  <c r="P981" i="10"/>
  <c r="P980" i="10"/>
  <c r="P979" i="10"/>
  <c r="P978" i="10"/>
  <c r="P977" i="10"/>
  <c r="P976" i="10"/>
  <c r="P975" i="10"/>
  <c r="P974" i="10"/>
  <c r="P973" i="10"/>
  <c r="P972" i="10"/>
  <c r="P971" i="10"/>
  <c r="P970" i="10"/>
  <c r="P969" i="10"/>
  <c r="P968" i="10"/>
  <c r="P967" i="10"/>
  <c r="P966" i="10"/>
  <c r="P965" i="10"/>
  <c r="P964" i="10"/>
  <c r="P963" i="10"/>
  <c r="P962" i="10"/>
  <c r="P961" i="10"/>
  <c r="G275" i="23"/>
  <c r="G14" i="23"/>
  <c r="G39" i="23"/>
  <c r="X124" i="4"/>
  <c r="R163" i="4"/>
  <c r="P163" i="4"/>
  <c r="AB124" i="4"/>
  <c r="W124" i="4"/>
  <c r="V124" i="4"/>
  <c r="U124" i="4"/>
  <c r="V87" i="4"/>
  <c r="V199" i="4"/>
  <c r="T199" i="4"/>
  <c r="U199" i="4"/>
  <c r="S199" i="4"/>
  <c r="Z199" i="4"/>
  <c r="Y163" i="4"/>
  <c r="S163" i="4"/>
  <c r="T163" i="4"/>
  <c r="Z87" i="4"/>
  <c r="T87" i="4"/>
  <c r="U87" i="4"/>
  <c r="S87" i="4"/>
  <c r="Q87" i="4"/>
  <c r="V51" i="4"/>
  <c r="Z51" i="4"/>
  <c r="T51" i="4"/>
  <c r="U51" i="4"/>
  <c r="S51" i="4"/>
  <c r="S230" i="6"/>
  <c r="T230" i="6"/>
  <c r="R230" i="6"/>
  <c r="T194" i="6"/>
  <c r="U194" i="6"/>
  <c r="S194" i="6"/>
  <c r="T158" i="6"/>
  <c r="U158" i="6"/>
  <c r="S158" i="6"/>
  <c r="U122" i="6"/>
  <c r="T122" i="6"/>
  <c r="S122" i="6"/>
  <c r="U86" i="6"/>
  <c r="T86" i="6"/>
  <c r="S86" i="6"/>
  <c r="Y223" i="6"/>
  <c r="U230" i="6"/>
  <c r="V194" i="6"/>
  <c r="V158" i="6"/>
  <c r="V122" i="6"/>
  <c r="V86" i="6"/>
  <c r="V50" i="6"/>
  <c r="U50" i="6"/>
  <c r="T50" i="6"/>
  <c r="S50" i="6"/>
  <c r="Y220" i="6"/>
  <c r="Y206" i="6"/>
  <c r="Y222" i="6"/>
  <c r="Y224" i="6"/>
  <c r="Y225" i="6"/>
  <c r="Y226" i="6"/>
  <c r="Y227" i="6"/>
  <c r="Y228" i="6"/>
  <c r="Y229" i="6"/>
  <c r="Y221" i="6"/>
  <c r="Y201" i="6"/>
  <c r="Y202" i="6"/>
  <c r="Y203" i="6"/>
  <c r="Y204" i="6"/>
  <c r="Y205" i="6"/>
  <c r="Y207" i="6"/>
  <c r="Y208" i="6"/>
  <c r="Y209" i="6"/>
  <c r="Y210" i="6"/>
  <c r="Y211" i="6"/>
  <c r="Y212" i="6"/>
  <c r="Y213" i="6"/>
  <c r="Y214" i="6"/>
  <c r="Y215" i="6"/>
  <c r="Y216" i="6"/>
  <c r="Y217" i="6"/>
  <c r="Y218" i="6"/>
  <c r="Y219" i="6"/>
  <c r="Y200" i="6"/>
  <c r="Q165" i="6"/>
  <c r="Z165" i="6" s="1"/>
  <c r="Q166" i="6"/>
  <c r="Z166" i="6" s="1"/>
  <c r="Q167" i="6"/>
  <c r="Z167" i="6" s="1"/>
  <c r="Q168" i="6"/>
  <c r="Z168" i="6" s="1"/>
  <c r="Q169" i="6"/>
  <c r="Z169" i="6" s="1"/>
  <c r="Q170" i="6"/>
  <c r="Z170" i="6" s="1"/>
  <c r="Q171" i="6"/>
  <c r="Z171" i="6" s="1"/>
  <c r="Q172" i="6"/>
  <c r="Z172" i="6" s="1"/>
  <c r="Q173" i="6"/>
  <c r="Z173" i="6" s="1"/>
  <c r="Q174" i="6"/>
  <c r="Z174" i="6" s="1"/>
  <c r="Q175" i="6"/>
  <c r="Z175" i="6" s="1"/>
  <c r="Q176" i="6"/>
  <c r="Z176" i="6" s="1"/>
  <c r="Q177" i="6"/>
  <c r="Z177" i="6" s="1"/>
  <c r="Q178" i="6"/>
  <c r="Z178" i="6" s="1"/>
  <c r="Q179" i="6"/>
  <c r="Z179" i="6" s="1"/>
  <c r="Q180" i="6"/>
  <c r="Z180" i="6" s="1"/>
  <c r="Q181" i="6"/>
  <c r="Z181" i="6" s="1"/>
  <c r="Q182" i="6"/>
  <c r="Z182" i="6" s="1"/>
  <c r="Q183" i="6"/>
  <c r="Z183" i="6" s="1"/>
  <c r="Q184" i="6"/>
  <c r="Z184" i="6" s="1"/>
  <c r="Q185" i="6"/>
  <c r="Z185" i="6" s="1"/>
  <c r="Q186" i="6"/>
  <c r="Z186" i="6" s="1"/>
  <c r="Q187" i="6"/>
  <c r="Z187" i="6" s="1"/>
  <c r="Q188" i="6"/>
  <c r="Z188" i="6" s="1"/>
  <c r="Q189" i="6"/>
  <c r="Z189" i="6" s="1"/>
  <c r="Q190" i="6"/>
  <c r="Z190" i="6" s="1"/>
  <c r="Q191" i="6"/>
  <c r="Z191" i="6" s="1"/>
  <c r="Q192" i="6"/>
  <c r="Z192" i="6" s="1"/>
  <c r="Q193" i="6"/>
  <c r="Z193" i="6" s="1"/>
  <c r="Q164" i="6"/>
  <c r="Z164" i="6" s="1"/>
  <c r="Q129" i="6"/>
  <c r="Z129" i="6" s="1"/>
  <c r="Q130" i="6"/>
  <c r="Z130" i="6" s="1"/>
  <c r="Q131" i="6"/>
  <c r="Z131" i="6" s="1"/>
  <c r="Q132" i="6"/>
  <c r="Z132" i="6" s="1"/>
  <c r="Q133" i="6"/>
  <c r="Z133" i="6" s="1"/>
  <c r="Q134" i="6"/>
  <c r="Z134" i="6" s="1"/>
  <c r="Q135" i="6"/>
  <c r="Z135" i="6" s="1"/>
  <c r="Q136" i="6"/>
  <c r="Z136" i="6" s="1"/>
  <c r="Q137" i="6"/>
  <c r="Z137" i="6" s="1"/>
  <c r="Q138" i="6"/>
  <c r="Z138" i="6" s="1"/>
  <c r="Q139" i="6"/>
  <c r="Z139" i="6" s="1"/>
  <c r="Q140" i="6"/>
  <c r="Z140" i="6" s="1"/>
  <c r="Q141" i="6"/>
  <c r="Z141" i="6" s="1"/>
  <c r="Q142" i="6"/>
  <c r="Z142" i="6" s="1"/>
  <c r="Q143" i="6"/>
  <c r="Z143" i="6" s="1"/>
  <c r="Q144" i="6"/>
  <c r="Z144" i="6" s="1"/>
  <c r="Q145" i="6"/>
  <c r="Z145" i="6" s="1"/>
  <c r="Q146" i="6"/>
  <c r="Z146" i="6" s="1"/>
  <c r="Q147" i="6"/>
  <c r="Z147" i="6" s="1"/>
  <c r="Q148" i="6"/>
  <c r="Z148" i="6" s="1"/>
  <c r="Q149" i="6"/>
  <c r="Z149" i="6" s="1"/>
  <c r="Q150" i="6"/>
  <c r="Z150" i="6" s="1"/>
  <c r="Q151" i="6"/>
  <c r="Z151" i="6" s="1"/>
  <c r="Q152" i="6"/>
  <c r="Z152" i="6" s="1"/>
  <c r="Q153" i="6"/>
  <c r="Z153" i="6" s="1"/>
  <c r="Q154" i="6"/>
  <c r="Z154" i="6" s="1"/>
  <c r="Q155" i="6"/>
  <c r="Z155" i="6" s="1"/>
  <c r="Q156" i="6"/>
  <c r="Z156" i="6" s="1"/>
  <c r="Q157" i="6"/>
  <c r="Z157" i="6" s="1"/>
  <c r="Q128" i="6"/>
  <c r="Z128" i="6" s="1"/>
  <c r="Q93" i="6"/>
  <c r="Z93" i="6" s="1"/>
  <c r="Q94" i="6"/>
  <c r="Z94" i="6" s="1"/>
  <c r="Q95" i="6"/>
  <c r="Z95" i="6" s="1"/>
  <c r="Q96" i="6"/>
  <c r="Z96" i="6" s="1"/>
  <c r="Q97" i="6"/>
  <c r="Z97" i="6" s="1"/>
  <c r="Q98" i="6"/>
  <c r="Z98" i="6" s="1"/>
  <c r="Q99" i="6"/>
  <c r="Z99" i="6" s="1"/>
  <c r="Q100" i="6"/>
  <c r="Z100" i="6" s="1"/>
  <c r="Q101" i="6"/>
  <c r="Z101" i="6" s="1"/>
  <c r="Q102" i="6"/>
  <c r="Z102" i="6" s="1"/>
  <c r="Q103" i="6"/>
  <c r="Z103" i="6" s="1"/>
  <c r="Q104" i="6"/>
  <c r="Z104" i="6" s="1"/>
  <c r="Q105" i="6"/>
  <c r="Z105" i="6" s="1"/>
  <c r="Q106" i="6"/>
  <c r="Z106" i="6" s="1"/>
  <c r="Q107" i="6"/>
  <c r="Z107" i="6" s="1"/>
  <c r="Q108" i="6"/>
  <c r="Z108" i="6" s="1"/>
  <c r="Q109" i="6"/>
  <c r="Z109" i="6" s="1"/>
  <c r="Q110" i="6"/>
  <c r="Z110" i="6" s="1"/>
  <c r="Q111" i="6"/>
  <c r="Z111" i="6" s="1"/>
  <c r="Q112" i="6"/>
  <c r="Z112" i="6" s="1"/>
  <c r="Q113" i="6"/>
  <c r="Z113" i="6" s="1"/>
  <c r="Q114" i="6"/>
  <c r="Z114" i="6" s="1"/>
  <c r="Q115" i="6"/>
  <c r="Z115" i="6" s="1"/>
  <c r="Q116" i="6"/>
  <c r="Z116" i="6" s="1"/>
  <c r="Q117" i="6"/>
  <c r="Z117" i="6" s="1"/>
  <c r="Q118" i="6"/>
  <c r="Z118" i="6" s="1"/>
  <c r="Q119" i="6"/>
  <c r="Z119" i="6" s="1"/>
  <c r="Q120" i="6"/>
  <c r="Z120" i="6" s="1"/>
  <c r="Q121" i="6"/>
  <c r="Z121" i="6" s="1"/>
  <c r="Q92" i="6"/>
  <c r="Z92" i="6" s="1"/>
  <c r="Q76" i="6"/>
  <c r="Z76" i="6" s="1"/>
  <c r="Q67" i="6"/>
  <c r="Z67" i="6" s="1"/>
  <c r="Q68" i="6"/>
  <c r="Z68" i="6" s="1"/>
  <c r="Q69" i="6"/>
  <c r="Z69" i="6" s="1"/>
  <c r="Q70" i="6"/>
  <c r="Z70" i="6" s="1"/>
  <c r="Q71" i="6"/>
  <c r="Z71" i="6" s="1"/>
  <c r="Q72" i="6"/>
  <c r="Z72" i="6" s="1"/>
  <c r="Z73" i="6"/>
  <c r="Q74" i="6"/>
  <c r="Z74" i="6" s="1"/>
  <c r="Q75" i="6"/>
  <c r="Z75" i="6" s="1"/>
  <c r="Q77" i="6"/>
  <c r="Z77" i="6" s="1"/>
  <c r="Q78" i="6"/>
  <c r="Z78" i="6" s="1"/>
  <c r="Q79" i="6"/>
  <c r="Z79" i="6" s="1"/>
  <c r="Q80" i="6"/>
  <c r="Z80" i="6" s="1"/>
  <c r="Q81" i="6"/>
  <c r="Z81" i="6" s="1"/>
  <c r="Q82" i="6"/>
  <c r="Z82" i="6" s="1"/>
  <c r="Q83" i="6"/>
  <c r="Z83" i="6" s="1"/>
  <c r="Z84" i="6"/>
  <c r="Q85" i="6"/>
  <c r="Z85" i="6" s="1"/>
  <c r="Q66" i="6"/>
  <c r="Z66" i="6" s="1"/>
  <c r="Q30" i="6"/>
  <c r="Z30" i="6" s="1"/>
  <c r="Q31" i="6"/>
  <c r="Z31" i="6" s="1"/>
  <c r="Q32" i="6"/>
  <c r="Z32" i="6" s="1"/>
  <c r="Q33" i="6"/>
  <c r="Z33" i="6" s="1"/>
  <c r="Z34" i="6"/>
  <c r="Z35" i="6"/>
  <c r="Q36" i="6"/>
  <c r="Z36" i="6" s="1"/>
  <c r="Q37" i="6"/>
  <c r="Z37" i="6" s="1"/>
  <c r="Q38" i="6"/>
  <c r="Z38" i="6" s="1"/>
  <c r="Q39" i="6"/>
  <c r="Z39" i="6" s="1"/>
  <c r="Q64" i="6"/>
  <c r="Z64" i="6" s="1"/>
  <c r="Q65" i="6"/>
  <c r="Z65" i="6" s="1"/>
  <c r="Q60" i="6"/>
  <c r="Z60" i="6" s="1"/>
  <c r="Q57" i="6"/>
  <c r="Z57" i="6" s="1"/>
  <c r="Q58" i="6"/>
  <c r="Z58" i="6" s="1"/>
  <c r="Q59" i="6"/>
  <c r="Z59" i="6" s="1"/>
  <c r="Q61" i="6"/>
  <c r="Z61" i="6" s="1"/>
  <c r="Q62" i="6"/>
  <c r="Z62" i="6" s="1"/>
  <c r="Q63" i="6"/>
  <c r="Z63" i="6" s="1"/>
  <c r="Q56" i="6"/>
  <c r="Z56" i="6" s="1"/>
  <c r="Q29" i="6"/>
  <c r="Z29" i="6" s="1"/>
  <c r="Q21" i="6"/>
  <c r="Z21" i="6" s="1"/>
  <c r="Q22" i="6"/>
  <c r="Z22" i="6" s="1"/>
  <c r="Q23" i="6"/>
  <c r="Z23" i="6" s="1"/>
  <c r="Q24" i="6"/>
  <c r="Z24" i="6" s="1"/>
  <c r="Q25" i="6"/>
  <c r="Z25" i="6" s="1"/>
  <c r="Q26" i="6"/>
  <c r="Z26" i="6" s="1"/>
  <c r="Q27" i="6"/>
  <c r="Z27" i="6" s="1"/>
  <c r="Q28" i="6"/>
  <c r="Z28" i="6" s="1"/>
  <c r="Q40" i="6"/>
  <c r="Z40" i="6" s="1"/>
  <c r="Q41" i="6"/>
  <c r="Z41" i="6" s="1"/>
  <c r="Q42" i="6"/>
  <c r="Z42" i="6" s="1"/>
  <c r="Q43" i="6"/>
  <c r="Z43" i="6" s="1"/>
  <c r="Q44" i="6"/>
  <c r="Z44" i="6" s="1"/>
  <c r="Q45" i="6"/>
  <c r="Z45" i="6" s="1"/>
  <c r="Q46" i="6"/>
  <c r="Z46" i="6" s="1"/>
  <c r="Q47" i="6"/>
  <c r="Z47" i="6" s="1"/>
  <c r="Q48" i="6"/>
  <c r="Z48" i="6" s="1"/>
  <c r="Q49" i="6"/>
  <c r="Z49" i="6" s="1"/>
  <c r="Z20" i="6"/>
  <c r="E19" i="21"/>
  <c r="P19" i="25"/>
  <c r="P21" i="25"/>
  <c r="P22" i="25"/>
  <c r="P23" i="25"/>
  <c r="P24" i="25"/>
  <c r="P25" i="25"/>
  <c r="P26" i="25"/>
  <c r="P27" i="25"/>
  <c r="P28" i="25"/>
  <c r="P29" i="25"/>
  <c r="P30" i="25"/>
  <c r="P31" i="25"/>
  <c r="P32" i="25"/>
  <c r="P33" i="25"/>
  <c r="P34" i="25"/>
  <c r="P35" i="25"/>
  <c r="P36" i="25"/>
  <c r="P37" i="25"/>
  <c r="P18" i="25"/>
  <c r="B22" i="16"/>
  <c r="D208" i="4"/>
  <c r="D207" i="4"/>
  <c r="D206" i="4"/>
  <c r="D205" i="4"/>
  <c r="G440" i="23"/>
  <c r="G438" i="23"/>
  <c r="G437" i="23"/>
  <c r="G436" i="23"/>
  <c r="G435" i="23"/>
  <c r="G434" i="23"/>
  <c r="G433" i="23"/>
  <c r="G432" i="23"/>
  <c r="G431" i="23"/>
  <c r="G430" i="23"/>
  <c r="G429" i="23"/>
  <c r="G428" i="23"/>
  <c r="G427" i="23"/>
  <c r="G426" i="23"/>
  <c r="G425" i="23"/>
  <c r="G424" i="23"/>
  <c r="G423" i="23"/>
  <c r="G422" i="23"/>
  <c r="G421" i="23"/>
  <c r="G420" i="23"/>
  <c r="G415" i="23"/>
  <c r="G413" i="23"/>
  <c r="G412" i="23"/>
  <c r="G411" i="23"/>
  <c r="G410" i="23"/>
  <c r="G409" i="23"/>
  <c r="G408" i="23"/>
  <c r="G407" i="23"/>
  <c r="G406" i="23"/>
  <c r="G405" i="23"/>
  <c r="G404" i="23"/>
  <c r="G403" i="23"/>
  <c r="G402" i="23"/>
  <c r="G401" i="23"/>
  <c r="G400" i="23"/>
  <c r="G399" i="23"/>
  <c r="G398" i="23"/>
  <c r="G397" i="23"/>
  <c r="G396" i="23"/>
  <c r="G395" i="23"/>
  <c r="G390" i="23"/>
  <c r="G388" i="23"/>
  <c r="G387" i="23"/>
  <c r="G386" i="23"/>
  <c r="G385" i="23"/>
  <c r="G384" i="23"/>
  <c r="G383" i="23"/>
  <c r="G382" i="23"/>
  <c r="G381" i="23"/>
  <c r="G380" i="23"/>
  <c r="G379" i="23"/>
  <c r="G378" i="23"/>
  <c r="G377" i="23"/>
  <c r="G376" i="23"/>
  <c r="G375" i="23"/>
  <c r="G374" i="23"/>
  <c r="G373" i="23"/>
  <c r="G372" i="23"/>
  <c r="G371" i="23"/>
  <c r="G370" i="23"/>
  <c r="G365" i="23"/>
  <c r="G363" i="23"/>
  <c r="G362" i="23"/>
  <c r="G361" i="23"/>
  <c r="G360" i="23"/>
  <c r="G359" i="23"/>
  <c r="G358" i="23"/>
  <c r="G357" i="23"/>
  <c r="G356" i="23"/>
  <c r="G355" i="23"/>
  <c r="G354" i="23"/>
  <c r="G353" i="23"/>
  <c r="G352" i="23"/>
  <c r="G351" i="23"/>
  <c r="G350" i="23"/>
  <c r="G349" i="23"/>
  <c r="G348" i="23"/>
  <c r="G347" i="23"/>
  <c r="G346" i="23"/>
  <c r="G345" i="23"/>
  <c r="G338" i="23"/>
  <c r="G336" i="23"/>
  <c r="G335" i="23"/>
  <c r="G334" i="23"/>
  <c r="G333" i="23"/>
  <c r="G332" i="23"/>
  <c r="G331" i="23"/>
  <c r="G330" i="23"/>
  <c r="G329" i="23"/>
  <c r="G328" i="23"/>
  <c r="G327" i="23"/>
  <c r="G326" i="23"/>
  <c r="G325" i="23"/>
  <c r="G324" i="23"/>
  <c r="G323" i="23"/>
  <c r="G322" i="23"/>
  <c r="G321" i="23"/>
  <c r="G320" i="23"/>
  <c r="G319" i="23"/>
  <c r="G318" i="23"/>
  <c r="G313" i="23"/>
  <c r="G311" i="23"/>
  <c r="G310" i="23"/>
  <c r="G309" i="23"/>
  <c r="G308" i="23"/>
  <c r="G307" i="23"/>
  <c r="G306" i="23"/>
  <c r="G305" i="23"/>
  <c r="G304" i="23"/>
  <c r="G303" i="23"/>
  <c r="G302" i="23"/>
  <c r="G301" i="23"/>
  <c r="G300" i="23"/>
  <c r="G299" i="23"/>
  <c r="G298" i="23"/>
  <c r="G297" i="23"/>
  <c r="G296" i="23"/>
  <c r="G295" i="23"/>
  <c r="G294" i="23"/>
  <c r="G293" i="23"/>
  <c r="G288" i="23"/>
  <c r="G286" i="23"/>
  <c r="G285" i="23"/>
  <c r="G284" i="23"/>
  <c r="G283" i="23"/>
  <c r="G282" i="23"/>
  <c r="G281" i="23"/>
  <c r="G280" i="23"/>
  <c r="G279" i="23"/>
  <c r="G278" i="23"/>
  <c r="G277" i="23"/>
  <c r="G276" i="23"/>
  <c r="G274" i="23"/>
  <c r="G273" i="23"/>
  <c r="G272" i="23"/>
  <c r="G271" i="23"/>
  <c r="G270" i="23"/>
  <c r="G269" i="23"/>
  <c r="G268" i="23"/>
  <c r="G263" i="23"/>
  <c r="G261" i="23"/>
  <c r="G260" i="23"/>
  <c r="G259" i="23"/>
  <c r="G258" i="23"/>
  <c r="G257" i="23"/>
  <c r="G256" i="23"/>
  <c r="G255" i="23"/>
  <c r="G254" i="23"/>
  <c r="G253" i="23"/>
  <c r="G252" i="23"/>
  <c r="G251" i="23"/>
  <c r="G250" i="23"/>
  <c r="G249" i="23"/>
  <c r="G248" i="23"/>
  <c r="G247" i="23"/>
  <c r="G246" i="23"/>
  <c r="G245" i="23"/>
  <c r="G244" i="23"/>
  <c r="G243" i="23"/>
  <c r="G236" i="23"/>
  <c r="G234" i="23"/>
  <c r="G233" i="23"/>
  <c r="G232" i="23"/>
  <c r="G231" i="23"/>
  <c r="G230" i="23"/>
  <c r="G229" i="23"/>
  <c r="G228" i="23"/>
  <c r="G227" i="23"/>
  <c r="G226" i="23"/>
  <c r="G225" i="23"/>
  <c r="G224" i="23"/>
  <c r="G223" i="23"/>
  <c r="G222" i="23"/>
  <c r="G221" i="23"/>
  <c r="G220" i="23"/>
  <c r="G219" i="23"/>
  <c r="G218" i="23"/>
  <c r="G217" i="23"/>
  <c r="G216" i="23"/>
  <c r="G211" i="23"/>
  <c r="G209" i="23"/>
  <c r="G208" i="23"/>
  <c r="G207" i="23"/>
  <c r="G206" i="23"/>
  <c r="G205" i="23"/>
  <c r="G204" i="23"/>
  <c r="G203" i="23"/>
  <c r="G202" i="23"/>
  <c r="G201" i="23"/>
  <c r="G200" i="23"/>
  <c r="G199" i="23"/>
  <c r="G198" i="23"/>
  <c r="G197" i="23"/>
  <c r="G196" i="23"/>
  <c r="G195" i="23"/>
  <c r="G194" i="23"/>
  <c r="G193" i="23"/>
  <c r="G192" i="23"/>
  <c r="G191" i="23"/>
  <c r="G186" i="23"/>
  <c r="G184" i="23"/>
  <c r="G183" i="23"/>
  <c r="G182" i="23"/>
  <c r="G181" i="23"/>
  <c r="G180" i="23"/>
  <c r="G179" i="23"/>
  <c r="G178" i="23"/>
  <c r="G177" i="23"/>
  <c r="G176" i="23"/>
  <c r="G175" i="23"/>
  <c r="G174" i="23"/>
  <c r="G173" i="23"/>
  <c r="G172" i="23"/>
  <c r="G171" i="23"/>
  <c r="G170" i="23"/>
  <c r="G169" i="23"/>
  <c r="G168" i="23"/>
  <c r="G167" i="23"/>
  <c r="G166" i="23"/>
  <c r="G157" i="23"/>
  <c r="G161" i="23"/>
  <c r="G159" i="23"/>
  <c r="G158" i="23"/>
  <c r="G156" i="23"/>
  <c r="G155" i="23"/>
  <c r="G154" i="23"/>
  <c r="G153" i="23"/>
  <c r="G152" i="23"/>
  <c r="G151" i="23"/>
  <c r="G150" i="23"/>
  <c r="G149" i="23"/>
  <c r="G148" i="23"/>
  <c r="G147" i="23"/>
  <c r="G146" i="23"/>
  <c r="G145" i="23"/>
  <c r="G144" i="23"/>
  <c r="G143" i="23"/>
  <c r="G142" i="23"/>
  <c r="G141" i="23"/>
  <c r="G134" i="23"/>
  <c r="G132" i="23"/>
  <c r="G131" i="23"/>
  <c r="G130" i="23"/>
  <c r="G129" i="23"/>
  <c r="G127" i="23"/>
  <c r="G126" i="23"/>
  <c r="G125" i="23"/>
  <c r="G124" i="23"/>
  <c r="G123" i="23"/>
  <c r="G121" i="23"/>
  <c r="G120" i="23"/>
  <c r="G119" i="23"/>
  <c r="G118" i="23"/>
  <c r="G116" i="23"/>
  <c r="G115" i="23"/>
  <c r="G114" i="23"/>
  <c r="G109" i="23"/>
  <c r="G107" i="23"/>
  <c r="G106" i="23"/>
  <c r="G105" i="23"/>
  <c r="G104" i="23"/>
  <c r="G103" i="23"/>
  <c r="G102" i="23"/>
  <c r="G101" i="23"/>
  <c r="G100" i="23"/>
  <c r="G99" i="23"/>
  <c r="G98" i="23"/>
  <c r="G97" i="23"/>
  <c r="G96" i="23"/>
  <c r="G95" i="23"/>
  <c r="G94" i="23"/>
  <c r="G93" i="23"/>
  <c r="G92" i="23"/>
  <c r="G91" i="23"/>
  <c r="G90" i="23"/>
  <c r="G89" i="23"/>
  <c r="G84" i="23"/>
  <c r="G82" i="23"/>
  <c r="G81" i="23"/>
  <c r="G80" i="23"/>
  <c r="G79" i="23"/>
  <c r="G78" i="23"/>
  <c r="G77" i="23"/>
  <c r="G76" i="23"/>
  <c r="G75" i="23"/>
  <c r="G74" i="23"/>
  <c r="G73" i="23"/>
  <c r="G72" i="23"/>
  <c r="G71" i="23"/>
  <c r="G70" i="23"/>
  <c r="G69" i="23"/>
  <c r="G68" i="23"/>
  <c r="G67" i="23"/>
  <c r="G66" i="23"/>
  <c r="G65" i="23"/>
  <c r="G64" i="23"/>
  <c r="G59" i="23"/>
  <c r="G57" i="23"/>
  <c r="G56" i="23"/>
  <c r="G55" i="23"/>
  <c r="G54" i="23"/>
  <c r="G53" i="23"/>
  <c r="G52" i="23"/>
  <c r="G51" i="23"/>
  <c r="G50" i="23"/>
  <c r="G49" i="23"/>
  <c r="G48" i="23"/>
  <c r="G47" i="23"/>
  <c r="G46" i="23"/>
  <c r="G45" i="23"/>
  <c r="G44" i="23"/>
  <c r="G43" i="23"/>
  <c r="G42" i="23"/>
  <c r="G41" i="23"/>
  <c r="G40" i="23"/>
  <c r="G34" i="23"/>
  <c r="G32" i="23"/>
  <c r="G31" i="23"/>
  <c r="G30" i="23"/>
  <c r="G29" i="23"/>
  <c r="G28" i="23"/>
  <c r="G27" i="23"/>
  <c r="G26" i="23"/>
  <c r="G25" i="23"/>
  <c r="G24" i="23"/>
  <c r="G23" i="23"/>
  <c r="G22" i="23"/>
  <c r="G21" i="23"/>
  <c r="G20" i="23"/>
  <c r="G19" i="23"/>
  <c r="G18" i="23"/>
  <c r="G17" i="23"/>
  <c r="G16" i="23"/>
  <c r="S124" i="4"/>
  <c r="P227" i="4" l="1"/>
  <c r="P958" i="10"/>
  <c r="P957" i="10" s="1"/>
  <c r="O227" i="4"/>
  <c r="Q227" i="4"/>
  <c r="C20" i="16"/>
  <c r="V232" i="6"/>
  <c r="P14" i="25"/>
  <c r="Q12" i="25" s="1"/>
  <c r="T232" i="6"/>
  <c r="U232" i="6"/>
  <c r="H417" i="23"/>
  <c r="H342" i="23"/>
  <c r="S232" i="6"/>
  <c r="Z86" i="6"/>
  <c r="Z122" i="6"/>
  <c r="Z50" i="6"/>
  <c r="Z158" i="6"/>
  <c r="Z194" i="6"/>
  <c r="Y230" i="6"/>
  <c r="Q86" i="6"/>
  <c r="C29" i="16" s="1"/>
  <c r="Q50" i="6"/>
  <c r="C28" i="16" s="1"/>
  <c r="H138" i="23"/>
  <c r="H213" i="23"/>
  <c r="H367" i="23"/>
  <c r="H163" i="23"/>
  <c r="H240" i="23"/>
  <c r="H392" i="23"/>
  <c r="H290" i="23"/>
  <c r="H188" i="23"/>
  <c r="H315" i="23"/>
  <c r="H265" i="23"/>
  <c r="H61" i="23"/>
  <c r="H111" i="23"/>
  <c r="H86" i="23"/>
  <c r="H11" i="23"/>
  <c r="H36" i="23"/>
  <c r="C13" i="16"/>
  <c r="C14" i="16"/>
  <c r="X27" i="21"/>
  <c r="B24" i="16"/>
  <c r="B15" i="16"/>
  <c r="G24" i="21"/>
  <c r="X24" i="21" s="1"/>
  <c r="E24" i="21"/>
  <c r="Q199" i="4"/>
  <c r="D40" i="16" s="1"/>
  <c r="C24" i="16"/>
  <c r="D45" i="16" s="1"/>
  <c r="C15" i="16"/>
  <c r="D46" i="16" s="1"/>
  <c r="B16" i="16"/>
  <c r="B33" i="16"/>
  <c r="C16" i="16"/>
  <c r="B32" i="16"/>
  <c r="B30" i="16"/>
  <c r="B29" i="16"/>
  <c r="B28" i="16"/>
  <c r="B25" i="16"/>
  <c r="B21" i="16"/>
  <c r="B20" i="16"/>
  <c r="B19" i="16"/>
  <c r="B14" i="16"/>
  <c r="B13" i="16"/>
  <c r="B12" i="16"/>
  <c r="Q51" i="4"/>
  <c r="Q194" i="6"/>
  <c r="D42" i="16" s="1"/>
  <c r="Q158" i="6"/>
  <c r="C31" i="16" s="1"/>
  <c r="Q122" i="6"/>
  <c r="C30" i="16" s="1"/>
  <c r="Z37" i="21"/>
  <c r="Z38" i="21"/>
  <c r="Z39" i="21"/>
  <c r="G23" i="21"/>
  <c r="X23" i="21" s="1"/>
  <c r="G22" i="21"/>
  <c r="X22" i="21" s="1"/>
  <c r="E23" i="21"/>
  <c r="E22" i="21"/>
  <c r="T441" i="10"/>
  <c r="T440" i="10"/>
  <c r="C19" i="16" l="1"/>
  <c r="D39" i="16"/>
  <c r="C32" i="16"/>
  <c r="I215" i="4"/>
  <c r="I224" i="4" s="1"/>
  <c r="H341" i="23"/>
  <c r="I208" i="4" s="1"/>
  <c r="S208" i="4" s="1"/>
  <c r="C25" i="16"/>
  <c r="U436" i="10"/>
  <c r="O23" i="21" s="1"/>
  <c r="Y23" i="21" s="1"/>
  <c r="Z66" i="21"/>
  <c r="C6" i="16"/>
  <c r="P541" i="10"/>
  <c r="O24" i="21" s="1"/>
  <c r="Y24" i="21" s="1"/>
  <c r="Z232" i="6"/>
  <c r="Q232" i="6"/>
  <c r="C27" i="16" s="1"/>
  <c r="C91" i="16" s="1"/>
  <c r="H10" i="23"/>
  <c r="I205" i="4" s="1"/>
  <c r="H239" i="23"/>
  <c r="I207" i="4" s="1"/>
  <c r="S207" i="4" s="1"/>
  <c r="H137" i="23"/>
  <c r="I206" i="4" s="1"/>
  <c r="S206" i="4" s="1"/>
  <c r="U120" i="10"/>
  <c r="O20" i="21" s="1"/>
  <c r="Y20" i="21" s="1"/>
  <c r="X26" i="21"/>
  <c r="G25" i="21"/>
  <c r="X25" i="21" s="1"/>
  <c r="G21" i="21"/>
  <c r="X21" i="21" s="1"/>
  <c r="X20" i="21"/>
  <c r="E27" i="21"/>
  <c r="E26" i="21"/>
  <c r="E25" i="21"/>
  <c r="E21" i="21"/>
  <c r="F25" i="11"/>
  <c r="G25" i="11" s="1"/>
  <c r="F26" i="11"/>
  <c r="G26" i="11" s="1"/>
  <c r="F27" i="11"/>
  <c r="G27" i="11" s="1"/>
  <c r="F28" i="11"/>
  <c r="G28" i="11" s="1"/>
  <c r="F29" i="11"/>
  <c r="G29" i="11" s="1"/>
  <c r="F30" i="11"/>
  <c r="G30" i="11" s="1"/>
  <c r="F31" i="11"/>
  <c r="G31" i="11" s="1"/>
  <c r="F32" i="11"/>
  <c r="G32" i="11" s="1"/>
  <c r="F24" i="11"/>
  <c r="G24" i="11" s="1"/>
  <c r="G22" i="11" s="1"/>
  <c r="F13" i="11"/>
  <c r="G13" i="11" s="1"/>
  <c r="F14" i="11"/>
  <c r="G14" i="11" s="1"/>
  <c r="F15" i="11"/>
  <c r="G15" i="11" s="1"/>
  <c r="F16" i="11"/>
  <c r="G16" i="11" s="1"/>
  <c r="G12" i="11"/>
  <c r="D22" i="11"/>
  <c r="E20" i="21"/>
  <c r="C4" i="16"/>
  <c r="G17" i="11"/>
  <c r="S215" i="4" l="1"/>
  <c r="S224" i="4" s="1"/>
  <c r="D43" i="16"/>
  <c r="I209" i="4"/>
  <c r="S205" i="4"/>
  <c r="S209" i="4" s="1"/>
  <c r="U649" i="10"/>
  <c r="U648" i="10" s="1"/>
  <c r="U225" i="10"/>
  <c r="O21" i="21" s="1"/>
  <c r="Y21" i="21" s="1"/>
  <c r="O27" i="21"/>
  <c r="Y27" i="21" s="1"/>
  <c r="O26" i="21"/>
  <c r="Y26" i="21" s="1"/>
  <c r="U15" i="10"/>
  <c r="U330" i="10"/>
  <c r="C22" i="16" l="1"/>
  <c r="D44" i="16"/>
  <c r="C23" i="16"/>
  <c r="N227" i="4"/>
  <c r="C18" i="16" s="1"/>
  <c r="C90" i="16" s="1"/>
  <c r="S227" i="4"/>
  <c r="U13" i="10"/>
  <c r="L9" i="10" s="1"/>
  <c r="D38" i="16" s="1"/>
  <c r="O25" i="21"/>
  <c r="Y25" i="21" s="1"/>
  <c r="O22" i="21"/>
  <c r="Y22" i="21" s="1"/>
  <c r="O19" i="21"/>
  <c r="Y19" i="21" s="1"/>
  <c r="D47" i="16" l="1"/>
  <c r="C3" i="16"/>
  <c r="Y28" i="21"/>
  <c r="Z201" i="21" s="1"/>
  <c r="O28" i="21"/>
  <c r="Q201" i="21" s="1"/>
  <c r="C11" i="16" s="1"/>
  <c r="C89" i="16" l="1"/>
  <c r="C92" i="16" s="1"/>
  <c r="D89" i="16" s="1"/>
  <c r="C12" i="16"/>
  <c r="U163" i="4"/>
  <c r="D92" i="16" l="1"/>
  <c r="D90" i="16"/>
  <c r="D91" i="16"/>
  <c r="R227" i="4"/>
  <c r="C5" i="16" s="1"/>
  <c r="C7" i="16" s="1"/>
  <c r="C46" i="16"/>
  <c r="C41" i="16"/>
  <c r="C39" i="16"/>
  <c r="C40" i="16"/>
  <c r="C42" i="16"/>
  <c r="C43" i="16"/>
  <c r="C44" i="16"/>
  <c r="C45" i="16"/>
  <c r="C38" i="16"/>
  <c r="D27" i="16" l="1"/>
  <c r="D11" i="16"/>
  <c r="C47" i="16"/>
  <c r="D18" i="16"/>
</calcChain>
</file>

<file path=xl/sharedStrings.xml><?xml version="1.0" encoding="utf-8"?>
<sst xmlns="http://schemas.openxmlformats.org/spreadsheetml/2006/main" count="7163" uniqueCount="1911">
  <si>
    <t>Abia</t>
  </si>
  <si>
    <t>Adamawa</t>
  </si>
  <si>
    <t>Ebonyi</t>
  </si>
  <si>
    <t>Edo</t>
  </si>
  <si>
    <t>Ekiti</t>
  </si>
  <si>
    <t>Enugu</t>
  </si>
  <si>
    <t>Gombe</t>
  </si>
  <si>
    <t>Kaduna</t>
  </si>
  <si>
    <t>Kebbi</t>
  </si>
  <si>
    <t>Kwara</t>
  </si>
  <si>
    <t>Lagos</t>
  </si>
  <si>
    <t>Nasarawa</t>
  </si>
  <si>
    <t>Niger</t>
  </si>
  <si>
    <t>Ogun</t>
  </si>
  <si>
    <t>Ondo</t>
  </si>
  <si>
    <t>Osun</t>
  </si>
  <si>
    <t>Oyo</t>
  </si>
  <si>
    <t>Plateau</t>
  </si>
  <si>
    <t>Rivers</t>
  </si>
  <si>
    <t>Sokoto</t>
  </si>
  <si>
    <t>Taraba</t>
  </si>
  <si>
    <t>Yobe</t>
  </si>
  <si>
    <t>Zamfara</t>
  </si>
  <si>
    <t>FCT</t>
  </si>
  <si>
    <t>Pillar 1</t>
  </si>
  <si>
    <t>Expand access to UBE especially for rural and undeserved populations</t>
  </si>
  <si>
    <t>Pillar 2</t>
  </si>
  <si>
    <t>Pillar 3</t>
  </si>
  <si>
    <t>Pillar 4</t>
  </si>
  <si>
    <t>Enhance Quality of Teaching and Learning</t>
  </si>
  <si>
    <t>Reform and Strengthen Basic Education Financing</t>
  </si>
  <si>
    <t>Optimize institutional systems for quality service delivery</t>
  </si>
  <si>
    <t xml:space="preserve">Enablers </t>
  </si>
  <si>
    <t>Click to return to welcome page</t>
  </si>
  <si>
    <t>Activity</t>
  </si>
  <si>
    <t>S/N</t>
  </si>
  <si>
    <t>Timeline</t>
  </si>
  <si>
    <t>Q1</t>
  </si>
  <si>
    <t>Q2</t>
  </si>
  <si>
    <t>Q3</t>
  </si>
  <si>
    <t>Q4</t>
  </si>
  <si>
    <t>Total cost</t>
  </si>
  <si>
    <t>Code</t>
  </si>
  <si>
    <t>Renovation</t>
  </si>
  <si>
    <t>Name of school</t>
  </si>
  <si>
    <t>GPS of school</t>
  </si>
  <si>
    <t>Pillar 2: Enhance Quality of Teaching and Learning</t>
  </si>
  <si>
    <t xml:space="preserve">Grand Total </t>
  </si>
  <si>
    <t>Input</t>
  </si>
  <si>
    <t>Quantity</t>
  </si>
  <si>
    <t>Frequency</t>
  </si>
  <si>
    <t>Unit cost</t>
  </si>
  <si>
    <t xml:space="preserve">Total </t>
  </si>
  <si>
    <t>Resource mapping</t>
  </si>
  <si>
    <t>Government fund</t>
  </si>
  <si>
    <t>Development partner 1</t>
  </si>
  <si>
    <t>Name</t>
  </si>
  <si>
    <t>Amount</t>
  </si>
  <si>
    <t>Development partner 2</t>
  </si>
  <si>
    <t>Funding gap</t>
  </si>
  <si>
    <t>Cost Items</t>
  </si>
  <si>
    <t>•</t>
  </si>
  <si>
    <t>State education budget</t>
  </si>
  <si>
    <t>UBEC matching grant</t>
  </si>
  <si>
    <t>Unit Cost (₦)</t>
  </si>
  <si>
    <t>Funding gap for pillar</t>
  </si>
  <si>
    <t>Grand total cost</t>
  </si>
  <si>
    <t xml:space="preserve">Total state education budget </t>
  </si>
  <si>
    <t>Total UBEC matching grant</t>
  </si>
  <si>
    <t>Total development partner fund</t>
  </si>
  <si>
    <t>Pillar 2: Enhance quality of teaching and learning</t>
  </si>
  <si>
    <t>Sheet name</t>
  </si>
  <si>
    <t>Description</t>
  </si>
  <si>
    <t>Welcome Page</t>
  </si>
  <si>
    <t>Description of sheets</t>
  </si>
  <si>
    <t>Unit Cost Set-Up</t>
  </si>
  <si>
    <t>Infrastructure Projects</t>
  </si>
  <si>
    <r>
      <t xml:space="preserve">This sheet describes all the other sheets on this tool. 
</t>
    </r>
    <r>
      <rPr>
        <b/>
        <i/>
        <sz val="11"/>
        <color theme="1"/>
        <rFont val="Segoe UI"/>
        <family val="2"/>
      </rPr>
      <t xml:space="preserve">NO INPUT </t>
    </r>
    <r>
      <rPr>
        <i/>
        <sz val="11"/>
        <color theme="1"/>
        <rFont val="Segoe UI"/>
        <family val="2"/>
      </rPr>
      <t>REQUIRED ON THIS SHEET</t>
    </r>
  </si>
  <si>
    <t>Activity costing</t>
  </si>
  <si>
    <t>Total budget summary</t>
  </si>
  <si>
    <t>Dashboard</t>
  </si>
  <si>
    <t>Pillar</t>
  </si>
  <si>
    <t>Pillar 1: Expand access to UBE esp for rural and undeserved populations</t>
  </si>
  <si>
    <t>Total</t>
  </si>
  <si>
    <t>Summary of Funds Allocated by Pillar</t>
  </si>
  <si>
    <t>Percentage of total budget</t>
  </si>
  <si>
    <t>Percentage</t>
  </si>
  <si>
    <t>Sports Development</t>
  </si>
  <si>
    <t>Quality Assurance Monitoring</t>
  </si>
  <si>
    <t>Supervision and Project Monitoring</t>
  </si>
  <si>
    <r>
      <t xml:space="preserve">This sheet includes all the unit costs required for costing activities. Update the sheet frequently with cost items and their unit costs.
</t>
    </r>
    <r>
      <rPr>
        <b/>
        <i/>
        <sz val="11"/>
        <color theme="1"/>
        <rFont val="Segoe UI"/>
        <family val="2"/>
      </rPr>
      <t xml:space="preserve">INPUT </t>
    </r>
    <r>
      <rPr>
        <i/>
        <sz val="11"/>
        <color theme="1"/>
        <rFont val="Segoe UI"/>
        <family val="2"/>
      </rPr>
      <t>REQUIRED ON THIS SHEET</t>
    </r>
  </si>
  <si>
    <r>
      <t xml:space="preserve">This sheet is where all the activities to be carried out in the year are listed, categorized under the relevant pillar and priority initiative. 
</t>
    </r>
    <r>
      <rPr>
        <b/>
        <i/>
        <sz val="11"/>
        <color theme="1"/>
        <rFont val="Segoe UI"/>
        <family val="2"/>
      </rPr>
      <t xml:space="preserve">INPUT </t>
    </r>
    <r>
      <rPr>
        <i/>
        <sz val="11"/>
        <color theme="1"/>
        <rFont val="Segoe UI"/>
        <family val="2"/>
      </rPr>
      <t>REQUIRED ON THIS SHEET</t>
    </r>
  </si>
  <si>
    <r>
      <t xml:space="preserve">This sheet provides a break down of all infrastructure projects planned for the year. 
</t>
    </r>
    <r>
      <rPr>
        <b/>
        <i/>
        <sz val="11"/>
        <color theme="1"/>
        <rFont val="Segoe UI"/>
        <family val="2"/>
      </rPr>
      <t xml:space="preserve">INPUT </t>
    </r>
    <r>
      <rPr>
        <i/>
        <sz val="11"/>
        <color theme="1"/>
        <rFont val="Segoe UI"/>
        <family val="2"/>
      </rPr>
      <t>REQUIRED ON THIS SHEET</t>
    </r>
  </si>
  <si>
    <r>
      <t xml:space="preserve">This sheet includes visualization the budget summary for each pillar and trackes the implementation status of activities. It is usefule during action plan review meetings
</t>
    </r>
    <r>
      <rPr>
        <b/>
        <i/>
        <sz val="11"/>
        <color theme="1"/>
        <rFont val="Segoe UI"/>
        <family val="2"/>
      </rPr>
      <t xml:space="preserve">
NO INPUT </t>
    </r>
    <r>
      <rPr>
        <i/>
        <sz val="11"/>
        <color theme="1"/>
        <rFont val="Segoe UI"/>
        <family val="2"/>
      </rPr>
      <t>REQUIRED ON THIS SHEET</t>
    </r>
  </si>
  <si>
    <r>
      <t xml:space="preserve">This is the landing sheet for this tool. It includes the instructions for completing this tool. Fill in the name of your state and the action plan year on this sheet.
</t>
    </r>
    <r>
      <rPr>
        <b/>
        <i/>
        <sz val="11"/>
        <color theme="1"/>
        <rFont val="Segoe UI"/>
        <family val="2"/>
      </rPr>
      <t xml:space="preserve">INPUT </t>
    </r>
    <r>
      <rPr>
        <i/>
        <sz val="11"/>
        <color theme="1"/>
        <rFont val="Segoe UI"/>
        <family val="2"/>
      </rPr>
      <t>IS REQUIRED ON THIS SHEET</t>
    </r>
  </si>
  <si>
    <r>
      <t xml:space="preserve">This sheet provides and overview of the budget for each pillar, the funding source and the funding gap. 
</t>
    </r>
    <r>
      <rPr>
        <b/>
        <i/>
        <sz val="11"/>
        <color theme="1"/>
        <rFont val="Segoe UI"/>
        <family val="2"/>
      </rPr>
      <t xml:space="preserve">INPUT </t>
    </r>
    <r>
      <rPr>
        <i/>
        <sz val="11"/>
        <color theme="1"/>
        <rFont val="Segoe UI"/>
        <family val="2"/>
      </rPr>
      <t>REQUIRED ON THIS SHEET</t>
    </r>
  </si>
  <si>
    <t>Expected output</t>
  </si>
  <si>
    <t>Duration</t>
  </si>
  <si>
    <t>State Government education budget</t>
  </si>
  <si>
    <t>Achievement indicator</t>
  </si>
  <si>
    <t>LGA</t>
  </si>
  <si>
    <t>Latitude</t>
  </si>
  <si>
    <t xml:space="preserve">Construction type: </t>
  </si>
  <si>
    <t xml:space="preserve">Renovation type: </t>
  </si>
  <si>
    <t>Focus</t>
  </si>
  <si>
    <t>Construction</t>
  </si>
  <si>
    <t>Furniture and equipment</t>
  </si>
  <si>
    <t>Remarks</t>
  </si>
  <si>
    <t>Number of expected beneficiaries</t>
  </si>
  <si>
    <t>Enabler: Instituting a framework for quality assurance to improve access to basic education</t>
  </si>
  <si>
    <t>Objective</t>
  </si>
  <si>
    <t>Total quantity required (from needs assessment)</t>
  </si>
  <si>
    <t>Objective: To enhance access to education for children in a conducive, safe and modern environment to enhance effective teaching, learning and administration</t>
  </si>
  <si>
    <t>Rationale/Reason for choice of activity</t>
  </si>
  <si>
    <t>Timeline/Duration</t>
  </si>
  <si>
    <t>Number of expected beneficiaries (OOSC)</t>
  </si>
  <si>
    <t>Objective: Reintegrate out of school children and increase enrolment to improve access to education</t>
  </si>
  <si>
    <t>Pillar 1,2,3</t>
  </si>
  <si>
    <t>ANNUAL BASIC EDUCATION ACTION PLAN</t>
  </si>
  <si>
    <t>Review the list below. 
Add additional cost items or Adjust the unit cost where necessary. 
Please make all entries within the table</t>
  </si>
  <si>
    <t xml:space="preserve">State-specific Cost Assumptions </t>
  </si>
  <si>
    <t>Pillar 3: Optimize institutional systemns for quality service delivery</t>
  </si>
  <si>
    <t>Construction of 2 classrooms with 2 playrooms, 4 toilets and interlocking</t>
  </si>
  <si>
    <r>
      <t xml:space="preserve">All activities listed under the Pillar 1,2,3 sheets should be costed here. 
</t>
    </r>
    <r>
      <rPr>
        <b/>
        <i/>
        <sz val="11"/>
        <color theme="1"/>
        <rFont val="Segoe UI"/>
        <family val="2"/>
      </rPr>
      <t xml:space="preserve">INPUT </t>
    </r>
    <r>
      <rPr>
        <i/>
        <sz val="11"/>
        <color theme="1"/>
        <rFont val="Segoe UI"/>
        <family val="2"/>
      </rPr>
      <t>REQUIRED ON THIS SHEET</t>
    </r>
  </si>
  <si>
    <t>Expected output/Deliverable</t>
  </si>
  <si>
    <t>UBEC+State matching grant</t>
  </si>
  <si>
    <t>Procurement of teacher furniture</t>
  </si>
  <si>
    <t>Furniture</t>
  </si>
  <si>
    <t>Pillar 1: Expand access to UBE especially for rural and underserved populations</t>
  </si>
  <si>
    <t>Total budget summary &amp; Dashboard</t>
  </si>
  <si>
    <t>Unit cost per meter</t>
  </si>
  <si>
    <r>
      <t xml:space="preserve">Achievement indicator </t>
    </r>
    <r>
      <rPr>
        <i/>
        <sz val="11"/>
        <color theme="5" tint="-0.499984740745262"/>
        <rFont val="Segoe UI"/>
        <family val="2"/>
      </rPr>
      <t>(% of project completed)</t>
    </r>
  </si>
  <si>
    <t>Pillar 3: Optimize institutional systems for quality service delivery</t>
  </si>
  <si>
    <t>TOTAL</t>
  </si>
  <si>
    <t>Priority initiative 3.3: Strengthen SUBEB’s brand reputation with stakeholders through strategic engagements, media, and other activities</t>
  </si>
  <si>
    <t>Matching Grant Intervention: Sports Development</t>
  </si>
  <si>
    <t>Total Available UBE Funds</t>
  </si>
  <si>
    <t>Click the rows below to go the infrastructure project type you would like to enter</t>
  </si>
  <si>
    <t>STATE UNIVERSAL BASIC EDUCATION BOARD</t>
  </si>
  <si>
    <t>Insert SUBEB logo here</t>
  </si>
  <si>
    <t>Objective: Attract and retain learners through advocacy, behavior change, and demand generation, including for girls and learners with special needs</t>
  </si>
  <si>
    <t>Enabler: Partnerships and cross-sector collaboration to expand access to basic education</t>
  </si>
  <si>
    <t>Priority initiative 3.2: Ensure transparent and effective financial management at state and LGA levels</t>
  </si>
  <si>
    <t>Summary of Funds Allocated Across UBEC Matching Grant Utilization Domains (per guidelines)</t>
  </si>
  <si>
    <t xml:space="preserve">Number of teachers/education managers planned to be trained </t>
  </si>
  <si>
    <t>Unit cost per teacher/education manager</t>
  </si>
  <si>
    <t>Number of teachers/education managers required to be trained</t>
  </si>
  <si>
    <t>Sports Competitions</t>
  </si>
  <si>
    <t>Publicity and Administrations</t>
  </si>
  <si>
    <t>Supervision, Assessment and Verification</t>
  </si>
  <si>
    <t>Qty</t>
  </si>
  <si>
    <t xml:space="preserve">1.D. Type of Sport/Game: </t>
  </si>
  <si>
    <t xml:space="preserve">1.E. Type of Sport/Game: </t>
  </si>
  <si>
    <t>Item description</t>
  </si>
  <si>
    <t xml:space="preserve">Total Procurement cost </t>
  </si>
  <si>
    <t xml:space="preserve">Total cost of sports competitions </t>
  </si>
  <si>
    <t>2.C. Sport competition type</t>
  </si>
  <si>
    <t>2.D. Sport competition type</t>
  </si>
  <si>
    <t>3.A. Publicity and Administration type:</t>
  </si>
  <si>
    <t>3.B. Publicity and Administration type:</t>
  </si>
  <si>
    <t>3.C. Publicity and Administration type:</t>
  </si>
  <si>
    <t>3.D. Publicity and Administration type:</t>
  </si>
  <si>
    <t>Activity/Item description</t>
  </si>
  <si>
    <t xml:space="preserve">Total cost for Supervision, Assessment and Verification </t>
  </si>
  <si>
    <t>4.A.Supervision, Assessment and Verification type:</t>
  </si>
  <si>
    <t>4.B.Supervision, Assessment and Verification type:</t>
  </si>
  <si>
    <t>Click the rows below to go the sports pillars type you would like to enter</t>
  </si>
  <si>
    <t>Publicity and Administration</t>
  </si>
  <si>
    <t>Expected outcome</t>
  </si>
  <si>
    <t>Remark</t>
  </si>
  <si>
    <t>Location</t>
  </si>
  <si>
    <t>GPS coordinates</t>
  </si>
  <si>
    <t>Longitude</t>
  </si>
  <si>
    <t>Enterprise Code</t>
  </si>
  <si>
    <t>Location (Rural/Urban)</t>
  </si>
  <si>
    <t xml:space="preserve">Quantity </t>
  </si>
  <si>
    <t>4.C. Supervision, Assessment and Verification type:</t>
  </si>
  <si>
    <t>Activity/item description</t>
  </si>
  <si>
    <t xml:space="preserve">Total cost for Publicity and Administration </t>
  </si>
  <si>
    <t>Procurement of sport equipments</t>
  </si>
  <si>
    <t>Sports competitions</t>
  </si>
  <si>
    <t>Procurement of sports equipments</t>
  </si>
  <si>
    <t xml:space="preserve">Objective: </t>
  </si>
  <si>
    <t>Name of School</t>
  </si>
  <si>
    <t>Total Matching Grant Allocated in Action Plan</t>
  </si>
  <si>
    <t>Total Matching Grant Accessed</t>
  </si>
  <si>
    <t>Unit Cost</t>
  </si>
  <si>
    <t xml:space="preserve">Unit cost </t>
  </si>
  <si>
    <r>
      <t xml:space="preserve">Timeline
</t>
    </r>
    <r>
      <rPr>
        <i/>
        <sz val="11"/>
        <color theme="5" tint="-0.499984740745262"/>
        <rFont val="Segoe UI"/>
        <family val="2"/>
      </rPr>
      <t xml:space="preserve">(Shade as applicable) </t>
    </r>
  </si>
  <si>
    <r>
      <t xml:space="preserve">Target group
</t>
    </r>
    <r>
      <rPr>
        <i/>
        <sz val="11"/>
        <color theme="5" tint="-0.499984740745262"/>
        <rFont val="Segoe UI"/>
        <family val="2"/>
      </rPr>
      <t>(Select from the drop-down)</t>
    </r>
  </si>
  <si>
    <r>
      <t xml:space="preserve">Total cost
</t>
    </r>
    <r>
      <rPr>
        <i/>
        <sz val="11"/>
        <color theme="5" tint="-0.499984740745262"/>
        <rFont val="Segoe UI"/>
        <family val="2"/>
      </rPr>
      <t>(No input required)</t>
    </r>
  </si>
  <si>
    <r>
      <t xml:space="preserve">Implementation strategy
</t>
    </r>
    <r>
      <rPr>
        <i/>
        <sz val="11"/>
        <color theme="5" tint="-0.499984740745262"/>
        <rFont val="Segoe UI"/>
        <family val="2"/>
      </rPr>
      <t>(Select from the drop-down list)</t>
    </r>
  </si>
  <si>
    <t>3.1.1</t>
  </si>
  <si>
    <t>3.1.2</t>
  </si>
  <si>
    <t>3.1.3</t>
  </si>
  <si>
    <t>3.1.4</t>
  </si>
  <si>
    <t>3.1.5</t>
  </si>
  <si>
    <t>3.1.6</t>
  </si>
  <si>
    <t>3.1.7</t>
  </si>
  <si>
    <t>3.1.8</t>
  </si>
  <si>
    <t>3.1.9</t>
  </si>
  <si>
    <t>3.1.10</t>
  </si>
  <si>
    <t>3.1.11</t>
  </si>
  <si>
    <t>3.1.12</t>
  </si>
  <si>
    <t>3.1.13</t>
  </si>
  <si>
    <t>3.1.14</t>
  </si>
  <si>
    <t>3.1.15</t>
  </si>
  <si>
    <t>3.1.16</t>
  </si>
  <si>
    <t>3.1.17</t>
  </si>
  <si>
    <t>3.1.18</t>
  </si>
  <si>
    <t>3.1.19</t>
  </si>
  <si>
    <t>3.1.20</t>
  </si>
  <si>
    <t>3.1.21</t>
  </si>
  <si>
    <t>3.1.22</t>
  </si>
  <si>
    <t>3.1.23</t>
  </si>
  <si>
    <t>3.1.24</t>
  </si>
  <si>
    <t>3.1.25</t>
  </si>
  <si>
    <t>3.1.26</t>
  </si>
  <si>
    <t>3.1.27</t>
  </si>
  <si>
    <t>3.1.28</t>
  </si>
  <si>
    <t>3.1.29</t>
  </si>
  <si>
    <t>3.1.30</t>
  </si>
  <si>
    <t>3.2.1</t>
  </si>
  <si>
    <t>3.2.2</t>
  </si>
  <si>
    <t>3.2.3</t>
  </si>
  <si>
    <t>3.2.4</t>
  </si>
  <si>
    <t>3.2.5</t>
  </si>
  <si>
    <t>3.2.6</t>
  </si>
  <si>
    <t>3.2.7</t>
  </si>
  <si>
    <t>3.2.8</t>
  </si>
  <si>
    <t>3.2.9</t>
  </si>
  <si>
    <t>3.2.10</t>
  </si>
  <si>
    <t>3.2.11</t>
  </si>
  <si>
    <t>3.2.12</t>
  </si>
  <si>
    <t>3.2.13</t>
  </si>
  <si>
    <t>3.2.14</t>
  </si>
  <si>
    <t>3.2.15</t>
  </si>
  <si>
    <t>3.2.16</t>
  </si>
  <si>
    <t>3.2.17</t>
  </si>
  <si>
    <t>3.2.18</t>
  </si>
  <si>
    <t>3.2.19</t>
  </si>
  <si>
    <t>3.2.20</t>
  </si>
  <si>
    <t>3.2.21</t>
  </si>
  <si>
    <t>3.2.22</t>
  </si>
  <si>
    <t>3.2.23</t>
  </si>
  <si>
    <t>3.2.24</t>
  </si>
  <si>
    <t>3.2.25</t>
  </si>
  <si>
    <t>3.2.26</t>
  </si>
  <si>
    <t>3.2.27</t>
  </si>
  <si>
    <t>3.2.28</t>
  </si>
  <si>
    <t>3.2.29</t>
  </si>
  <si>
    <t>3.2.30</t>
  </si>
  <si>
    <t>3.3.1</t>
  </si>
  <si>
    <t>3.3.2</t>
  </si>
  <si>
    <t>3.3.3</t>
  </si>
  <si>
    <t>3.3.4</t>
  </si>
  <si>
    <t>3.3.5</t>
  </si>
  <si>
    <t>3.3.6</t>
  </si>
  <si>
    <t>3.3.7</t>
  </si>
  <si>
    <t>3.3.8</t>
  </si>
  <si>
    <t>3.3.9</t>
  </si>
  <si>
    <t>3.3.10</t>
  </si>
  <si>
    <t>3.3.11</t>
  </si>
  <si>
    <t>3.3.12</t>
  </si>
  <si>
    <t>3.3.13</t>
  </si>
  <si>
    <t>3.3.14</t>
  </si>
  <si>
    <t>3.3.15</t>
  </si>
  <si>
    <t>3.3.16</t>
  </si>
  <si>
    <t>3.3.17</t>
  </si>
  <si>
    <t>3.3.18</t>
  </si>
  <si>
    <t>3.3.19</t>
  </si>
  <si>
    <t>3.3.20</t>
  </si>
  <si>
    <t>3.3.21</t>
  </si>
  <si>
    <t>3.3.22</t>
  </si>
  <si>
    <t>3.3.23</t>
  </si>
  <si>
    <t>3.3.24</t>
  </si>
  <si>
    <t>3.3.25</t>
  </si>
  <si>
    <t>3.3.26</t>
  </si>
  <si>
    <t>3.3.27</t>
  </si>
  <si>
    <t>3.3.28</t>
  </si>
  <si>
    <t>3.3.29</t>
  </si>
  <si>
    <t>3.3.30</t>
  </si>
  <si>
    <t>Unconditional grants/Emergency funds</t>
  </si>
  <si>
    <t>3.4.1</t>
  </si>
  <si>
    <t>3.4.2</t>
  </si>
  <si>
    <t>3.4.3</t>
  </si>
  <si>
    <t>3.4.4</t>
  </si>
  <si>
    <t>3.4.5</t>
  </si>
  <si>
    <t>3.4.6</t>
  </si>
  <si>
    <t>3.4.7</t>
  </si>
  <si>
    <t>3.4.8</t>
  </si>
  <si>
    <t>3.4.9</t>
  </si>
  <si>
    <t>3.4.10</t>
  </si>
  <si>
    <t>3.4.11</t>
  </si>
  <si>
    <t>3.4.12</t>
  </si>
  <si>
    <t>3.4.13</t>
  </si>
  <si>
    <t>3.4.14</t>
  </si>
  <si>
    <t>3.4.15</t>
  </si>
  <si>
    <t>3.4.16</t>
  </si>
  <si>
    <t>3.4.17</t>
  </si>
  <si>
    <t>3.4.18</t>
  </si>
  <si>
    <t>3.4.19</t>
  </si>
  <si>
    <t>3.4.20</t>
  </si>
  <si>
    <t>3.4.21</t>
  </si>
  <si>
    <t>3.4.22</t>
  </si>
  <si>
    <t>3.4.23</t>
  </si>
  <si>
    <t>3.4.24</t>
  </si>
  <si>
    <t>3.4.25</t>
  </si>
  <si>
    <t>3.4.26</t>
  </si>
  <si>
    <t>3.4.27</t>
  </si>
  <si>
    <t>3.4.28</t>
  </si>
  <si>
    <t>3.4.29</t>
  </si>
  <si>
    <t>3.4.30</t>
  </si>
  <si>
    <t xml:space="preserve"> </t>
  </si>
  <si>
    <r>
      <t>Location
(</t>
    </r>
    <r>
      <rPr>
        <i/>
        <sz val="11"/>
        <color theme="5" tint="-0.499984740745262"/>
        <rFont val="Segoe UI"/>
        <family val="2"/>
      </rPr>
      <t>Rural/Urban</t>
    </r>
    <r>
      <rPr>
        <b/>
        <sz val="11"/>
        <color theme="5" tint="-0.499984740745262"/>
        <rFont val="Segoe UI"/>
        <family val="2"/>
      </rPr>
      <t>)</t>
    </r>
  </si>
  <si>
    <r>
      <t>Quantity
(</t>
    </r>
    <r>
      <rPr>
        <i/>
        <sz val="11"/>
        <color theme="5" tint="-0.499984740745262"/>
        <rFont val="Segoe UI"/>
        <family val="2"/>
      </rPr>
      <t>Insert only numeric values</t>
    </r>
    <r>
      <rPr>
        <b/>
        <sz val="11"/>
        <color theme="5" tint="-0.499984740745262"/>
        <rFont val="Segoe UI"/>
        <family val="2"/>
      </rPr>
      <t>)</t>
    </r>
  </si>
  <si>
    <t>Total uncondictional grant/Emergency funds</t>
  </si>
  <si>
    <t>Priority initiative 3.1: Optimize organizational structure, guidelines, and personnel capacity to effectively deliver on mandate and impact</t>
  </si>
  <si>
    <t>Click to move to each sub-theme</t>
  </si>
  <si>
    <r>
      <rPr>
        <b/>
        <sz val="11"/>
        <color rgb="FF833C0C"/>
        <rFont val="Segoe UI"/>
        <family val="2"/>
      </rPr>
      <t xml:space="preserve">Priority initiative 3.1: </t>
    </r>
    <r>
      <rPr>
        <sz val="11"/>
        <color rgb="FF833C0C"/>
        <rFont val="Segoe UI"/>
        <family val="2"/>
      </rPr>
      <t>Optimize organizational structure, guidelines, and personnel capacity to effectively deliver on mandate and impact</t>
    </r>
  </si>
  <si>
    <r>
      <rPr>
        <b/>
        <sz val="11"/>
        <color rgb="FF833C0C"/>
        <rFont val="Segoe UI"/>
        <family val="2"/>
      </rPr>
      <t>Priority initiative 3.2:</t>
    </r>
    <r>
      <rPr>
        <sz val="11"/>
        <color rgb="FF833C0C"/>
        <rFont val="Segoe UI"/>
        <family val="2"/>
      </rPr>
      <t xml:space="preserve"> Ensure transparent and effective financial management at state and LGA levels</t>
    </r>
  </si>
  <si>
    <r>
      <rPr>
        <b/>
        <sz val="11"/>
        <color rgb="FF833C0C"/>
        <rFont val="Segoe UI"/>
        <family val="2"/>
      </rPr>
      <t>Priority initiative 3.3:</t>
    </r>
    <r>
      <rPr>
        <sz val="11"/>
        <color rgb="FF833C0C"/>
        <rFont val="Segoe UI"/>
        <family val="2"/>
      </rPr>
      <t xml:space="preserve"> Strengthen SUBEB’s brand reputation with stakeholders through strategic engagements, media, and other activities</t>
    </r>
  </si>
  <si>
    <r>
      <rPr>
        <b/>
        <sz val="11"/>
        <color rgb="FF833C0C"/>
        <rFont val="Segoe UI"/>
        <family val="2"/>
      </rPr>
      <t xml:space="preserve">Enabler: </t>
    </r>
    <r>
      <rPr>
        <sz val="11"/>
        <color rgb="FF833C0C"/>
        <rFont val="Segoe UI"/>
        <family val="2"/>
      </rPr>
      <t>Strengthen performance management, and routine monitoring and evaluation of Basic Education Programs</t>
    </r>
  </si>
  <si>
    <r>
      <rPr>
        <b/>
        <sz val="11"/>
        <color rgb="FF833C0C"/>
        <rFont val="Segoe UI"/>
        <family val="2"/>
      </rPr>
      <t>Enabler:</t>
    </r>
    <r>
      <rPr>
        <sz val="11"/>
        <color rgb="FF833C0C"/>
        <rFont val="Segoe UI"/>
        <family val="2"/>
      </rPr>
      <t xml:space="preserve"> Instituting a framework for quality assurance to improve access to basic education</t>
    </r>
  </si>
  <si>
    <t>2.1.1</t>
  </si>
  <si>
    <t>2.1.2</t>
  </si>
  <si>
    <t>2.1.3</t>
  </si>
  <si>
    <t>2.1.4</t>
  </si>
  <si>
    <t>2.1.5</t>
  </si>
  <si>
    <t>2.1.6</t>
  </si>
  <si>
    <t>2.1.7</t>
  </si>
  <si>
    <t>2.1.8</t>
  </si>
  <si>
    <t>2.1.9</t>
  </si>
  <si>
    <t>2.1.10</t>
  </si>
  <si>
    <t>2.1.11</t>
  </si>
  <si>
    <t>2.1.12</t>
  </si>
  <si>
    <t>2.1.13</t>
  </si>
  <si>
    <t>2.1.14</t>
  </si>
  <si>
    <t>2.1.15</t>
  </si>
  <si>
    <t>2.1.16</t>
  </si>
  <si>
    <t>2.1.17</t>
  </si>
  <si>
    <t>2.1.18</t>
  </si>
  <si>
    <t>2.1.19</t>
  </si>
  <si>
    <t>2.1.20</t>
  </si>
  <si>
    <t>2.1.21</t>
  </si>
  <si>
    <t>2.1.22</t>
  </si>
  <si>
    <t>2.1.23</t>
  </si>
  <si>
    <t>2.1.24</t>
  </si>
  <si>
    <t>2.1.25</t>
  </si>
  <si>
    <t>2.1.26</t>
  </si>
  <si>
    <t>2.1.27</t>
  </si>
  <si>
    <t>2.1.28</t>
  </si>
  <si>
    <t>2.1.29</t>
  </si>
  <si>
    <t>2.1.30</t>
  </si>
  <si>
    <t>2.2.1</t>
  </si>
  <si>
    <t>2.2.2</t>
  </si>
  <si>
    <t>2.2.3</t>
  </si>
  <si>
    <t>2.2.4</t>
  </si>
  <si>
    <t>2.2.5</t>
  </si>
  <si>
    <t>2.2.6</t>
  </si>
  <si>
    <t>2.2.7</t>
  </si>
  <si>
    <t>2.2.8</t>
  </si>
  <si>
    <t>2.2.9</t>
  </si>
  <si>
    <t>2.2.10</t>
  </si>
  <si>
    <t>2.2.11</t>
  </si>
  <si>
    <t>2.2.12</t>
  </si>
  <si>
    <t>2.2.13</t>
  </si>
  <si>
    <t>2.2.14</t>
  </si>
  <si>
    <t>2.2.15</t>
  </si>
  <si>
    <t>2.2.16</t>
  </si>
  <si>
    <t>2.2.17</t>
  </si>
  <si>
    <t>2.2.18</t>
  </si>
  <si>
    <t>2.2.19</t>
  </si>
  <si>
    <t>2.2.20</t>
  </si>
  <si>
    <t>2.2.21</t>
  </si>
  <si>
    <t>2.2.22</t>
  </si>
  <si>
    <t>2.2.23</t>
  </si>
  <si>
    <t>2.2.24</t>
  </si>
  <si>
    <t>2.2.25</t>
  </si>
  <si>
    <t>2.2.26</t>
  </si>
  <si>
    <t>2.2.27</t>
  </si>
  <si>
    <t>2.2.28</t>
  </si>
  <si>
    <t>2.2.29</t>
  </si>
  <si>
    <t>2.2.30</t>
  </si>
  <si>
    <t>2.3.1</t>
  </si>
  <si>
    <t>2.3.2</t>
  </si>
  <si>
    <t>2.3.3</t>
  </si>
  <si>
    <t>2.3.4</t>
  </si>
  <si>
    <t>2.3.5</t>
  </si>
  <si>
    <t>2.3.6</t>
  </si>
  <si>
    <t>2.3.7</t>
  </si>
  <si>
    <t>2.3.8</t>
  </si>
  <si>
    <t>2.3.9</t>
  </si>
  <si>
    <t>2.3.10</t>
  </si>
  <si>
    <t>2.3.11</t>
  </si>
  <si>
    <t>2.3.12</t>
  </si>
  <si>
    <t>2.3.13</t>
  </si>
  <si>
    <t>2.3.14</t>
  </si>
  <si>
    <t>2.3.15</t>
  </si>
  <si>
    <t>2.3.16</t>
  </si>
  <si>
    <t>2.3.17</t>
  </si>
  <si>
    <t>2.3.18</t>
  </si>
  <si>
    <t>2.3.19</t>
  </si>
  <si>
    <t>2.3.20</t>
  </si>
  <si>
    <t>2.3.21</t>
  </si>
  <si>
    <t>2.3.22</t>
  </si>
  <si>
    <t>2.3.23</t>
  </si>
  <si>
    <t>2.3.24</t>
  </si>
  <si>
    <t>2.3.25</t>
  </si>
  <si>
    <t>2.3.26</t>
  </si>
  <si>
    <t>2.3.27</t>
  </si>
  <si>
    <t>2.3.28</t>
  </si>
  <si>
    <t>2.3.29</t>
  </si>
  <si>
    <t>2.3.30</t>
  </si>
  <si>
    <r>
      <t xml:space="preserve">Achievement indicator 
</t>
    </r>
    <r>
      <rPr>
        <i/>
        <sz val="11"/>
        <color theme="5" tint="-0.499984740745262"/>
        <rFont val="Segoe UI"/>
        <family val="2"/>
      </rPr>
      <t>(% of activity completed)</t>
    </r>
  </si>
  <si>
    <r>
      <t xml:space="preserve">Funding gap
</t>
    </r>
    <r>
      <rPr>
        <sz val="11"/>
        <color theme="5" tint="-0.499984740745262"/>
        <rFont val="Segoe UI"/>
        <family val="2"/>
      </rPr>
      <t>(</t>
    </r>
    <r>
      <rPr>
        <i/>
        <sz val="11"/>
        <color theme="5" tint="-0.499984740745262"/>
        <rFont val="Segoe UI"/>
        <family val="2"/>
      </rPr>
      <t>No input required</t>
    </r>
    <r>
      <rPr>
        <sz val="11"/>
        <color theme="5" tint="-0.499984740745262"/>
        <rFont val="Segoe UI"/>
        <family val="2"/>
      </rPr>
      <t>)</t>
    </r>
  </si>
  <si>
    <r>
      <t xml:space="preserve">Achievement indicator 
</t>
    </r>
    <r>
      <rPr>
        <i/>
        <sz val="11"/>
        <color theme="5" tint="-0.499984740745262"/>
        <rFont val="Segoe UI"/>
        <family val="2"/>
      </rPr>
      <t>(% of activity completed)</t>
    </r>
  </si>
  <si>
    <r>
      <rPr>
        <b/>
        <sz val="11"/>
        <color rgb="FF833C0C"/>
        <rFont val="Segoe UI"/>
        <family val="2"/>
      </rPr>
      <t>Priority initiative 2.2:</t>
    </r>
    <r>
      <rPr>
        <sz val="11"/>
        <color rgb="FF833C0C"/>
        <rFont val="Segoe UI"/>
        <family val="2"/>
      </rPr>
      <t xml:space="preserve"> Provision of adequate Teaching and Learning Materials (TLMs) for schools</t>
    </r>
  </si>
  <si>
    <r>
      <rPr>
        <b/>
        <sz val="11"/>
        <color rgb="FF833C0C"/>
        <rFont val="Segoe UI"/>
        <family val="2"/>
      </rPr>
      <t>Priority initiative 2.3:</t>
    </r>
    <r>
      <rPr>
        <sz val="11"/>
        <color rgb="FF833C0C"/>
        <rFont val="Segoe UI"/>
        <family val="2"/>
      </rPr>
      <t xml:space="preserve"> Teacher/ education managers training and capacity building</t>
    </r>
  </si>
  <si>
    <t>Click to move to each sub-theme/section</t>
  </si>
  <si>
    <r>
      <t xml:space="preserve">Achievement indicator 
</t>
    </r>
    <r>
      <rPr>
        <i/>
        <sz val="11"/>
        <color theme="5" tint="-0.499984740745262"/>
        <rFont val="Segoe UI"/>
        <family val="2"/>
      </rPr>
      <t xml:space="preserve">
(% of activity completed)</t>
    </r>
  </si>
  <si>
    <t>Total Unconditional grants/Emergency funds</t>
  </si>
  <si>
    <r>
      <t xml:space="preserve">Total cost
</t>
    </r>
    <r>
      <rPr>
        <i/>
        <sz val="11"/>
        <color theme="5" tint="-0.499984740745262"/>
        <rFont val="Segoe UI"/>
        <family val="2"/>
      </rPr>
      <t>(No input required)</t>
    </r>
  </si>
  <si>
    <r>
      <t xml:space="preserve">Target Group
</t>
    </r>
    <r>
      <rPr>
        <sz val="11"/>
        <color theme="5" tint="-0.499984740745262"/>
        <rFont val="Segoe UI"/>
        <family val="2"/>
      </rPr>
      <t>(</t>
    </r>
    <r>
      <rPr>
        <i/>
        <sz val="11"/>
        <color theme="5" tint="-0.499984740745262"/>
        <rFont val="Segoe UI"/>
        <family val="2"/>
      </rPr>
      <t>Select from the drop-down)</t>
    </r>
  </si>
  <si>
    <r>
      <t xml:space="preserve">Implementation strategy
</t>
    </r>
    <r>
      <rPr>
        <i/>
        <sz val="11"/>
        <color theme="5" tint="-0.499984740745262"/>
        <rFont val="Segoe UI"/>
        <family val="2"/>
      </rPr>
      <t>(Select from the drop-down list)</t>
    </r>
  </si>
  <si>
    <t>1.2.1</t>
  </si>
  <si>
    <t>1.2.2</t>
  </si>
  <si>
    <t>1.2.3</t>
  </si>
  <si>
    <t>1.2.4</t>
  </si>
  <si>
    <t>1.2.5</t>
  </si>
  <si>
    <t>1.2.6</t>
  </si>
  <si>
    <t>1.2.7</t>
  </si>
  <si>
    <t>1.2.8</t>
  </si>
  <si>
    <t>1.2.9</t>
  </si>
  <si>
    <t>1.2.10</t>
  </si>
  <si>
    <t>1.2.11</t>
  </si>
  <si>
    <t>1.2.12</t>
  </si>
  <si>
    <t>1.2.13</t>
  </si>
  <si>
    <t>1.2.14</t>
  </si>
  <si>
    <t>1.2.15</t>
  </si>
  <si>
    <t>1.2.16</t>
  </si>
  <si>
    <t>1.2.17</t>
  </si>
  <si>
    <t>1.2.18</t>
  </si>
  <si>
    <t>1.2.19</t>
  </si>
  <si>
    <t>1.2.20</t>
  </si>
  <si>
    <t>1.2.21</t>
  </si>
  <si>
    <t>1.2.22</t>
  </si>
  <si>
    <t>1.2.23</t>
  </si>
  <si>
    <t>1.2.24</t>
  </si>
  <si>
    <t>1.2.25</t>
  </si>
  <si>
    <t>1.2.26</t>
  </si>
  <si>
    <t>1.2.27</t>
  </si>
  <si>
    <t>1.2.28</t>
  </si>
  <si>
    <t>1.2.29</t>
  </si>
  <si>
    <t>1.1.1</t>
  </si>
  <si>
    <t>1.1.2</t>
  </si>
  <si>
    <t>1.1.3</t>
  </si>
  <si>
    <t>1.1.4</t>
  </si>
  <si>
    <t>1.1.5</t>
  </si>
  <si>
    <t>1.1.6</t>
  </si>
  <si>
    <t>1.1.7</t>
  </si>
  <si>
    <t>1.1.8</t>
  </si>
  <si>
    <t>1.1.9</t>
  </si>
  <si>
    <t>Click to move to each sub-theme/sections</t>
  </si>
  <si>
    <t xml:space="preserve">Activity
</t>
  </si>
  <si>
    <r>
      <t xml:space="preserve">Implementation strategy
</t>
    </r>
    <r>
      <rPr>
        <i/>
        <sz val="11"/>
        <color theme="5" tint="-0.499984740745262"/>
        <rFont val="Segoe UI"/>
        <family val="2"/>
      </rPr>
      <t>(Select from the drop-down)</t>
    </r>
  </si>
  <si>
    <r>
      <t xml:space="preserve">Quantity
</t>
    </r>
    <r>
      <rPr>
        <sz val="11"/>
        <color theme="5" tint="-0.499984740745262"/>
        <rFont val="Segoe UI"/>
        <family val="2"/>
      </rPr>
      <t>(I</t>
    </r>
    <r>
      <rPr>
        <i/>
        <sz val="11"/>
        <color theme="5" tint="-0.499984740745262"/>
        <rFont val="Segoe UI"/>
        <family val="2"/>
      </rPr>
      <t>nsert only numeric values)</t>
    </r>
  </si>
  <si>
    <t xml:space="preserve">Construction type (Perimeter fencing): </t>
  </si>
  <si>
    <r>
      <t xml:space="preserve">Location
</t>
    </r>
    <r>
      <rPr>
        <i/>
        <sz val="11"/>
        <color theme="5" tint="-0.499984740745262"/>
        <rFont val="Segoe UI"/>
        <family val="2"/>
      </rPr>
      <t>Rural/Urban</t>
    </r>
  </si>
  <si>
    <r>
      <t xml:space="preserve">Justification
</t>
    </r>
    <r>
      <rPr>
        <i/>
        <sz val="11"/>
        <color theme="5" tint="-0.499984740745262"/>
        <rFont val="Segoe UI"/>
        <family val="2"/>
      </rPr>
      <t>(Rationale)</t>
    </r>
  </si>
  <si>
    <r>
      <t xml:space="preserve">Length
</t>
    </r>
    <r>
      <rPr>
        <i/>
        <sz val="11"/>
        <color theme="5" tint="-0.499984740745262"/>
        <rFont val="Segoe UI"/>
        <family val="2"/>
      </rPr>
      <t>(Meter)</t>
    </r>
  </si>
  <si>
    <r>
      <t xml:space="preserve">Total construction cost
</t>
    </r>
    <r>
      <rPr>
        <i/>
        <sz val="12"/>
        <color theme="5" tint="-0.499984740745262"/>
        <rFont val="Segoe UI"/>
        <family val="2"/>
      </rPr>
      <t>(No input required)</t>
    </r>
  </si>
  <si>
    <t>Project description</t>
  </si>
  <si>
    <t>1.3.1</t>
  </si>
  <si>
    <t>1.3.2</t>
  </si>
  <si>
    <t>1.3.3</t>
  </si>
  <si>
    <t>1.3.4</t>
  </si>
  <si>
    <t>1.3.5</t>
  </si>
  <si>
    <t>1.3.6</t>
  </si>
  <si>
    <t>1.3.7</t>
  </si>
  <si>
    <t>1.3.8</t>
  </si>
  <si>
    <t>1.3.9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</si>
  <si>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</si>
  <si>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</si>
  <si>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</si>
  <si>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</si>
  <si>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</si>
  <si>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</si>
  <si>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</si>
  <si>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</si>
  <si>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</si>
  <si>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</si>
  <si>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</si>
  <si>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</si>
  <si>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</si>
  <si>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</si>
  <si>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</si>
  <si>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</si>
  <si>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</si>
  <si>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</si>
  <si>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</si>
  <si>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</si>
  <si>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</si>
  <si>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r>
      <t xml:space="preserve">Total renovation cost
</t>
    </r>
    <r>
      <rPr>
        <i/>
        <sz val="11"/>
        <color theme="5" tint="-0.499984740745262"/>
        <rFont val="Segoe UI"/>
        <family val="2"/>
      </rPr>
      <t>(No input required)</t>
    </r>
  </si>
  <si>
    <r>
      <rPr>
        <b/>
        <sz val="11"/>
        <color rgb="FF833C0C"/>
        <rFont val="Segoe UI"/>
        <family val="2"/>
      </rPr>
      <t>Furniture and equipment:</t>
    </r>
    <r>
      <rPr>
        <sz val="11"/>
        <color rgb="FF833C0C"/>
        <rFont val="Segoe UI"/>
        <family val="2"/>
      </rPr>
      <t xml:space="preserve"> this includes furniture such as desks, chairs, tables, shelves, etc and equipments such as generators, ICT equipments, etc</t>
    </r>
  </si>
  <si>
    <r>
      <t xml:space="preserve">Total furniture and equipment cost
</t>
    </r>
    <r>
      <rPr>
        <i/>
        <sz val="11"/>
        <color theme="5" tint="-0.499984740745262"/>
        <rFont val="Segoe UI"/>
        <family val="2"/>
      </rPr>
      <t>(No input required)</t>
    </r>
  </si>
  <si>
    <t>Drilling Depth</t>
  </si>
  <si>
    <t>Min(m)</t>
  </si>
  <si>
    <t>Max(m)</t>
  </si>
  <si>
    <t>Recommended Drilling point (VES)</t>
  </si>
  <si>
    <t>Drilling method</t>
  </si>
  <si>
    <t>Casinng/screen</t>
  </si>
  <si>
    <t>Yield</t>
  </si>
  <si>
    <t>Geophysical survey for sinking of boreholes</t>
  </si>
  <si>
    <t>Furniture and equipment summary:</t>
  </si>
  <si>
    <t>Water Supply &amp; Sanitation summary</t>
  </si>
  <si>
    <r>
      <t xml:space="preserve">Infrastructure Gap
</t>
    </r>
    <r>
      <rPr>
        <i/>
        <sz val="11"/>
        <color theme="5" tint="-0.499984740745262"/>
        <rFont val="Segoe UI"/>
        <family val="2"/>
      </rPr>
      <t>(No input required)</t>
    </r>
  </si>
  <si>
    <r>
      <t xml:space="preserve">Total quantity planned 
</t>
    </r>
    <r>
      <rPr>
        <i/>
        <sz val="11"/>
        <color theme="5" tint="-0.499984740745262"/>
        <rFont val="Segoe UI"/>
        <family val="2"/>
      </rPr>
      <t>(No input required)</t>
    </r>
  </si>
  <si>
    <r>
      <t xml:space="preserve">Achievement indicator 
</t>
    </r>
    <r>
      <rPr>
        <i/>
        <sz val="11"/>
        <color theme="5" tint="-0.499984740745262"/>
        <rFont val="Segoe UI"/>
        <family val="2"/>
      </rPr>
      <t>(% of project completed)</t>
    </r>
  </si>
  <si>
    <r>
      <t xml:space="preserve">Expected start date
</t>
    </r>
    <r>
      <rPr>
        <sz val="11"/>
        <color theme="5" tint="-0.499984740745262"/>
        <rFont val="Segoe UI"/>
        <family val="2"/>
      </rPr>
      <t>MM-DD-YYYY</t>
    </r>
  </si>
  <si>
    <r>
      <t xml:space="preserve">Expected due date
</t>
    </r>
    <r>
      <rPr>
        <sz val="11"/>
        <color theme="5" tint="-0.499984740745262"/>
        <rFont val="Segoe UI"/>
        <family val="2"/>
      </rPr>
      <t>MM-DD-YYYY</t>
    </r>
  </si>
  <si>
    <t>(No input required)</t>
  </si>
  <si>
    <t>Total unconditional grants/Emergency funds</t>
  </si>
  <si>
    <t>Implement open school activities in nomadic and high density IDP camps across 3 LGAs</t>
  </si>
  <si>
    <t>High number of OOSC children due to conflict</t>
  </si>
  <si>
    <t>9 Informal schools established across 9 IDP camps</t>
  </si>
  <si>
    <t>540 OOSC children reintegrated</t>
  </si>
  <si>
    <t>Primary School Learners</t>
  </si>
  <si>
    <t>05-21-2025</t>
  </si>
  <si>
    <t>100% of informal schools established in selected IDP camps</t>
  </si>
  <si>
    <t>UNICEF</t>
  </si>
  <si>
    <t>Develop partnerships with communities and civil society organizations to support school infrastructure monitoring</t>
  </si>
  <si>
    <t>Conduct workshop to update organizational structure and operational guidelines</t>
  </si>
  <si>
    <t>Strengthen financial reporting systems at SUBEB level using digital tools</t>
  </si>
  <si>
    <t>Implement school grants and ensure SBMCs adopt financial accountability framework</t>
  </si>
  <si>
    <t>Disseminate annual progress report through daily newspapers</t>
  </si>
  <si>
    <t>Conduct quarterly meeting with LGEAs</t>
  </si>
  <si>
    <t>Train education officers on EMIS data entry and analysis</t>
  </si>
  <si>
    <t>Implement a state-level digital education dashboard for decision-making</t>
  </si>
  <si>
    <t>HOPE-DLI</t>
  </si>
  <si>
    <t>UBE Pillar</t>
  </si>
  <si>
    <r>
      <t>2. Fill in other details under the applicable column headers under section "</t>
    </r>
    <r>
      <rPr>
        <b/>
        <i/>
        <sz val="20"/>
        <color rgb="FF833C0C"/>
        <rFont val="Segoe UI"/>
        <family val="2"/>
      </rPr>
      <t xml:space="preserve">Priority 1.1."  </t>
    </r>
  </si>
  <si>
    <r>
      <t xml:space="preserve">3. Cost all other activities under tab </t>
    </r>
    <r>
      <rPr>
        <b/>
        <i/>
        <sz val="20"/>
        <color rgb="FFB88C00"/>
        <rFont val="Segoe UI"/>
        <family val="2"/>
      </rPr>
      <t>Pillar 1- Access</t>
    </r>
    <r>
      <rPr>
        <b/>
        <sz val="20"/>
        <color theme="1"/>
        <rFont val="Segoe UI"/>
        <family val="2"/>
      </rPr>
      <t>, ensuring each activity is properly organized under the appropriate priority initiatives (1.2 and 1.3) and other enablers sections</t>
    </r>
  </si>
  <si>
    <r>
      <t>1. Itemize and cost all infrastructure projects (construction, renovation, furniture etc.) -</t>
    </r>
    <r>
      <rPr>
        <b/>
        <i/>
        <sz val="20"/>
        <color theme="1"/>
        <rFont val="Segoe UI"/>
        <family val="2"/>
      </rPr>
      <t xml:space="preserve"> </t>
    </r>
    <r>
      <rPr>
        <i/>
        <sz val="20"/>
        <color theme="1" tint="0.499984740745262"/>
        <rFont val="Segoe UI"/>
        <family val="2"/>
      </rPr>
      <t>A summary of all infrastructure projects and their total costs filled here will appear in Tab</t>
    </r>
    <r>
      <rPr>
        <i/>
        <sz val="20"/>
        <color theme="1"/>
        <rFont val="Segoe UI"/>
        <family val="2"/>
      </rPr>
      <t xml:space="preserve">: </t>
    </r>
    <r>
      <rPr>
        <i/>
        <sz val="20"/>
        <color rgb="FFB88C00"/>
        <rFont val="Segoe UI"/>
        <family val="2"/>
      </rPr>
      <t>Pillar 1 - Access</t>
    </r>
  </si>
  <si>
    <r>
      <t xml:space="preserve">6. Complete and cost all other activities under tab: </t>
    </r>
    <r>
      <rPr>
        <b/>
        <i/>
        <sz val="20"/>
        <color rgb="FFB88C00"/>
        <rFont val="Segoe UI"/>
        <family val="2"/>
      </rPr>
      <t>Pillar 2 - Quality</t>
    </r>
    <r>
      <rPr>
        <b/>
        <sz val="20"/>
        <color theme="1"/>
        <rFont val="Segoe UI"/>
        <family val="2"/>
      </rPr>
      <t xml:space="preserve">, ensuring each activity is properly organized under the appropriate </t>
    </r>
    <r>
      <rPr>
        <b/>
        <i/>
        <sz val="20"/>
        <color rgb="FF833C0C"/>
        <rFont val="Segoe UI"/>
        <family val="2"/>
      </rPr>
      <t>Priority initiatives (2.1, 2.2, 2.3)</t>
    </r>
    <r>
      <rPr>
        <b/>
        <sz val="20"/>
        <color theme="1"/>
        <rFont val="Segoe UI"/>
        <family val="2"/>
      </rPr>
      <t xml:space="preserve"> and other Enablers sections</t>
    </r>
  </si>
  <si>
    <r>
      <t xml:space="preserve">8. Complete and cost all activities under tab </t>
    </r>
    <r>
      <rPr>
        <b/>
        <i/>
        <sz val="20"/>
        <color rgb="FFB88C00"/>
        <rFont val="Segoe UI"/>
        <family val="2"/>
      </rPr>
      <t>Pillar 3 -Systems Optimization</t>
    </r>
    <r>
      <rPr>
        <b/>
        <sz val="20"/>
        <color theme="1"/>
        <rFont val="Segoe UI"/>
        <family val="2"/>
      </rPr>
      <t xml:space="preserve">, ensuring each activity is properly organized under the appropriate </t>
    </r>
    <r>
      <rPr>
        <b/>
        <i/>
        <sz val="20"/>
        <color rgb="FF833C0C"/>
        <rFont val="Segoe UI"/>
        <family val="2"/>
      </rPr>
      <t xml:space="preserve">Priority initiatives (3.1, 3.2, 3.3 and 3.4) </t>
    </r>
    <r>
      <rPr>
        <b/>
        <sz val="20"/>
        <color theme="1"/>
        <rFont val="Segoe UI"/>
        <family val="2"/>
      </rPr>
      <t>and the other Enablers sections</t>
    </r>
  </si>
  <si>
    <t>9. Conduct a resource mapping for all activities across UBE strategic pillars - ensuring alignment of all available funds across funding sources</t>
  </si>
  <si>
    <r>
      <t xml:space="preserve">This is the landing sheet for this tool. It includes the description of sheets and instructions for completing this tool. 
</t>
    </r>
    <r>
      <rPr>
        <sz val="18"/>
        <color rgb="FF833C0C"/>
        <rFont val="Segoe UI"/>
        <family val="2"/>
      </rPr>
      <t xml:space="preserve">Fill in the name of your state, action plan year and total matching grant accessed on this sheet
</t>
    </r>
    <r>
      <rPr>
        <b/>
        <i/>
        <sz val="18"/>
        <color theme="1"/>
        <rFont val="Segoe UI"/>
        <family val="2"/>
      </rPr>
      <t>Input IS REQUIRED on this sheet</t>
    </r>
  </si>
  <si>
    <r>
      <t xml:space="preserve">This sheet outlines all infrastructure projects planned for the year. It automatically populates the summary of these projects into Priority Initiative 1.1: Provide safe and adequate infrastructure for learning environments on Pillar 1 - Access sheet
</t>
    </r>
    <r>
      <rPr>
        <sz val="18"/>
        <color rgb="FF833C0C"/>
        <rFont val="Segoe UI"/>
        <family val="2"/>
      </rPr>
      <t>Outline and cost in all infrastructure projects (construction, renovation, water and sanitation, etc.) on this sheet</t>
    </r>
    <r>
      <rPr>
        <sz val="18"/>
        <color theme="1"/>
        <rFont val="Segoe UI"/>
        <family val="2"/>
      </rPr>
      <t xml:space="preserve">
</t>
    </r>
    <r>
      <rPr>
        <b/>
        <i/>
        <sz val="18"/>
        <color theme="1"/>
        <rFont val="Segoe UI"/>
        <family val="2"/>
      </rPr>
      <t>Input IS REQUIRED on this sheet</t>
    </r>
  </si>
  <si>
    <r>
      <t xml:space="preserve">This sheet contains all activities aimed at improving access to basic education for the year, organized under the relevant priority initiatives and enablers
</t>
    </r>
    <r>
      <rPr>
        <sz val="18"/>
        <color rgb="FF833C0C"/>
        <rFont val="Segoe UI"/>
        <family val="2"/>
      </rPr>
      <t>Outline and cost all activities to improve access to basic education on this sheet</t>
    </r>
    <r>
      <rPr>
        <sz val="18"/>
        <color theme="1"/>
        <rFont val="Segoe UI"/>
        <family val="2"/>
      </rPr>
      <t xml:space="preserve">
</t>
    </r>
    <r>
      <rPr>
        <b/>
        <i/>
        <sz val="18"/>
        <color theme="1"/>
        <rFont val="Segoe UI"/>
        <family val="2"/>
      </rPr>
      <t>Input IS REQUIRED on this sheet</t>
    </r>
  </si>
  <si>
    <r>
      <t xml:space="preserve">This sheet provides a breakdown of all planned activities for the year across the four thematic utilization guideline areas of the Sports Development Fund. The summary of the entries in this sheet is automatically populated under the Sports Development sections on Pillar 2 - Quality sheet
</t>
    </r>
    <r>
      <rPr>
        <sz val="18"/>
        <color rgb="FF833C0C"/>
        <rFont val="Segoe UI"/>
        <family val="2"/>
      </rPr>
      <t>Outline and cost all sports activities on this sheet</t>
    </r>
    <r>
      <rPr>
        <sz val="18"/>
        <color theme="1"/>
        <rFont val="Segoe UI"/>
        <family val="2"/>
      </rPr>
      <t xml:space="preserve">
</t>
    </r>
    <r>
      <rPr>
        <b/>
        <i/>
        <sz val="18"/>
        <color theme="1"/>
        <rFont val="Segoe UI"/>
        <family val="2"/>
      </rPr>
      <t>Input IS REQUIRED on this sheet</t>
    </r>
  </si>
  <si>
    <r>
      <t xml:space="preserve">This sheet contains all activities planned for the year to enhance the quality of teaching and learning in basic education, organized under the relevant priority initiatives and enablers
</t>
    </r>
    <r>
      <rPr>
        <sz val="18"/>
        <color rgb="FF833C0C"/>
        <rFont val="Segoe UI"/>
        <family val="2"/>
      </rPr>
      <t>Outline and cost all activities to enhance quality of basic education on this sheet</t>
    </r>
    <r>
      <rPr>
        <sz val="18"/>
        <color theme="1"/>
        <rFont val="Segoe UI"/>
        <family val="2"/>
      </rPr>
      <t xml:space="preserve">
</t>
    </r>
    <r>
      <rPr>
        <b/>
        <i/>
        <sz val="18"/>
        <color theme="1"/>
        <rFont val="Segoe UI"/>
        <family val="2"/>
      </rPr>
      <t>Input IS REQUIRED on this sheet</t>
    </r>
  </si>
  <si>
    <r>
      <t xml:space="preserve">This sheet contains all activities planned for the year to optimize basic education systems for quality service delivery, organized under the relevant priority initiatives and enablers
</t>
    </r>
    <r>
      <rPr>
        <sz val="18"/>
        <color rgb="FF833C0C"/>
        <rFont val="Segoe UI"/>
        <family val="2"/>
      </rPr>
      <t>Outline and cost all activities to optimize basic education systems on this sheet</t>
    </r>
    <r>
      <rPr>
        <sz val="18"/>
        <color theme="1"/>
        <rFont val="Segoe UI"/>
        <family val="2"/>
      </rPr>
      <t xml:space="preserve">
</t>
    </r>
    <r>
      <rPr>
        <b/>
        <i/>
        <sz val="18"/>
        <color theme="1"/>
        <rFont val="Segoe UI"/>
        <family val="2"/>
      </rPr>
      <t>Input IS REQUIRED on this sheet</t>
    </r>
  </si>
  <si>
    <r>
      <t xml:space="preserve">This sheet provides an overview of the budget for each pillar and funding source, as well as the distributions of matching grant formula across formula domains
</t>
    </r>
    <r>
      <rPr>
        <b/>
        <i/>
        <sz val="18"/>
        <color theme="1"/>
        <rFont val="Segoe UI"/>
        <family val="2"/>
      </rPr>
      <t xml:space="preserve">Input IS </t>
    </r>
    <r>
      <rPr>
        <b/>
        <i/>
        <sz val="18"/>
        <color rgb="FFFF0000"/>
        <rFont val="Segoe UI"/>
        <family val="2"/>
      </rPr>
      <t>NOT</t>
    </r>
    <r>
      <rPr>
        <b/>
        <i/>
        <sz val="18"/>
        <color theme="1"/>
        <rFont val="Segoe UI"/>
        <family val="2"/>
      </rPr>
      <t xml:space="preserve"> REQUIRED on this sheet</t>
    </r>
  </si>
  <si>
    <t>Fill inputs in sheets in the following order below:</t>
  </si>
  <si>
    <t>Pillar 1 - Access</t>
  </si>
  <si>
    <t>Pillar 2 - Quality</t>
  </si>
  <si>
    <t>Pillar 3 - Systems Optimization</t>
  </si>
  <si>
    <r>
      <t xml:space="preserve">Construction: </t>
    </r>
    <r>
      <rPr>
        <i/>
        <sz val="12"/>
        <color theme="5" tint="-0.499984740745262"/>
        <rFont val="Segoe UI"/>
        <family val="2"/>
      </rPr>
      <t>this includes all NEW constructions such as new schools, classroom blocks, perimeter fencing, toilets, ICT centres, laboratories, libraries, etc</t>
    </r>
  </si>
  <si>
    <t>Component/Level of School</t>
  </si>
  <si>
    <r>
      <t xml:space="preserve">Justification for selecting the school
</t>
    </r>
    <r>
      <rPr>
        <i/>
        <sz val="11"/>
        <color theme="5" tint="-0.499984740745262"/>
        <rFont val="Segoe UI"/>
        <family val="2"/>
      </rPr>
      <t>(Rationale)</t>
    </r>
  </si>
  <si>
    <t>Duration of construction</t>
  </si>
  <si>
    <r>
      <t xml:space="preserve">Activity
</t>
    </r>
    <r>
      <rPr>
        <i/>
        <sz val="11"/>
        <color theme="5" tint="-0.499984740745262"/>
        <rFont val="Segoe UI"/>
        <family val="2"/>
      </rPr>
      <t>(No input is required/autogenerated from infrastructure projects)</t>
    </r>
  </si>
  <si>
    <r>
      <t xml:space="preserve">Funding gap
</t>
    </r>
    <r>
      <rPr>
        <sz val="11"/>
        <color theme="5" tint="-0.499984740745262"/>
        <rFont val="Segoe UI"/>
        <family val="2"/>
      </rPr>
      <t>(</t>
    </r>
    <r>
      <rPr>
        <i/>
        <sz val="11"/>
        <color theme="5" tint="-0.499984740745262"/>
        <rFont val="Segoe UI"/>
        <family val="2"/>
      </rPr>
      <t>No input required</t>
    </r>
    <r>
      <rPr>
        <sz val="11"/>
        <color theme="5" tint="-0.499984740745262"/>
        <rFont val="Segoe UI"/>
        <family val="2"/>
      </rPr>
      <t>)</t>
    </r>
  </si>
  <si>
    <r>
      <t xml:space="preserve">Target group
</t>
    </r>
    <r>
      <rPr>
        <i/>
        <sz val="11"/>
        <color theme="5" tint="-0.499984740745262"/>
        <rFont val="Segoe UI"/>
        <family val="2"/>
      </rPr>
      <t>(Select from the drop-down)</t>
    </r>
  </si>
  <si>
    <t>1.2.Ex</t>
  </si>
  <si>
    <t>Insert new row as necessary above this line</t>
  </si>
  <si>
    <t>Total Unconditional Grant/ Emergency funds for planned BEAP activities</t>
  </si>
  <si>
    <t>Total Donor funding for planned BEAP activities</t>
  </si>
  <si>
    <t>Total State Budget for BEAP activities (excludes matching grant)</t>
  </si>
  <si>
    <t>Construction type</t>
  </si>
  <si>
    <r>
      <rPr>
        <b/>
        <sz val="11"/>
        <color rgb="FF833C0C"/>
        <rFont val="Segoe UI"/>
        <family val="2"/>
      </rPr>
      <t>Renovation:</t>
    </r>
    <r>
      <rPr>
        <sz val="11"/>
        <color rgb="FF833C0C"/>
        <rFont val="Segoe UI"/>
        <family val="2"/>
      </rPr>
      <t xml:space="preserve"> </t>
    </r>
    <r>
      <rPr>
        <i/>
        <sz val="11"/>
        <color rgb="FF833C0C"/>
        <rFont val="Segoe UI"/>
        <family val="2"/>
      </rPr>
      <t>this includes any renovation of an already established structure such as schools, classroom blocks, toilets, etc</t>
    </r>
  </si>
  <si>
    <t>1.2.30</t>
  </si>
  <si>
    <t>1.3.31</t>
  </si>
  <si>
    <t>1.3.32</t>
  </si>
  <si>
    <t>1.3.33</t>
  </si>
  <si>
    <t>1.3.34</t>
  </si>
  <si>
    <t>1.3.35</t>
  </si>
  <si>
    <t>1.3.36</t>
  </si>
  <si>
    <t>1.3.37</t>
  </si>
  <si>
    <t>1.3.38</t>
  </si>
  <si>
    <t>1.3.39</t>
  </si>
  <si>
    <t>1.3.40</t>
  </si>
  <si>
    <t>1.3.41</t>
  </si>
  <si>
    <t>1.3.42</t>
  </si>
  <si>
    <t>1.3.43</t>
  </si>
  <si>
    <t>1.3.44</t>
  </si>
  <si>
    <t>1.3.45</t>
  </si>
  <si>
    <t>1.3.46</t>
  </si>
  <si>
    <t>1.3.47</t>
  </si>
  <si>
    <t>1.3.48</t>
  </si>
  <si>
    <t>1.3.49</t>
  </si>
  <si>
    <t>1.3.50</t>
  </si>
  <si>
    <t>Priority initiative 1.1: Provide safe and adequate infrastructure for learning environments (Hope-EDU DLI)</t>
  </si>
  <si>
    <t>Priority initiative 1.2: Expand enrollment of out-of-school children into the formal education system (Hope-EDU DLI)</t>
  </si>
  <si>
    <t>Priority initiative 2.2: Provision of adequate Teaching and Learning Materials (TLMs) for schools  (Hope-EDU DLI)</t>
  </si>
  <si>
    <t>Priority initiative 2.3: Teacher/ education managers training and capacity building (Hope-EDU DLI)</t>
  </si>
  <si>
    <t>Enabler (Matching grant): Supervision and Project monitoring of ongoing infrastructure activities</t>
  </si>
  <si>
    <t>Priority initiative 3.4: Improve coordination and implementation of basic education programs with MoE, LGEAs, UBEC and other stakeholders</t>
  </si>
  <si>
    <t>SBMC</t>
  </si>
  <si>
    <t>Purchase and distribution of curriculum</t>
  </si>
  <si>
    <t>Planning &amp; Education Management Information systems</t>
  </si>
  <si>
    <t>GSCCI Pillar 1: Greening schools/planting of trees</t>
  </si>
  <si>
    <r>
      <t xml:space="preserve"> Total Cost: GSCCI Pillar 1
</t>
    </r>
    <r>
      <rPr>
        <sz val="12"/>
        <color theme="5" tint="-0.499984740745262"/>
        <rFont val="Segoe UI"/>
        <family val="2"/>
      </rPr>
      <t>(No input required)</t>
    </r>
  </si>
  <si>
    <t>GSCCI Pillar 2: Promoting entrepreneurial Greening curricula</t>
  </si>
  <si>
    <t>GSCCI Pillar 3: Teacher training and education system capacity</t>
  </si>
  <si>
    <t>GSCCI Pillar 4: Greening communities</t>
  </si>
  <si>
    <t>GSCCI Pillar 5: National Greening competitions</t>
  </si>
  <si>
    <t>GSCCI Pillar 6: Establishment of Green Clubs (Climate change clubs)</t>
  </si>
  <si>
    <r>
      <t xml:space="preserve"> Total Cost: GSCCI Pillar 2
</t>
    </r>
    <r>
      <rPr>
        <sz val="12"/>
        <color theme="5" tint="-0.499984740745262"/>
        <rFont val="Segoe UI"/>
        <family val="2"/>
      </rPr>
      <t>(No input required)</t>
    </r>
  </si>
  <si>
    <r>
      <t xml:space="preserve"> Total Cost: GSCCI Pillar 3
</t>
    </r>
    <r>
      <rPr>
        <sz val="12"/>
        <color theme="5" tint="-0.499984740745262"/>
        <rFont val="Segoe UI"/>
        <family val="2"/>
      </rPr>
      <t>(No input required)</t>
    </r>
  </si>
  <si>
    <r>
      <t xml:space="preserve"> Total Cost: GSCCI Pillar 4
</t>
    </r>
    <r>
      <rPr>
        <sz val="12"/>
        <color theme="5" tint="-0.499984740745262"/>
        <rFont val="Segoe UI"/>
        <family val="2"/>
      </rPr>
      <t>(No input required)</t>
    </r>
  </si>
  <si>
    <r>
      <t xml:space="preserve"> Total Cost: GSCCI Pillar 5
</t>
    </r>
    <r>
      <rPr>
        <sz val="12"/>
        <color theme="5" tint="-0.499984740745262"/>
        <rFont val="Segoe UI"/>
        <family val="2"/>
      </rPr>
      <t>(No input required)</t>
    </r>
  </si>
  <si>
    <r>
      <t xml:space="preserve"> Total Cost: GSCCI Pillar 6
</t>
    </r>
    <r>
      <rPr>
        <sz val="12"/>
        <color theme="5" tint="-0.499984740745262"/>
        <rFont val="Segoe UI"/>
        <family val="2"/>
      </rPr>
      <t>(No input required)</t>
    </r>
  </si>
  <si>
    <t xml:space="preserve">Priority initiative 2.1 (Matching grant): Ensure implementation of revised basic education curriculum across schools </t>
  </si>
  <si>
    <t>Enabler (Matching grant): Strengthen performance management, and routine monitoring and evaluation of Basic Education Programs (Planning &amp; Education Management Information Systems)</t>
  </si>
  <si>
    <t>Priority initiative 1.3 (Matching grant): Improve retention with incentives such as School Based Management Committee (SMBC) initiatives</t>
  </si>
  <si>
    <r>
      <rPr>
        <b/>
        <sz val="11"/>
        <color rgb="FF833C0C"/>
        <rFont val="Segoe UI"/>
        <family val="2"/>
      </rPr>
      <t>Priority initiative 3.4:</t>
    </r>
    <r>
      <rPr>
        <sz val="11"/>
        <color rgb="FF833C0C"/>
        <rFont val="Segoe UI"/>
        <family val="2"/>
      </rPr>
      <t xml:space="preserve"> Improve coordination and implementation of basic education programs with </t>
    </r>
    <r>
      <rPr>
        <b/>
        <sz val="11"/>
        <color rgb="FF833C0C"/>
        <rFont val="Segoe UI"/>
        <family val="2"/>
      </rPr>
      <t>MoE</t>
    </r>
    <r>
      <rPr>
        <sz val="11"/>
        <color rgb="FF833C0C"/>
        <rFont val="Segoe UI"/>
        <family val="2"/>
      </rPr>
      <t xml:space="preserve">, </t>
    </r>
    <r>
      <rPr>
        <b/>
        <sz val="11"/>
        <color rgb="FF833C0C"/>
        <rFont val="Segoe UI"/>
        <family val="2"/>
      </rPr>
      <t>LGEAs</t>
    </r>
    <r>
      <rPr>
        <sz val="11"/>
        <color rgb="FF833C0C"/>
        <rFont val="Segoe UI"/>
        <family val="2"/>
      </rPr>
      <t xml:space="preserve">, </t>
    </r>
    <r>
      <rPr>
        <b/>
        <sz val="11"/>
        <color rgb="FF833C0C"/>
        <rFont val="Segoe UI"/>
        <family val="2"/>
      </rPr>
      <t>UBEC</t>
    </r>
    <r>
      <rPr>
        <sz val="11"/>
        <color rgb="FF833C0C"/>
        <rFont val="Segoe UI"/>
        <family val="2"/>
      </rPr>
      <t xml:space="preserve"> and other </t>
    </r>
    <r>
      <rPr>
        <b/>
        <sz val="11"/>
        <color rgb="FF833C0C"/>
        <rFont val="Segoe UI"/>
        <family val="2"/>
      </rPr>
      <t>stakeholders</t>
    </r>
  </si>
  <si>
    <t>Akwa Ibom</t>
  </si>
  <si>
    <t>Anambra</t>
  </si>
  <si>
    <t>Bauchi</t>
  </si>
  <si>
    <t>Bayelsa</t>
  </si>
  <si>
    <t>Benue</t>
  </si>
  <si>
    <t>Borno</t>
  </si>
  <si>
    <t>Cross River</t>
  </si>
  <si>
    <t>Delta</t>
  </si>
  <si>
    <t>Imo</t>
  </si>
  <si>
    <t>Jigawa</t>
  </si>
  <si>
    <t>Kano</t>
  </si>
  <si>
    <t>Katsina</t>
  </si>
  <si>
    <t>Kogi</t>
  </si>
  <si>
    <t>Pillars</t>
  </si>
  <si>
    <t>Sample activities</t>
  </si>
  <si>
    <t xml:space="preserve">Expand Access to UBE </t>
  </si>
  <si>
    <t>Government-community agreements signed to create new classrooms</t>
  </si>
  <si>
    <t>13,000 new classrooms created</t>
  </si>
  <si>
    <t>Construction of 2 Storey building blocks of 4 Classrooms, 3 Offices, 1 Library/Computer lab, Store, Playroom and 10 Water Closet</t>
  </si>
  <si>
    <t>10,000 NFLCs have Management Committee, Teachers, and TLMs</t>
  </si>
  <si>
    <t>1,500,000 out-of-school children complete NFBE program</t>
  </si>
  <si>
    <t>TLMs quality-assured and needs-estimated, and track-trace system approved</t>
  </si>
  <si>
    <t>Primary schools have sufficient TLMs for literacy and numeracy</t>
  </si>
  <si>
    <t xml:space="preserve">Conduct needs assessment for textbooks and structured pedagogy materials </t>
  </si>
  <si>
    <t>Distribute updated text books for core subjects across 50 schools in 10 LGAs</t>
  </si>
  <si>
    <t>SPP training packages approved</t>
  </si>
  <si>
    <t>All primary teachers and mentors enabled to improve SPP</t>
  </si>
  <si>
    <t>All Grades 1-3 teachers regularly mentored on SPP</t>
  </si>
  <si>
    <t>All primary teachers regularly mentored on SPP</t>
  </si>
  <si>
    <t>Number of primary teachers with improved SPP</t>
  </si>
  <si>
    <t>Learning evaluation mechanisms for Grades 1-2 literacy and numeracy approved</t>
  </si>
  <si>
    <t>Number of LGEAs acting on early learning evaluations</t>
  </si>
  <si>
    <t>Increased percentage of children proficient in literacy and numeracy</t>
  </si>
  <si>
    <t>ASG amount and management regulations approved</t>
  </si>
  <si>
    <t>70 percent of public primary schools use ASG</t>
  </si>
  <si>
    <t>90 percent of public primary schools use ASG</t>
  </si>
  <si>
    <t>State digital ASC system operational</t>
  </si>
  <si>
    <t>85% of schools included in current-year State ASC Report</t>
  </si>
  <si>
    <t>95% of schools included in current-year State ASC Report</t>
  </si>
  <si>
    <t>Track conduct of annual school census across 21 LGEAs</t>
  </si>
  <si>
    <t>Disbursement Linked Indicators (DLIs)</t>
  </si>
  <si>
    <t>DLIs Expected Results</t>
  </si>
  <si>
    <t>Enabler: Strengthen performance management, monitoring and evaluation</t>
  </si>
  <si>
    <t>1) Provide training for 1,000 teachers and mentors on structured pedagogy
2) Establish a mentorship program for 1,000 trained teachers</t>
  </si>
  <si>
    <t>1) Establish baseline proficiency levels for literacy and numeracy across basic education
2) Conduct periodic student learning evaluations across 21 LGEA</t>
  </si>
  <si>
    <r>
      <rPr>
        <b/>
        <sz val="11"/>
        <color theme="1"/>
        <rFont val="Segoe UI"/>
        <family val="2"/>
      </rPr>
      <t>DLI 4</t>
    </r>
    <r>
      <rPr>
        <sz val="11"/>
        <color theme="1"/>
        <rFont val="Segoe UI"/>
        <family val="2"/>
      </rPr>
      <t>: Number of new primary classrooms created through community participation</t>
    </r>
  </si>
  <si>
    <r>
      <rPr>
        <b/>
        <sz val="11"/>
        <color theme="1"/>
        <rFont val="Segoe UI"/>
        <family val="2"/>
      </rPr>
      <t>DLI 5</t>
    </r>
    <r>
      <rPr>
        <sz val="11"/>
        <color theme="1"/>
        <rFont val="Segoe UI"/>
        <family val="2"/>
      </rPr>
      <t>: Number of out-of-school children who complete NFBE program</t>
    </r>
  </si>
  <si>
    <r>
      <rPr>
        <b/>
        <sz val="11"/>
        <color theme="1"/>
        <rFont val="Segoe UI"/>
        <family val="2"/>
      </rPr>
      <t>DLI 1</t>
    </r>
    <r>
      <rPr>
        <sz val="11"/>
        <color theme="1"/>
        <rFont val="Segoe UI"/>
        <family val="2"/>
      </rPr>
      <t>: Number of schools with sufficient TLMs for literacy and numeracy, by grade</t>
    </r>
  </si>
  <si>
    <r>
      <rPr>
        <b/>
        <sz val="11"/>
        <color theme="1"/>
        <rFont val="Segoe UI"/>
        <family val="2"/>
      </rPr>
      <t>DLI 2</t>
    </r>
    <r>
      <rPr>
        <sz val="11"/>
        <color theme="1"/>
        <rFont val="Segoe UI"/>
        <family val="2"/>
      </rPr>
      <t>: Number of primary teachers with improved structured pedagogy practices (SPP)</t>
    </r>
  </si>
  <si>
    <r>
      <rPr>
        <b/>
        <sz val="11"/>
        <color theme="1"/>
        <rFont val="Segoe UI"/>
        <family val="2"/>
      </rPr>
      <t>DLI 3</t>
    </r>
    <r>
      <rPr>
        <sz val="11"/>
        <color theme="1"/>
        <rFont val="Segoe UI"/>
        <family val="2"/>
      </rPr>
      <t>: Percentage of children proficient in literacy and numeracy</t>
    </r>
  </si>
  <si>
    <r>
      <rPr>
        <b/>
        <sz val="11"/>
        <color theme="1"/>
        <rFont val="Segoe UI"/>
        <family val="2"/>
      </rPr>
      <t>DLI 7</t>
    </r>
    <r>
      <rPr>
        <sz val="11"/>
        <color theme="1"/>
        <rFont val="Segoe UI"/>
        <family val="2"/>
      </rPr>
      <t>: Percentage of public primary schools using annual school grant (ASG)</t>
    </r>
  </si>
  <si>
    <r>
      <rPr>
        <b/>
        <sz val="11"/>
        <color theme="1"/>
        <rFont val="Segoe UI"/>
        <family val="2"/>
      </rPr>
      <t>DLI 8</t>
    </r>
    <r>
      <rPr>
        <sz val="11"/>
        <color theme="1"/>
        <rFont val="Segoe UI"/>
        <family val="2"/>
      </rPr>
      <t>: Percentage of schools included in current-year Annual School Census (ASC) Report</t>
    </r>
  </si>
  <si>
    <r>
      <t>4. Develop and cost Sports development activities according to UBEC utilization guidelines -</t>
    </r>
    <r>
      <rPr>
        <b/>
        <sz val="20"/>
        <color theme="1" tint="0.499984740745262"/>
        <rFont val="Segoe UI"/>
        <family val="2"/>
      </rPr>
      <t xml:space="preserve">  </t>
    </r>
    <r>
      <rPr>
        <i/>
        <sz val="20"/>
        <color theme="1" tint="0.499984740745262"/>
        <rFont val="Segoe UI"/>
        <family val="2"/>
      </rPr>
      <t xml:space="preserve">A summary of all Sports Development activities and costs will appear automatically in appropriate section in Tab: </t>
    </r>
    <r>
      <rPr>
        <i/>
        <sz val="20"/>
        <color rgb="FFB88C00"/>
        <rFont val="Segoe UI"/>
        <family val="2"/>
      </rPr>
      <t xml:space="preserve">Pillar 2 - Quality </t>
    </r>
  </si>
  <si>
    <r>
      <t xml:space="preserve">7. Fill in other details under the applicabe column headers under sections </t>
    </r>
    <r>
      <rPr>
        <b/>
        <i/>
        <sz val="20"/>
        <color rgb="FF833C0C"/>
        <rFont val="Segoe UI"/>
        <family val="2"/>
      </rPr>
      <t xml:space="preserve">"Sports Development" </t>
    </r>
    <r>
      <rPr>
        <b/>
        <sz val="20"/>
        <color theme="1"/>
        <rFont val="Segoe UI"/>
        <family val="2"/>
      </rPr>
      <t xml:space="preserve">and </t>
    </r>
    <r>
      <rPr>
        <b/>
        <i/>
        <sz val="20"/>
        <color rgb="FF833C0C"/>
        <rFont val="Segoe UI"/>
        <family val="2"/>
      </rPr>
      <t>"Green School and Climate Change Initiative (GSCCI)"</t>
    </r>
    <r>
      <rPr>
        <b/>
        <sz val="20"/>
        <color theme="1"/>
        <rFont val="Segoe UI"/>
        <family val="2"/>
      </rPr>
      <t xml:space="preserve"> in tab:</t>
    </r>
    <r>
      <rPr>
        <b/>
        <i/>
        <sz val="20"/>
        <color rgb="FFB88C00"/>
        <rFont val="Segoe UI"/>
        <family val="2"/>
      </rPr>
      <t xml:space="preserve"> Pillar 2 - Quality</t>
    </r>
  </si>
  <si>
    <r>
      <t xml:space="preserve">Activities in this Action plan will be implemented in Year_ </t>
    </r>
    <r>
      <rPr>
        <i/>
        <sz val="23"/>
        <color theme="1"/>
        <rFont val="Segoe UI"/>
        <family val="2"/>
      </rPr>
      <t>(Select from drop-down)</t>
    </r>
  </si>
  <si>
    <r>
      <t xml:space="preserve">State </t>
    </r>
    <r>
      <rPr>
        <i/>
        <sz val="25"/>
        <color theme="1"/>
        <rFont val="Segoe UI"/>
        <family val="2"/>
      </rPr>
      <t>(Select from the drop-down)</t>
    </r>
  </si>
  <si>
    <r>
      <t xml:space="preserve">Total matching grant accessed (UBEC + State) </t>
    </r>
    <r>
      <rPr>
        <i/>
        <sz val="23"/>
        <color theme="1"/>
        <rFont val="Segoe UI"/>
        <family val="2"/>
      </rPr>
      <t>(Insert amount in Nigerian Naira)</t>
    </r>
  </si>
  <si>
    <r>
      <t xml:space="preserve">Total unconditional grants accessed
</t>
    </r>
    <r>
      <rPr>
        <i/>
        <sz val="23"/>
        <color theme="1"/>
        <rFont val="Segoe UI"/>
        <family val="2"/>
      </rPr>
      <t>(Insert amount in Nigerian Naira))</t>
    </r>
  </si>
  <si>
    <r>
      <t xml:space="preserve">Action plan to be executed using </t>
    </r>
    <r>
      <rPr>
        <b/>
        <sz val="23"/>
        <color theme="9" tint="-0.249977111117893"/>
        <rFont val="Segoe UI"/>
        <family val="2"/>
      </rPr>
      <t>Unconditional grants</t>
    </r>
    <r>
      <rPr>
        <b/>
        <sz val="23"/>
        <color theme="1"/>
        <rFont val="Segoe UI"/>
        <family val="2"/>
      </rPr>
      <t xml:space="preserve"> for year </t>
    </r>
    <r>
      <rPr>
        <i/>
        <sz val="23"/>
        <color theme="1"/>
        <rFont val="Segoe UI"/>
        <family val="2"/>
      </rPr>
      <t xml:space="preserve">(Specify the unconditional grant funding year(s) to finance this plan): </t>
    </r>
    <r>
      <rPr>
        <i/>
        <sz val="16"/>
        <color theme="0" tint="-0.34998626667073579"/>
        <rFont val="Segoe UI"/>
        <family val="2"/>
      </rPr>
      <t>(e.g 2024)</t>
    </r>
  </si>
  <si>
    <r>
      <t xml:space="preserve">Action plan to be executed using  </t>
    </r>
    <r>
      <rPr>
        <b/>
        <sz val="23"/>
        <color theme="9" tint="-0.249977111117893"/>
        <rFont val="Segoe UI"/>
        <family val="2"/>
      </rPr>
      <t>Matching grants</t>
    </r>
    <r>
      <rPr>
        <b/>
        <sz val="23"/>
        <color theme="1"/>
        <rFont val="Segoe UI"/>
        <family val="2"/>
      </rPr>
      <t xml:space="preserve"> acccessed for year(s) </t>
    </r>
    <r>
      <rPr>
        <i/>
        <sz val="23"/>
        <color theme="1"/>
        <rFont val="Segoe UI"/>
        <family val="2"/>
      </rPr>
      <t>(Specify the matching grant funding year(s) to finance this plan)</t>
    </r>
    <r>
      <rPr>
        <b/>
        <i/>
        <sz val="23"/>
        <color theme="1"/>
        <rFont val="Segoe UI"/>
        <family val="2"/>
      </rPr>
      <t>:</t>
    </r>
    <r>
      <rPr>
        <b/>
        <sz val="23"/>
        <color theme="1"/>
        <rFont val="Segoe UI"/>
        <family val="2"/>
      </rPr>
      <t xml:space="preserve"> </t>
    </r>
    <r>
      <rPr>
        <i/>
        <sz val="18"/>
        <color theme="0" tint="-0.34998626667073579"/>
        <rFont val="Segoe UI"/>
        <family val="2"/>
      </rPr>
      <t>(e.g 2024)</t>
    </r>
  </si>
  <si>
    <r>
      <t>5. Outline and cost all Green School and Climate Change Initiative (GSCCI) activities across domains -</t>
    </r>
    <r>
      <rPr>
        <i/>
        <sz val="20"/>
        <color theme="1"/>
        <rFont val="Segoe UI"/>
        <family val="2"/>
      </rPr>
      <t xml:space="preserve"> </t>
    </r>
    <r>
      <rPr>
        <i/>
        <sz val="20"/>
        <color theme="1" tint="0.499984740745262"/>
        <rFont val="Segoe UI"/>
        <family val="2"/>
      </rPr>
      <t>A summary of all GSCCI activities and costs will appear automatically in the appropriate section in Tab:</t>
    </r>
    <r>
      <rPr>
        <i/>
        <sz val="20"/>
        <color theme="1"/>
        <rFont val="Segoe UI"/>
        <family val="2"/>
      </rPr>
      <t xml:space="preserve"> </t>
    </r>
    <r>
      <rPr>
        <i/>
        <sz val="20"/>
        <color rgb="FFB88C00"/>
        <rFont val="Segoe UI"/>
        <family val="2"/>
      </rPr>
      <t>Pillar 2 - Quality</t>
    </r>
  </si>
  <si>
    <r>
      <t xml:space="preserve">INSTRUCTIONS
</t>
    </r>
    <r>
      <rPr>
        <i/>
        <sz val="20"/>
        <color rgb="FF00B0F0"/>
        <rFont val="Segoe UI"/>
        <family val="2"/>
      </rPr>
      <t>All action plan activities should be informed by the gaps and recommendations from the State's Rapid Assessment tool</t>
    </r>
  </si>
  <si>
    <r>
      <t xml:space="preserve">This sheet maps the Project Hope-EDU Disbursement-Linked Indicators (DLIs) to BEAP Pillars, and also includes suggested activities to enabled the state achieve set milestones
</t>
    </r>
    <r>
      <rPr>
        <b/>
        <i/>
        <sz val="18"/>
        <color theme="1"/>
        <rFont val="Segoe UI"/>
        <family val="2"/>
      </rPr>
      <t xml:space="preserve">Input IS </t>
    </r>
    <r>
      <rPr>
        <b/>
        <i/>
        <sz val="18"/>
        <color rgb="FFFF0000"/>
        <rFont val="Segoe UI"/>
        <family val="2"/>
      </rPr>
      <t>NOT</t>
    </r>
    <r>
      <rPr>
        <b/>
        <i/>
        <sz val="18"/>
        <color theme="1"/>
        <rFont val="Segoe UI"/>
        <family val="2"/>
      </rPr>
      <t xml:space="preserve"> REQUIRED on this sheet</t>
    </r>
  </si>
  <si>
    <t>DLIs (Disbursement linked indicators) and suggested activities (Project HOPE)</t>
  </si>
  <si>
    <t xml:space="preserve">Infastructructure projects and TLMs </t>
  </si>
  <si>
    <r>
      <rPr>
        <b/>
        <sz val="11"/>
        <color rgb="FF833C0C"/>
        <rFont val="Segoe UI"/>
        <family val="2"/>
      </rPr>
      <t>Teaching and Learning Materials (TLMs):</t>
    </r>
    <r>
      <rPr>
        <sz val="11"/>
        <color rgb="FF833C0C"/>
        <rFont val="Segoe UI"/>
        <family val="2"/>
      </rPr>
      <t xml:space="preserve"> </t>
    </r>
    <r>
      <rPr>
        <i/>
        <sz val="11"/>
        <color rgb="FF833C0C"/>
        <rFont val="Segoe UI"/>
        <family val="2"/>
      </rPr>
      <t>this includes list of school for distribution of textbooks</t>
    </r>
  </si>
  <si>
    <t>TLMs summary</t>
  </si>
  <si>
    <r>
      <t xml:space="preserve">Total TLMs cost
</t>
    </r>
    <r>
      <rPr>
        <i/>
        <sz val="11"/>
        <color theme="5" tint="-0.499984740745262"/>
        <rFont val="Segoe UI"/>
        <family val="2"/>
      </rPr>
      <t>(No input required)</t>
    </r>
  </si>
  <si>
    <r>
      <t xml:space="preserve">GRAND TOTAL INFRASTRUCTURE PROJECTS AND TLMs
</t>
    </r>
    <r>
      <rPr>
        <i/>
        <sz val="12"/>
        <color rgb="FF833C0C"/>
        <rFont val="Segoe UI"/>
        <family val="2"/>
      </rPr>
      <t>(No input required)</t>
    </r>
  </si>
  <si>
    <t>LIST OF BENEFICIARY SCHOOLS FOR SPORT EQUIPMENT</t>
  </si>
  <si>
    <t>NAME OF SCHOOL</t>
  </si>
  <si>
    <t>LGEA</t>
  </si>
  <si>
    <t>GPS OF SCHOOL</t>
  </si>
  <si>
    <t>SPORT/GAME</t>
  </si>
  <si>
    <t xml:space="preserve">QUANTITY OF ITEMS PROCURED </t>
  </si>
  <si>
    <t>TOTAL ITEMS PROCURED</t>
  </si>
  <si>
    <t xml:space="preserve">Enabler (Matching grant): Quality Assurance monitoring </t>
  </si>
  <si>
    <r>
      <rPr>
        <b/>
        <sz val="13"/>
        <color rgb="FF833C0C"/>
        <rFont val="Segoe UI"/>
        <family val="2"/>
      </rPr>
      <t xml:space="preserve">Priority initiative 1.1: </t>
    </r>
    <r>
      <rPr>
        <sz val="13"/>
        <color rgb="FF833C0C"/>
        <rFont val="Segoe UI"/>
        <family val="2"/>
      </rPr>
      <t>Provide safe and adequate infrastructure for learning environments</t>
    </r>
  </si>
  <si>
    <r>
      <rPr>
        <b/>
        <sz val="13"/>
        <color rgb="FF833C0C"/>
        <rFont val="Segoe UI"/>
        <family val="2"/>
      </rPr>
      <t>Priority initiative 1.2:</t>
    </r>
    <r>
      <rPr>
        <sz val="13"/>
        <color rgb="FF833C0C"/>
        <rFont val="Segoe UI"/>
        <family val="2"/>
      </rPr>
      <t xml:space="preserve"> Expand enrollment of out-of-school children into the formal education system</t>
    </r>
  </si>
  <si>
    <r>
      <rPr>
        <b/>
        <sz val="13"/>
        <color rgb="FF833C0C"/>
        <rFont val="Segoe UI"/>
        <family val="2"/>
      </rPr>
      <t>Priority initiative 1.3:</t>
    </r>
    <r>
      <rPr>
        <sz val="13"/>
        <color rgb="FF833C0C"/>
        <rFont val="Segoe UI"/>
        <family val="2"/>
      </rPr>
      <t xml:space="preserve"> Improve retention with incentives such as School-based management committee initiatives</t>
    </r>
  </si>
  <si>
    <r>
      <rPr>
        <b/>
        <sz val="13"/>
        <color rgb="FF833C0C"/>
        <rFont val="Segoe UI"/>
        <family val="2"/>
      </rPr>
      <t>Enabler (Matching grant)</t>
    </r>
    <r>
      <rPr>
        <sz val="13"/>
        <color rgb="FF833C0C"/>
        <rFont val="Segoe UI"/>
        <family val="2"/>
      </rPr>
      <t>: Supervision and Project monitoring of ongoing infrastructure activities</t>
    </r>
  </si>
  <si>
    <r>
      <rPr>
        <b/>
        <sz val="13"/>
        <color rgb="FF833C0C"/>
        <rFont val="Segoe UI"/>
        <family val="2"/>
      </rPr>
      <t>Enabler:</t>
    </r>
    <r>
      <rPr>
        <sz val="13"/>
        <color rgb="FF833C0C"/>
        <rFont val="Segoe UI"/>
        <family val="2"/>
      </rPr>
      <t xml:space="preserve"> Partnerships and cross-sector collaboration to expand access to basic education</t>
    </r>
  </si>
  <si>
    <t>No of classroms</t>
  </si>
  <si>
    <t>No of playrooms</t>
  </si>
  <si>
    <t>No of Libriaries</t>
  </si>
  <si>
    <t>No of toilets</t>
  </si>
  <si>
    <t>No of offices/stores</t>
  </si>
  <si>
    <r>
      <t xml:space="preserve">Expected output 
</t>
    </r>
    <r>
      <rPr>
        <i/>
        <sz val="11"/>
        <color rgb="FF833C0C"/>
        <rFont val="Segoe UI"/>
        <family val="2"/>
      </rPr>
      <t>(Please specify quantity)</t>
    </r>
  </si>
  <si>
    <t>Infastructure deliverables summary</t>
  </si>
  <si>
    <t>New construction</t>
  </si>
  <si>
    <t xml:space="preserve">No of new classrooms </t>
  </si>
  <si>
    <t>No of new library</t>
  </si>
  <si>
    <t>No of  new offices/stores</t>
  </si>
  <si>
    <t>No of classrooms renovated</t>
  </si>
  <si>
    <t>No of toilets renovated</t>
  </si>
  <si>
    <t>No of library renovated</t>
  </si>
  <si>
    <t xml:space="preserve">No of offices/stores renovated </t>
  </si>
  <si>
    <t>No of furniture procured</t>
  </si>
  <si>
    <t>ECCDE</t>
  </si>
  <si>
    <t>Primary</t>
  </si>
  <si>
    <t>JSS</t>
  </si>
  <si>
    <t xml:space="preserve">No of fences constructed </t>
  </si>
  <si>
    <t>No of boreholes constructed</t>
  </si>
  <si>
    <t>TLMs</t>
  </si>
  <si>
    <t>Furniture procured</t>
  </si>
  <si>
    <t>Boreholes</t>
  </si>
  <si>
    <t>No of new playrooms/Laboratories</t>
  </si>
  <si>
    <t>No of playrooms/labs renovated</t>
  </si>
  <si>
    <t>No of playrooms/Labs</t>
  </si>
  <si>
    <t>Annexus: List of beneficiary schools for sports equipment</t>
  </si>
  <si>
    <t>Request for quotation</t>
  </si>
  <si>
    <t>Market survey</t>
  </si>
  <si>
    <t xml:space="preserve">Single source/Direct contracting </t>
  </si>
  <si>
    <t>Prequalification</t>
  </si>
  <si>
    <t>Quality and cost based</t>
  </si>
  <si>
    <t>Consultant Qualification</t>
  </si>
  <si>
    <t>NCB</t>
  </si>
  <si>
    <t>Implementation strategy</t>
  </si>
  <si>
    <t>E-payment/Cash transfer</t>
  </si>
  <si>
    <t>Credit School account</t>
  </si>
  <si>
    <t>Credit SBMC school account</t>
  </si>
  <si>
    <t>Credit staff concern account</t>
  </si>
  <si>
    <t>Direct payment to vendor</t>
  </si>
  <si>
    <r>
      <rPr>
        <b/>
        <sz val="11"/>
        <color rgb="FF833C0C"/>
        <rFont val="Calibri"/>
        <family val="2"/>
        <scheme val="minor"/>
      </rPr>
      <t>Teaching and Learning Materials (TLMs)</t>
    </r>
    <r>
      <rPr>
        <sz val="11"/>
        <color rgb="FF833C0C"/>
        <rFont val="Calibri"/>
        <family val="2"/>
        <scheme val="minor"/>
      </rPr>
      <t>: this includes the list of beneficiary school for distribution of textbooks</t>
    </r>
  </si>
  <si>
    <r>
      <rPr>
        <b/>
        <sz val="11"/>
        <color rgb="FF833C0C"/>
        <rFont val="Calibri"/>
        <family val="2"/>
        <scheme val="minor"/>
      </rPr>
      <t xml:space="preserve">Geophysical Survey: </t>
    </r>
    <r>
      <rPr>
        <sz val="11"/>
        <color rgb="FF833C0C"/>
        <rFont val="Calibri"/>
        <family val="2"/>
        <scheme val="minor"/>
      </rPr>
      <t>this includes details of the geophysical survey across the recommended locations for sinking of boreholes</t>
    </r>
  </si>
  <si>
    <r>
      <rPr>
        <b/>
        <sz val="11"/>
        <color rgb="FF833C0C"/>
        <rFont val="Calibri"/>
        <family val="2"/>
        <scheme val="minor"/>
      </rPr>
      <t>Water Supply &amp; Sanitation:</t>
    </r>
    <r>
      <rPr>
        <sz val="11"/>
        <color rgb="FF833C0C"/>
        <rFont val="Calibri"/>
        <family val="2"/>
        <scheme val="minor"/>
      </rPr>
      <t xml:space="preserve"> this includes construction of water supply systems such as boreholes, taps, etc and waste disposal systems such as incinerators, etc</t>
    </r>
  </si>
  <si>
    <r>
      <rPr>
        <b/>
        <sz val="11"/>
        <color rgb="FF833C0C"/>
        <rFont val="Calibri"/>
        <family val="2"/>
        <scheme val="minor"/>
      </rPr>
      <t>Furniture and equipment:</t>
    </r>
    <r>
      <rPr>
        <sz val="11"/>
        <color rgb="FF833C0C"/>
        <rFont val="Calibri"/>
        <family val="2"/>
        <scheme val="minor"/>
      </rPr>
      <t xml:space="preserve"> this includes procurement of furniture such as desks, chairs, tables, shelves, etc and equipments such as generators, ICT equipments, etc</t>
    </r>
  </si>
  <si>
    <r>
      <rPr>
        <b/>
        <sz val="11"/>
        <color rgb="FF833C0C"/>
        <rFont val="Calibri"/>
        <family val="2"/>
        <scheme val="minor"/>
      </rPr>
      <t>Renovation:</t>
    </r>
    <r>
      <rPr>
        <sz val="11"/>
        <color rgb="FF833C0C"/>
        <rFont val="Calibri"/>
        <family val="2"/>
        <scheme val="minor"/>
      </rPr>
      <t xml:space="preserve"> this includes any renovation, upgrade or rehabilitation of an already established structure such as schools, classroom blocks, toilets, etc</t>
    </r>
  </si>
  <si>
    <r>
      <rPr>
        <b/>
        <sz val="11"/>
        <color rgb="FF833C0C"/>
        <rFont val="Calibri"/>
        <family val="2"/>
        <scheme val="minor"/>
      </rPr>
      <t xml:space="preserve">Construction: </t>
    </r>
    <r>
      <rPr>
        <sz val="11"/>
        <color rgb="FF833C0C"/>
        <rFont val="Calibri"/>
        <family val="2"/>
        <scheme val="minor"/>
      </rPr>
      <t>this includes all consturctions such as new schools, classroom blocks, perimeter fencing, toilets, ICT centres, laboratories, libraries, etc</t>
    </r>
  </si>
  <si>
    <t>Water Supply &amp; Sanitation (including Geophysical survey)</t>
  </si>
  <si>
    <t>4.D.Supervision, Assessment and Verification type:</t>
  </si>
  <si>
    <r>
      <t xml:space="preserve">This sheet provides a breakdown of all planned Green School and Climate Change and Safeguarding activities for the year to enhance the quality of basic education, organized according to the six GSCCS pillars. The summary of inputs for each pillar is automatically populated under GSCCS section on </t>
    </r>
    <r>
      <rPr>
        <i/>
        <sz val="18"/>
        <color rgb="FFB88C00"/>
        <rFont val="Segoe UI"/>
        <family val="2"/>
      </rPr>
      <t>Pillar 2 - Quality</t>
    </r>
    <r>
      <rPr>
        <sz val="18"/>
        <rFont val="Segoe UI"/>
        <family val="2"/>
      </rPr>
      <t xml:space="preserve"> sheet. </t>
    </r>
    <r>
      <rPr>
        <i/>
        <sz val="14"/>
        <color rgb="FF00B0F0"/>
        <rFont val="Segoe UI"/>
        <family val="2"/>
      </rPr>
      <t xml:space="preserve">This is a newly revised matching grant domain which replaces AETP on previous template. </t>
    </r>
    <r>
      <rPr>
        <sz val="18"/>
        <color theme="1"/>
        <rFont val="Segoe UI"/>
        <family val="2"/>
      </rPr>
      <t xml:space="preserve">
</t>
    </r>
    <r>
      <rPr>
        <sz val="18"/>
        <color rgb="FF833C0C"/>
        <rFont val="Segoe UI"/>
        <family val="2"/>
      </rPr>
      <t>Outline and cost all GSCCS activities on this sheet</t>
    </r>
    <r>
      <rPr>
        <sz val="18"/>
        <color theme="1"/>
        <rFont val="Segoe UI"/>
        <family val="2"/>
      </rPr>
      <t xml:space="preserve">
</t>
    </r>
    <r>
      <rPr>
        <b/>
        <i/>
        <sz val="18"/>
        <color theme="1"/>
        <rFont val="Segoe UI"/>
        <family val="2"/>
      </rPr>
      <t>Input IS REQUIRED on this sheet</t>
    </r>
  </si>
  <si>
    <r>
      <t xml:space="preserve">Green School and Climate Change and Safeguards (GSCCS) </t>
    </r>
    <r>
      <rPr>
        <b/>
        <sz val="12"/>
        <color theme="9" tint="0.59999389629810485"/>
        <rFont val="Segoe UI"/>
        <family val="2"/>
      </rPr>
      <t>{</t>
    </r>
    <r>
      <rPr>
        <b/>
        <i/>
        <sz val="12"/>
        <color theme="9" tint="0.59999389629810485"/>
        <rFont val="Segoe UI"/>
        <family val="2"/>
      </rPr>
      <t>NEW!}</t>
    </r>
  </si>
  <si>
    <t>Click the rows below to go the Green School and Climate Change and Safeguards (GSCCS) pillar type you would like to enter</t>
  </si>
  <si>
    <t>GSCCS GRAND TOTAL</t>
  </si>
  <si>
    <r>
      <t xml:space="preserve">Total cost: Rearing of Small Animals
</t>
    </r>
    <r>
      <rPr>
        <sz val="12"/>
        <color rgb="FF833C0C"/>
        <rFont val="Segoe UI"/>
        <family val="2"/>
      </rPr>
      <t>(No input required)</t>
    </r>
  </si>
  <si>
    <r>
      <t xml:space="preserve"> Total cost: Safeguards
</t>
    </r>
    <r>
      <rPr>
        <sz val="12"/>
        <color rgb="FF833C0C"/>
        <rFont val="Segoe UI"/>
        <family val="2"/>
      </rPr>
      <t>(No input required)</t>
    </r>
  </si>
  <si>
    <t>Matching Grant Intervention:  Green School and Climate Change and Safeguards</t>
  </si>
  <si>
    <t>Safeguards and Waste Management Initiatives</t>
  </si>
  <si>
    <t>Rearing of Small Animals/Aquatic Farming</t>
  </si>
  <si>
    <t>Greening Schools Climate Change and Safeguards</t>
  </si>
  <si>
    <t>ICT and Data Platform</t>
  </si>
  <si>
    <t>Enabler (Matching grant): Leveraging digitalization to improve the quality of basic education (ICT and Data Platform)</t>
  </si>
  <si>
    <r>
      <rPr>
        <b/>
        <sz val="11"/>
        <color rgb="FF833C0C"/>
        <rFont val="Calibri"/>
        <family val="2"/>
        <scheme val="minor"/>
      </rPr>
      <t xml:space="preserve">Enabler-matching grant Intervention: </t>
    </r>
    <r>
      <rPr>
        <sz val="11"/>
        <color rgb="FF833C0C"/>
        <rFont val="Calibri"/>
        <family val="2"/>
        <scheme val="minor"/>
      </rPr>
      <t>Quality Assurance monitoring (other)</t>
    </r>
  </si>
  <si>
    <r>
      <rPr>
        <b/>
        <sz val="11"/>
        <color rgb="FF833C0C"/>
        <rFont val="Calibri"/>
        <family val="2"/>
        <scheme val="minor"/>
      </rPr>
      <t xml:space="preserve">Enabler-matching grant: </t>
    </r>
    <r>
      <rPr>
        <sz val="11"/>
        <color rgb="FF833C0C"/>
        <rFont val="Calibri"/>
        <family val="2"/>
        <scheme val="minor"/>
      </rPr>
      <t>Levergaing digitalization to improve quality of basic education (ICT and Data Platform)</t>
    </r>
  </si>
  <si>
    <r>
      <rPr>
        <b/>
        <sz val="11"/>
        <color rgb="FF833C0C"/>
        <rFont val="Calibri"/>
        <family val="2"/>
        <scheme val="minor"/>
      </rPr>
      <t>Matching Grant Intervention:</t>
    </r>
    <r>
      <rPr>
        <sz val="11"/>
        <color rgb="FF833C0C"/>
        <rFont val="Calibri"/>
        <family val="2"/>
        <scheme val="minor"/>
      </rPr>
      <t xml:space="preserve"> Sports Development</t>
    </r>
  </si>
  <si>
    <r>
      <rPr>
        <b/>
        <sz val="11"/>
        <color rgb="FF833C0C"/>
        <rFont val="Calibri"/>
        <family val="2"/>
        <scheme val="minor"/>
      </rPr>
      <t>Enabler-matching Grant Intervention:</t>
    </r>
    <r>
      <rPr>
        <sz val="11"/>
        <color rgb="FF833C0C"/>
        <rFont val="Calibri"/>
        <family val="2"/>
        <scheme val="minor"/>
      </rPr>
      <t xml:space="preserve"> Green School and Climate Change and Safeguards (GSCCS)</t>
    </r>
  </si>
  <si>
    <r>
      <t xml:space="preserve"> Total cost: Supervision and Monitoring
</t>
    </r>
    <r>
      <rPr>
        <sz val="12"/>
        <color rgb="FF833C0C"/>
        <rFont val="Segoe UI"/>
        <family val="2"/>
      </rPr>
      <t>(No input required)</t>
    </r>
  </si>
  <si>
    <t>Supervision and monitoring of GSCCS initiatives</t>
  </si>
  <si>
    <t>UBEC/SUBEB/SP/001-023/2025</t>
  </si>
  <si>
    <t>1.A.Type of Sport/Game: FOOTBAL</t>
  </si>
  <si>
    <t>1.B. Type of Sport/Game: CHESS</t>
  </si>
  <si>
    <t xml:space="preserve">Football Boot </t>
  </si>
  <si>
    <t>Football  Net</t>
  </si>
  <si>
    <t>Football  Hose)</t>
  </si>
  <si>
    <t>Goalkeeper Handglove (Set of 2)</t>
  </si>
  <si>
    <t>1.C. Type of Sport/Game: Procurement of Football equipment</t>
  </si>
  <si>
    <t>Organize state senatoral zonal with winners from each LGA</t>
  </si>
  <si>
    <t>Organize state final with winners from all LGAs</t>
  </si>
  <si>
    <t>Organize 2-day orientation and refresher for school coaches and LGEA sports desk officers</t>
  </si>
  <si>
    <t>Publicity and live coverage</t>
  </si>
  <si>
    <t>NA</t>
  </si>
  <si>
    <t>2.B. Sport competition type: Chess</t>
  </si>
  <si>
    <t>Makurdi</t>
  </si>
  <si>
    <t>Rural</t>
  </si>
  <si>
    <t>6 Months</t>
  </si>
  <si>
    <t>LGEA Primary School Atsor</t>
  </si>
  <si>
    <t>Gwer East</t>
  </si>
  <si>
    <t>Expanding access to Basic Education inorder to bring back out-of-school children</t>
  </si>
  <si>
    <t>UBEC/SUBEB/WS/001/2025</t>
  </si>
  <si>
    <t>LGEA Primary School Girgi</t>
  </si>
  <si>
    <t>Vadeikya</t>
  </si>
  <si>
    <t>PROVIDE PROPER SANITORY ENVIRONMENT/ADEQUATE WASH FACILITY</t>
  </si>
  <si>
    <t>6 MONTHS</t>
  </si>
  <si>
    <t>UBEC/SUBEB/WS/002/2025</t>
  </si>
  <si>
    <t>RCM Primary School Wajir Mbaave</t>
  </si>
  <si>
    <t xml:space="preserve">Ushongo </t>
  </si>
  <si>
    <t>UBEC/SUBEB/WS/003/2025</t>
  </si>
  <si>
    <t>RCM Primary School Poor</t>
  </si>
  <si>
    <t>Urban</t>
  </si>
  <si>
    <t>UBEC/SUBEB/WS/004/2025</t>
  </si>
  <si>
    <t>UBEC/SUBEB/WS/005/2025</t>
  </si>
  <si>
    <t>LGEA Primary School Ajide Ekeh</t>
  </si>
  <si>
    <t>Okpokwu</t>
  </si>
  <si>
    <t>UBEC/SUBEB/WS/006/2025</t>
  </si>
  <si>
    <t>St Mary’s Pilot  Primary School, Ogobia Ugboju</t>
  </si>
  <si>
    <t>Otukpo</t>
  </si>
  <si>
    <t>LGEA Primary School Igirgi</t>
  </si>
  <si>
    <t>Vandeikya</t>
  </si>
  <si>
    <t xml:space="preserve">PROVIDING SECURITY </t>
  </si>
  <si>
    <t>RCM Primary School Ugye</t>
  </si>
  <si>
    <t>CONSTRUCTION OF  PERIMETER FENCE AND GATE HOUSE</t>
  </si>
  <si>
    <t>LGEA Primary School Effiom Edumoga</t>
  </si>
  <si>
    <t>OKPOKWU</t>
  </si>
  <si>
    <t>Provide Conducive Learning Environment</t>
  </si>
  <si>
    <t>3 MONTHS</t>
  </si>
  <si>
    <t>LGEA Primary School, Mbakunde</t>
  </si>
  <si>
    <t>PROVIDING CONDUCIVE LEARNING ENVIRONMENT</t>
  </si>
  <si>
    <t>Methodist Primary School Ogam</t>
  </si>
  <si>
    <t>LGEA Ptrimary School Atsor</t>
  </si>
  <si>
    <t>LGEA Primary School Iwambe</t>
  </si>
  <si>
    <t>UBEC Smart School Adaka</t>
  </si>
  <si>
    <t>Double bed bunks of steel with all the accessories (e.g beds, bedsheets and 2-pillows</t>
  </si>
  <si>
    <t>EQUIPMENT; COMPUTERS IN DIGITAL LIBRARIES, FURNITURE; CONSTRUCTION OF 2-SEATER DUAL-DESK OF STEEL/WOOD</t>
  </si>
  <si>
    <t>Holy Family Primary School, Kanshio</t>
  </si>
  <si>
    <t>LGEA Primary School KM2 Makurdi</t>
  </si>
  <si>
    <t>LGEA Primary School Ateku</t>
  </si>
  <si>
    <t>Gboko</t>
  </si>
  <si>
    <t>RCM Primary School Ihugh</t>
  </si>
  <si>
    <t>St James Primary School Mbadeda-Yandev</t>
  </si>
  <si>
    <t>Katsina Ala</t>
  </si>
  <si>
    <t>LGEA Primary School Adi-Akakwase</t>
  </si>
  <si>
    <t>St Francis Primary School Otukpo</t>
  </si>
  <si>
    <t>LGEA Primary School Selagi</t>
  </si>
  <si>
    <t>Konshisha</t>
  </si>
  <si>
    <t>LGEA Ptrimary School Abaki</t>
  </si>
  <si>
    <t>LGEA Primary School Mbakunde</t>
  </si>
  <si>
    <t>St Francis Primary School Agidi-Mbatiav</t>
  </si>
  <si>
    <t>LGEA Primary School Wurukum</t>
  </si>
  <si>
    <t>Providing conducive Hostel Accomadation</t>
  </si>
  <si>
    <t>UBEC/SUBEB/NC/001/2025</t>
  </si>
  <si>
    <t>UBEC/SUBEB/NC/001-00/2025</t>
  </si>
  <si>
    <t>NKST Primary School Genyi Yandev</t>
  </si>
  <si>
    <t>LGEA Primary School KM 2 Gboko Road</t>
  </si>
  <si>
    <t>LGEA Central Primary School Vandeikya Town</t>
  </si>
  <si>
    <t>NKST LGEA Primary School Igyoroko</t>
  </si>
  <si>
    <t>Buruku</t>
  </si>
  <si>
    <t>LGEA (ANGLICAN) Primary School Zaki-Biam</t>
  </si>
  <si>
    <t>Ukum</t>
  </si>
  <si>
    <t>PROCUREMENT OF LITERACY AND NUMERACY TEXT/WORKBOOKS FOR PRIMARY SCHOOLS</t>
  </si>
  <si>
    <t>Agatu</t>
  </si>
  <si>
    <t>LGEA Primary School, Ogam</t>
  </si>
  <si>
    <t>Ohimini</t>
  </si>
  <si>
    <t>Vandekya</t>
  </si>
  <si>
    <t>LGEA Central Primary School Vandeikya</t>
  </si>
  <si>
    <t>LGEA Primary School Abaki</t>
  </si>
  <si>
    <t>LGEA Primary School KM2</t>
  </si>
  <si>
    <t>LGEA Primary School Wailomayo</t>
  </si>
  <si>
    <t>LGEA (ANGLICAN) Primay School Zaki-Biam</t>
  </si>
  <si>
    <t>Methodist Primary School, Okete</t>
  </si>
  <si>
    <t>UBEC/SUBEB/NC/002/2025</t>
  </si>
  <si>
    <t>RCM Primary School Azaibo</t>
  </si>
  <si>
    <t>Kwande</t>
  </si>
  <si>
    <t xml:space="preserve">Expanding access to reduce overcrowding </t>
  </si>
  <si>
    <t>NKST Primary School Naka</t>
  </si>
  <si>
    <t>Gwer West</t>
  </si>
  <si>
    <t xml:space="preserve">7°34'34" </t>
  </si>
  <si>
    <t>8°11'41"</t>
  </si>
  <si>
    <t>To strengthen school-based governance, accountability, and community participation in the delivery of quality basic education, ensuring equity, inclusion, and effective decision-making.</t>
  </si>
  <si>
    <t>All Learners and Teachers</t>
  </si>
  <si>
    <t>100% Completion</t>
  </si>
  <si>
    <t>Procurement of Toyota Hilux Van 2025 model</t>
  </si>
  <si>
    <t>To facilitate monitoring of SBMC activities and the implementation SBMC projects across the 23 LGAs</t>
  </si>
  <si>
    <t>1No Hilux Van acquired</t>
  </si>
  <si>
    <t xml:space="preserve">100% acquisition of utility van </t>
  </si>
  <si>
    <t>Develop - state-wide behavioural change enrollment drive campaign in three zones</t>
  </si>
  <si>
    <t>To cut down number of out of school children</t>
  </si>
  <si>
    <t xml:space="preserve">Different outreaches </t>
  </si>
  <si>
    <t>Fueling/Maintenance of Hilux Van @N170,000.00 per day (5 visit per LGA)</t>
  </si>
  <si>
    <t>To facilitate easy mobility</t>
  </si>
  <si>
    <t xml:space="preserve">100% Fueling/maintenance of utility van </t>
  </si>
  <si>
    <t>SBMC incentives for retained out of school children (OOSC)</t>
  </si>
  <si>
    <t>To encourage retention of OOSC</t>
  </si>
  <si>
    <t>1200 OOSC will benefit from scholarship</t>
  </si>
  <si>
    <t>Organize All-Basic-Education Sports' competitions in all 23 LGAs (group stage + Knockout)</t>
  </si>
  <si>
    <t>Organize state final with winners from zonal level (Mobilization of pupils from the 23 LGAs, Accomadation of Participant</t>
  </si>
  <si>
    <t>Register and Camping of  state-winning team to represent Benue State at the Zonal UBE All-Basic-Education Competition</t>
  </si>
  <si>
    <t>Ado</t>
  </si>
  <si>
    <t>RCM P/S OWETO</t>
  </si>
  <si>
    <t>LGEA P/S ADOCHI UTONKON</t>
  </si>
  <si>
    <t>BURUKU</t>
  </si>
  <si>
    <t>APA</t>
  </si>
  <si>
    <t>AGATU</t>
  </si>
  <si>
    <t>ADO</t>
  </si>
  <si>
    <t>GBOKO</t>
  </si>
  <si>
    <t>GUMA</t>
  </si>
  <si>
    <t xml:space="preserve">LGEA PS ANINGE </t>
  </si>
  <si>
    <t>GWER-EAST</t>
  </si>
  <si>
    <t>GWER-WEST</t>
  </si>
  <si>
    <t>NKST P/S NAKA</t>
  </si>
  <si>
    <t>LGEA P/S ATSOR</t>
  </si>
  <si>
    <t xml:space="preserve">KONSHISHA </t>
  </si>
  <si>
    <t>KATSINA ALA</t>
  </si>
  <si>
    <t>LGEA CENTRAL P/S KATSINA ALA</t>
  </si>
  <si>
    <t>LGEA P/S AGEMA</t>
  </si>
  <si>
    <t>NKST P/S IYON</t>
  </si>
  <si>
    <t>KWANDE</t>
  </si>
  <si>
    <t>LGEA P/S UGBA</t>
  </si>
  <si>
    <t>LOGO</t>
  </si>
  <si>
    <t xml:space="preserve">MAKURDI </t>
  </si>
  <si>
    <t>RCM P/S POOR</t>
  </si>
  <si>
    <t>LGEA P/S IPOLE OKO</t>
  </si>
  <si>
    <t>OBI</t>
  </si>
  <si>
    <t>OGBADIBO</t>
  </si>
  <si>
    <t>LGEA P/S ADUM EAST</t>
  </si>
  <si>
    <t xml:space="preserve">LGEA P/S ABAKPA ONYAGEDE </t>
  </si>
  <si>
    <t>OHIMINI</t>
  </si>
  <si>
    <t>LGEA P/S OBOHU OJU</t>
  </si>
  <si>
    <t>OJU</t>
  </si>
  <si>
    <t>ST FRANCIS P/S OTUKPO</t>
  </si>
  <si>
    <t>OTUKPO</t>
  </si>
  <si>
    <t>NKST P/S ASUKUNYA</t>
  </si>
  <si>
    <t>TARKA</t>
  </si>
  <si>
    <t>UKUM</t>
  </si>
  <si>
    <t xml:space="preserve">LGEA PS ANGLICAN  UKUM ZAKI BIAM </t>
  </si>
  <si>
    <t xml:space="preserve">USHONGO </t>
  </si>
  <si>
    <t>LGEA P/S MBAKUNDE</t>
  </si>
  <si>
    <t>VANDEIKYA</t>
  </si>
  <si>
    <t>Football/Running/Chess Game</t>
  </si>
  <si>
    <t>NKST INGYOROKO</t>
  </si>
  <si>
    <t>RCM P/S IHUGH</t>
  </si>
  <si>
    <t>LGEA P/S GE-MBAYEM</t>
  </si>
  <si>
    <t>LGEA P/S GENYI-YANDEV</t>
  </si>
  <si>
    <t>LGEA PS ABAKI</t>
  </si>
  <si>
    <t>To equip schools with ICT equipment to improve digitilisation of basic education (ICT and Data Collection)</t>
  </si>
  <si>
    <t>840 tablets</t>
  </si>
  <si>
    <t>100% Completed</t>
  </si>
  <si>
    <t>Schools</t>
  </si>
  <si>
    <t>To equip schools with ICT equipment to improve digitilisation of basic education</t>
  </si>
  <si>
    <t xml:space="preserve">To equip QAOs and school heads with adequate technical capacity to effecive carry out monitoring and evaluation </t>
  </si>
  <si>
    <t>Sample Schools</t>
  </si>
  <si>
    <t>All Learners</t>
  </si>
  <si>
    <t>State level</t>
  </si>
  <si>
    <t>Allowance for Management Supervision</t>
  </si>
  <si>
    <t>To enhance effective management monitoring</t>
  </si>
  <si>
    <t>SUBEB Headquarter</t>
  </si>
  <si>
    <t>To facilitate Office Work</t>
  </si>
  <si>
    <t>To ensure construction costs and contracts valuation audit</t>
  </si>
  <si>
    <t>Report writing for five activities (100,000 per activity)</t>
  </si>
  <si>
    <t>To disseminate QA records</t>
  </si>
  <si>
    <t>Allowance for QA officers</t>
  </si>
  <si>
    <t xml:space="preserve">To ensure effective monitoring </t>
  </si>
  <si>
    <t xml:space="preserve">To convey QA staff for efficient monitoring </t>
  </si>
  <si>
    <t>LGAs</t>
  </si>
  <si>
    <t>All 30 QAs receive motorcyle</t>
  </si>
  <si>
    <t>100% procured</t>
  </si>
  <si>
    <t>To facilitate effective QA monitoring/coverage</t>
  </si>
  <si>
    <t>SUBEB Headquarters</t>
  </si>
  <si>
    <t>Training for 9,700 teachers and mentors on structured pedagogy in 23 LGAs</t>
  </si>
  <si>
    <t>Purchase of 12000 copies of revised Basic education curriculum from NERDC: 50% public and 20% private schools respectively)</t>
  </si>
  <si>
    <t>In accordance with the Nigerian Educational Research and Development Council's (NERDC) standards, to guarantee that all public basic education schools in the state have access to the most up-to-date, nationally recognized curriculum materials in order to support consistent, pertinent, and competency-based teaching and learning.</t>
  </si>
  <si>
    <t xml:space="preserve">Widespread distribution and use of standardized, up-to-date curriculum materials across public basic education schools in the state, enabling consistent, competency-based teaching and improved instructional planning.
</t>
  </si>
  <si>
    <t xml:space="preserve">12000 curriculum purchased </t>
  </si>
  <si>
    <t>Distribution of 12000 copies of revised Basic education curriculum from NERDC to basic schools in 23 LGAs</t>
  </si>
  <si>
    <t>All public basic education schools in the 23 Local Government Areas (LGAs) of Benue State must have broad access to the nationally updated curriculum in order to standardize teaching materials, enhance instructional design, and improve learning outcomes in accordance with NERDC and UBEC guidelines.</t>
  </si>
  <si>
    <t>All public basic education schools across the 23 LGAs are equipped with the updated NERDC curriculum, enabling standardized, quality-driven teaching and learning statewide</t>
  </si>
  <si>
    <t>12000 Curriculum distributed</t>
  </si>
  <si>
    <t>Curriculum Orientation and sensitization campaigns at the three senatorial zones in the State</t>
  </si>
  <si>
    <t>To enhance effective implementation of the curriculum</t>
  </si>
  <si>
    <t>To prepare teachers for effective implementation of curriculum</t>
  </si>
  <si>
    <t>Monitoring and evaluation/ Tracking of curriculum implementation for the 23 LGAs</t>
  </si>
  <si>
    <t>Sensitize all Basic Education stakeholders in the state on the relevance of revised Basic education curriculum</t>
  </si>
  <si>
    <t>train teachers on the implementation of the  revised Basic education curriculum</t>
  </si>
  <si>
    <t>Track the implementation of the  revised Basic education curriculum</t>
  </si>
  <si>
    <t>All the three senatorial zone in the state will receive the information</t>
  </si>
  <si>
    <t>Selected Teachers will be trained</t>
  </si>
  <si>
    <t>Effective implementation will be achieved</t>
  </si>
  <si>
    <t>9,700 teachers will be trained</t>
  </si>
  <si>
    <t>DQOs and school administrators will be trained on Quality Assurance Practices and Procedures</t>
  </si>
  <si>
    <t>Effective Supervision by Management 100% acheived</t>
  </si>
  <si>
    <t>1 No Printer acquired</t>
  </si>
  <si>
    <t>2No Laptop Computers</t>
  </si>
  <si>
    <t>QA report dessimination 100% achieved</t>
  </si>
  <si>
    <t>Effective Supervision by QAOs 100% acheived</t>
  </si>
  <si>
    <t xml:space="preserve"> To ensure the efficiency and effectiveness in the runing of schools programme and activities.</t>
  </si>
  <si>
    <t>2No Laptop Computers acquired</t>
  </si>
  <si>
    <t>Planting of Palm Trees</t>
  </si>
  <si>
    <r>
      <t>UBEC/SUBEB/GSCCI/2025/</t>
    </r>
    <r>
      <rPr>
        <sz val="12"/>
        <rFont val="Segoe UI"/>
        <family val="2"/>
      </rPr>
      <t>001</t>
    </r>
  </si>
  <si>
    <t xml:space="preserve">4 Weeks </t>
  </si>
  <si>
    <t>MAKURDI</t>
  </si>
  <si>
    <r>
      <t>UBEC/SUBEB/GSCCI/2025/</t>
    </r>
    <r>
      <rPr>
        <sz val="12"/>
        <rFont val="Segoe UI"/>
        <family val="2"/>
      </rPr>
      <t>002</t>
    </r>
  </si>
  <si>
    <r>
      <t>UBEC/SUBEB/GSCCI/2025/</t>
    </r>
    <r>
      <rPr>
        <sz val="12"/>
        <rFont val="Segoe UI"/>
        <family val="2"/>
      </rPr>
      <t>003</t>
    </r>
  </si>
  <si>
    <t>LGEA PRIMARY SCHOOL ORNGUDUEM-MBATIAV</t>
  </si>
  <si>
    <r>
      <t>UBEC/SUBEB/GSCCI/2025/</t>
    </r>
    <r>
      <rPr>
        <sz val="12"/>
        <rFont val="Segoe UI"/>
        <family val="2"/>
      </rPr>
      <t>004</t>
    </r>
  </si>
  <si>
    <r>
      <t>UBEC/SUBEB/GSCCI/2025/</t>
    </r>
    <r>
      <rPr>
        <sz val="12"/>
        <rFont val="Segoe UI"/>
        <family val="2"/>
      </rPr>
      <t>005</t>
    </r>
    <r>
      <rPr>
        <sz val="11"/>
        <color theme="1"/>
        <rFont val="Calibri"/>
        <family val="2"/>
        <scheme val="minor"/>
      </rPr>
      <t/>
    </r>
  </si>
  <si>
    <r>
      <t>UBEC/SUBEB/GSCCI/2025/</t>
    </r>
    <r>
      <rPr>
        <sz val="12"/>
        <rFont val="Segoe UI"/>
        <family val="2"/>
      </rPr>
      <t>006</t>
    </r>
    <r>
      <rPr>
        <sz val="11"/>
        <color theme="1"/>
        <rFont val="Calibri"/>
        <family val="2"/>
        <scheme val="minor"/>
      </rPr>
      <t/>
    </r>
  </si>
  <si>
    <t>LGEA PRIMARY SCHOOL AYAR-MBALOM</t>
  </si>
  <si>
    <t>GWER</t>
  </si>
  <si>
    <r>
      <t>UBEC/SUBEB/GSCCI/2025/</t>
    </r>
    <r>
      <rPr>
        <sz val="12"/>
        <rFont val="Segoe UI"/>
        <family val="2"/>
      </rPr>
      <t>007</t>
    </r>
    <r>
      <rPr>
        <sz val="11"/>
        <color theme="1"/>
        <rFont val="Calibri"/>
        <family val="2"/>
        <scheme val="minor"/>
      </rPr>
      <t/>
    </r>
  </si>
  <si>
    <t>NKST PRIMARY SCHOOL ATUKPU</t>
  </si>
  <si>
    <t>GWER WEST</t>
  </si>
  <si>
    <r>
      <t>UBEC/SUBEB/GSCCI/2025/</t>
    </r>
    <r>
      <rPr>
        <sz val="12"/>
        <rFont val="Segoe UI"/>
        <family val="2"/>
      </rPr>
      <t>008</t>
    </r>
    <r>
      <rPr>
        <sz val="11"/>
        <color theme="1"/>
        <rFont val="Calibri"/>
        <family val="2"/>
        <scheme val="minor"/>
      </rPr>
      <t/>
    </r>
  </si>
  <si>
    <t>LGEA SCIENCE PRIMARY SCHOOL TORDONGA</t>
  </si>
  <si>
    <t>KATSIN ALA</t>
  </si>
  <si>
    <r>
      <t>UBEC/SUBEB/GSCCI/2025/</t>
    </r>
    <r>
      <rPr>
        <sz val="12"/>
        <rFont val="Segoe UI"/>
        <family val="2"/>
      </rPr>
      <t>009</t>
    </r>
    <r>
      <rPr>
        <sz val="11"/>
        <color theme="1"/>
        <rFont val="Calibri"/>
        <family val="2"/>
        <scheme val="minor"/>
      </rPr>
      <t/>
    </r>
  </si>
  <si>
    <t>RCM PRIMARY SCHOOL ACHU</t>
  </si>
  <si>
    <r>
      <t>UBEC/SUBEB/GSCCI/2025/</t>
    </r>
    <r>
      <rPr>
        <sz val="12"/>
        <rFont val="Segoe UI"/>
        <family val="2"/>
      </rPr>
      <t>010</t>
    </r>
    <r>
      <rPr>
        <sz val="11"/>
        <color theme="1"/>
        <rFont val="Calibri"/>
        <family val="2"/>
        <scheme val="minor"/>
      </rPr>
      <t/>
    </r>
  </si>
  <si>
    <t>RCM PRIMARY SCHOOL TSE-TWAR</t>
  </si>
  <si>
    <r>
      <t>UBEC/SUBEB/GSCCI/2025/</t>
    </r>
    <r>
      <rPr>
        <sz val="12"/>
        <rFont val="Segoe UI"/>
        <family val="2"/>
      </rPr>
      <t>011</t>
    </r>
    <r>
      <rPr>
        <sz val="11"/>
        <color theme="1"/>
        <rFont val="Calibri"/>
        <family val="2"/>
        <scheme val="minor"/>
      </rPr>
      <t/>
    </r>
  </si>
  <si>
    <t>NKST UBE JSS TONGO</t>
  </si>
  <si>
    <t>KONSHISHA</t>
  </si>
  <si>
    <r>
      <t>UBEC/SUBEB/GSCCI/2025/</t>
    </r>
    <r>
      <rPr>
        <sz val="12"/>
        <rFont val="Segoe UI"/>
        <family val="2"/>
      </rPr>
      <t>012</t>
    </r>
    <r>
      <rPr>
        <sz val="11"/>
        <color theme="1"/>
        <rFont val="Calibri"/>
        <family val="2"/>
        <scheme val="minor"/>
      </rPr>
      <t/>
    </r>
  </si>
  <si>
    <t>GWER EAST</t>
  </si>
  <si>
    <r>
      <t>UBEC/SUBEB/GSCCI/2025/</t>
    </r>
    <r>
      <rPr>
        <sz val="12"/>
        <rFont val="Segoe UI"/>
        <family val="2"/>
      </rPr>
      <t>013</t>
    </r>
    <r>
      <rPr>
        <sz val="11"/>
        <color theme="1"/>
        <rFont val="Calibri"/>
        <family val="2"/>
        <scheme val="minor"/>
      </rPr>
      <t/>
    </r>
  </si>
  <si>
    <t>LGEA PRIMARY SCHOOL MELABU</t>
  </si>
  <si>
    <r>
      <t>UBEC/SUBEB/GSCCI/2025/</t>
    </r>
    <r>
      <rPr>
        <sz val="12"/>
        <rFont val="Segoe UI"/>
        <family val="2"/>
      </rPr>
      <t>014</t>
    </r>
    <r>
      <rPr>
        <sz val="11"/>
        <color theme="1"/>
        <rFont val="Calibri"/>
        <family val="2"/>
        <scheme val="minor"/>
      </rPr>
      <t/>
    </r>
  </si>
  <si>
    <t>NKST PRIMARY SCHOOL YAIKYO</t>
  </si>
  <si>
    <r>
      <t>UBEC/SUBEB/GSCCI/2025/</t>
    </r>
    <r>
      <rPr>
        <sz val="12"/>
        <rFont val="Segoe UI"/>
        <family val="2"/>
      </rPr>
      <t>015</t>
    </r>
    <r>
      <rPr>
        <sz val="11"/>
        <color theme="1"/>
        <rFont val="Calibri"/>
        <family val="2"/>
        <scheme val="minor"/>
      </rPr>
      <t/>
    </r>
  </si>
  <si>
    <t>ARABIC PRIMARY SCHOOL MAKURDI</t>
  </si>
  <si>
    <r>
      <t>UBEC/SUBEB/GSCCI/2025/</t>
    </r>
    <r>
      <rPr>
        <sz val="12"/>
        <rFont val="Segoe UI"/>
        <family val="2"/>
      </rPr>
      <t>016</t>
    </r>
    <r>
      <rPr>
        <sz val="11"/>
        <color theme="1"/>
        <rFont val="Calibri"/>
        <family val="2"/>
        <scheme val="minor"/>
      </rPr>
      <t/>
    </r>
  </si>
  <si>
    <t>LGEA PRIMARY SCHOOL IWAMBE</t>
  </si>
  <si>
    <r>
      <t>UBEC/SUBEB/GSCCI/2025/</t>
    </r>
    <r>
      <rPr>
        <sz val="12"/>
        <rFont val="Segoe UI"/>
        <family val="2"/>
      </rPr>
      <t>017</t>
    </r>
    <r>
      <rPr>
        <sz val="11"/>
        <color theme="1"/>
        <rFont val="Calibri"/>
        <family val="2"/>
        <scheme val="minor"/>
      </rPr>
      <t/>
    </r>
  </si>
  <si>
    <t>RCM PRIMARY SCHOOL EKERE-OWUKPA</t>
  </si>
  <si>
    <r>
      <t>UBEC/SUBEB/GSCCI/2025/</t>
    </r>
    <r>
      <rPr>
        <sz val="12"/>
        <rFont val="Segoe UI"/>
        <family val="2"/>
      </rPr>
      <t>018</t>
    </r>
    <r>
      <rPr>
        <sz val="11"/>
        <color theme="1"/>
        <rFont val="Calibri"/>
        <family val="2"/>
        <scheme val="minor"/>
      </rPr>
      <t/>
    </r>
  </si>
  <si>
    <t>RCM PRIMARY SCHOOL AJEGBE</t>
  </si>
  <si>
    <r>
      <t>UBEC/SUBEB/GSCCI/2025/</t>
    </r>
    <r>
      <rPr>
        <sz val="12"/>
        <rFont val="Segoe UI"/>
        <family val="2"/>
      </rPr>
      <t>019</t>
    </r>
    <r>
      <rPr>
        <sz val="11"/>
        <color theme="1"/>
        <rFont val="Calibri"/>
        <family val="2"/>
        <scheme val="minor"/>
      </rPr>
      <t/>
    </r>
  </si>
  <si>
    <t>LGEA PRIMARY SCHOOL OHUHU-OWO</t>
  </si>
  <si>
    <r>
      <t>UBEC/SUBEB/GSCCI/2025/</t>
    </r>
    <r>
      <rPr>
        <sz val="12"/>
        <rFont val="Segoe UI"/>
        <family val="2"/>
      </rPr>
      <t>020</t>
    </r>
    <r>
      <rPr>
        <sz val="11"/>
        <color theme="1"/>
        <rFont val="Calibri"/>
        <family val="2"/>
        <scheme val="minor"/>
      </rPr>
      <t/>
    </r>
  </si>
  <si>
    <t>LGEA PRIMARY SCHOOL IDUKU- IDIRI OKPOGA</t>
  </si>
  <si>
    <r>
      <t>UBEC/SUBEB/GSCCI/2025/</t>
    </r>
    <r>
      <rPr>
        <sz val="12"/>
        <rFont val="Segoe UI"/>
        <family val="2"/>
      </rPr>
      <t>021</t>
    </r>
    <r>
      <rPr>
        <sz val="11"/>
        <color theme="1"/>
        <rFont val="Calibri"/>
        <family val="2"/>
        <scheme val="minor"/>
      </rPr>
      <t/>
    </r>
  </si>
  <si>
    <t>METHODIST PRIMARY SCHOOL OTOBI</t>
  </si>
  <si>
    <r>
      <t>UBEC/SUBEB/GSCCI/2025/</t>
    </r>
    <r>
      <rPr>
        <sz val="12"/>
        <rFont val="Segoe UI"/>
        <family val="2"/>
      </rPr>
      <t>022</t>
    </r>
    <r>
      <rPr>
        <sz val="11"/>
        <color theme="1"/>
        <rFont val="Calibri"/>
        <family val="2"/>
        <scheme val="minor"/>
      </rPr>
      <t/>
    </r>
  </si>
  <si>
    <t>HOLY ROSARY PRIMARY SCHOOL ABECHE ADOKA</t>
  </si>
  <si>
    <r>
      <t>UBEC/SUBEB/GSCCI/2025/</t>
    </r>
    <r>
      <rPr>
        <sz val="12"/>
        <rFont val="Segoe UI"/>
        <family val="2"/>
      </rPr>
      <t>023</t>
    </r>
    <r>
      <rPr>
        <sz val="11"/>
        <color theme="1"/>
        <rFont val="Calibri"/>
        <family val="2"/>
        <scheme val="minor"/>
      </rPr>
      <t/>
    </r>
  </si>
  <si>
    <t>NKST PRIMARY SCHOOL ASUKUNYA</t>
  </si>
  <si>
    <r>
      <t>UBEC/SUBEB/GSCCI/2025/</t>
    </r>
    <r>
      <rPr>
        <sz val="12"/>
        <rFont val="Segoe UI"/>
        <family val="2"/>
      </rPr>
      <t>024</t>
    </r>
    <r>
      <rPr>
        <sz val="11"/>
        <color theme="1"/>
        <rFont val="Calibri"/>
        <family val="2"/>
        <scheme val="minor"/>
      </rPr>
      <t/>
    </r>
  </si>
  <si>
    <t>RCM PRIMARY SCHOOL SOO-UYO</t>
  </si>
  <si>
    <r>
      <t>UBEC/SUBEB/GSCCI/2025/</t>
    </r>
    <r>
      <rPr>
        <sz val="12"/>
        <rFont val="Segoe UI"/>
        <family val="2"/>
      </rPr>
      <t>025</t>
    </r>
    <r>
      <rPr>
        <sz val="11"/>
        <color theme="1"/>
        <rFont val="Calibri"/>
        <family val="2"/>
        <scheme val="minor"/>
      </rPr>
      <t/>
    </r>
  </si>
  <si>
    <t>LGEA (ANGLICAN) PRIMARY SCHOOL ZAKI-BIAM</t>
  </si>
  <si>
    <r>
      <t>UBEC/SUBEB/GSCCI/2025/</t>
    </r>
    <r>
      <rPr>
        <sz val="12"/>
        <rFont val="Segoe UI"/>
        <family val="2"/>
      </rPr>
      <t>026</t>
    </r>
    <r>
      <rPr>
        <sz val="11"/>
        <color theme="1"/>
        <rFont val="Calibri"/>
        <family val="2"/>
        <scheme val="minor"/>
      </rPr>
      <t/>
    </r>
  </si>
  <si>
    <t>RCM PRIMARY SCHOOL ANGWE MBAAGWA</t>
  </si>
  <si>
    <t>USHONGO</t>
  </si>
  <si>
    <r>
      <t>UBEC/SUBEB/GSCCI/2025/</t>
    </r>
    <r>
      <rPr>
        <sz val="12"/>
        <rFont val="Segoe UI"/>
        <family val="2"/>
      </rPr>
      <t>027</t>
    </r>
    <r>
      <rPr>
        <sz val="11"/>
        <color theme="1"/>
        <rFont val="Calibri"/>
        <family val="2"/>
        <scheme val="minor"/>
      </rPr>
      <t/>
    </r>
  </si>
  <si>
    <t>NKST PRIMARY SCHOOL AKU MBAKUHA</t>
  </si>
  <si>
    <r>
      <t>UBEC/SUBEB/GSCCI/2025/</t>
    </r>
    <r>
      <rPr>
        <sz val="12"/>
        <rFont val="Segoe UI"/>
        <family val="2"/>
      </rPr>
      <t>028</t>
    </r>
    <r>
      <rPr>
        <sz val="11"/>
        <color theme="1"/>
        <rFont val="Calibri"/>
        <family val="2"/>
        <scheme val="minor"/>
      </rPr>
      <t/>
    </r>
  </si>
  <si>
    <t>RCM PRIMARY SCHOOL IHUGH</t>
  </si>
  <si>
    <r>
      <t>UBEC/SUBEB/GSCCI/2025/</t>
    </r>
    <r>
      <rPr>
        <sz val="12"/>
        <rFont val="Segoe UI"/>
        <family val="2"/>
      </rPr>
      <t>029</t>
    </r>
    <r>
      <rPr>
        <sz val="11"/>
        <color theme="1"/>
        <rFont val="Calibri"/>
        <family val="2"/>
        <scheme val="minor"/>
      </rPr>
      <t/>
    </r>
  </si>
  <si>
    <t>LGEA PRIMARY SCHOOL TSE-AKO</t>
  </si>
  <si>
    <r>
      <t>UBEC/SUBEB/GSCCI/2025/</t>
    </r>
    <r>
      <rPr>
        <sz val="12"/>
        <rFont val="Segoe UI"/>
        <family val="2"/>
      </rPr>
      <t>030</t>
    </r>
    <r>
      <rPr>
        <sz val="11"/>
        <color theme="1"/>
        <rFont val="Calibri"/>
        <family val="2"/>
        <scheme val="minor"/>
      </rPr>
      <t/>
    </r>
  </si>
  <si>
    <t xml:space="preserve">MPS OGBALU </t>
  </si>
  <si>
    <r>
      <t>UBEC/SUBEB/GSCCI/2025/</t>
    </r>
    <r>
      <rPr>
        <sz val="12"/>
        <rFont val="Segoe UI"/>
        <family val="2"/>
      </rPr>
      <t>031</t>
    </r>
    <r>
      <rPr>
        <sz val="11"/>
        <color theme="1"/>
        <rFont val="Calibri"/>
        <family val="2"/>
        <scheme val="minor"/>
      </rPr>
      <t/>
    </r>
  </si>
  <si>
    <t>BAPTIST PRIMARY SCHOOL UDEI</t>
  </si>
  <si>
    <r>
      <t>UBEC/SUBEB/GSCCI/2025/</t>
    </r>
    <r>
      <rPr>
        <sz val="12"/>
        <rFont val="Segoe UI"/>
        <family val="2"/>
      </rPr>
      <t>032</t>
    </r>
    <r>
      <rPr>
        <sz val="11"/>
        <color theme="1"/>
        <rFont val="Calibri"/>
        <family val="2"/>
        <scheme val="minor"/>
      </rPr>
      <t/>
    </r>
  </si>
  <si>
    <t xml:space="preserve">LGEA PRIMARY SCHOOL ZEGEKWEN </t>
  </si>
  <si>
    <r>
      <t>UBEC/SUBEB/GSCCI/2025/</t>
    </r>
    <r>
      <rPr>
        <sz val="12"/>
        <rFont val="Segoe UI"/>
        <family val="2"/>
      </rPr>
      <t>033</t>
    </r>
    <r>
      <rPr>
        <sz val="11"/>
        <color theme="1"/>
        <rFont val="Calibri"/>
        <family val="2"/>
        <scheme val="minor"/>
      </rPr>
      <t/>
    </r>
  </si>
  <si>
    <t>ISMALIYA PRIMARY SCHOOL ALIFETI</t>
  </si>
  <si>
    <r>
      <t>UBEC/SUBEB/GSCCI/2025/</t>
    </r>
    <r>
      <rPr>
        <sz val="12"/>
        <rFont val="Segoe UI"/>
        <family val="2"/>
      </rPr>
      <t>034</t>
    </r>
    <r>
      <rPr>
        <sz val="11"/>
        <color theme="1"/>
        <rFont val="Calibri"/>
        <family val="2"/>
        <scheme val="minor"/>
      </rPr>
      <t/>
    </r>
  </si>
  <si>
    <t>RCM PRIMARY SCHOOL KPAREV TSAMBE</t>
  </si>
  <si>
    <r>
      <t>UBEC/SUBEB/GSCCI/2025/</t>
    </r>
    <r>
      <rPr>
        <sz val="12"/>
        <rFont val="Segoe UI"/>
        <family val="2"/>
      </rPr>
      <t>035</t>
    </r>
    <r>
      <rPr>
        <sz val="11"/>
        <color theme="1"/>
        <rFont val="Calibri"/>
        <family val="2"/>
        <scheme val="minor"/>
      </rPr>
      <t/>
    </r>
  </si>
  <si>
    <t>NKST PRIMARY SCHOOL IYON</t>
  </si>
  <si>
    <r>
      <t>UBEC/SUBEB/GSCCI/2025/</t>
    </r>
    <r>
      <rPr>
        <sz val="12"/>
        <rFont val="Segoe UI"/>
        <family val="2"/>
      </rPr>
      <t>036</t>
    </r>
    <r>
      <rPr>
        <sz val="11"/>
        <color theme="1"/>
        <rFont val="Calibri"/>
        <family val="2"/>
        <scheme val="minor"/>
      </rPr>
      <t/>
    </r>
  </si>
  <si>
    <t>SPECIAL SCIENCE PRIMARY SCHOOL AWAJIR</t>
  </si>
  <si>
    <r>
      <t>UBEC/SUBEB/GSCCI/2025/</t>
    </r>
    <r>
      <rPr>
        <sz val="12"/>
        <rFont val="Segoe UI"/>
        <family val="2"/>
      </rPr>
      <t>037</t>
    </r>
    <r>
      <rPr>
        <sz val="11"/>
        <color theme="1"/>
        <rFont val="Calibri"/>
        <family val="2"/>
        <scheme val="minor"/>
      </rPr>
      <t/>
    </r>
  </si>
  <si>
    <t>LGEA PRIMARY SCHOOL OBOHU OJU</t>
  </si>
  <si>
    <r>
      <t>UBEC/SUBEB/GSCCI/2025/</t>
    </r>
    <r>
      <rPr>
        <sz val="12"/>
        <rFont val="Segoe UI"/>
        <family val="2"/>
      </rPr>
      <t>038</t>
    </r>
    <r>
      <rPr>
        <sz val="11"/>
        <color theme="1"/>
        <rFont val="Calibri"/>
        <family val="2"/>
        <scheme val="minor"/>
      </rPr>
      <t/>
    </r>
  </si>
  <si>
    <r>
      <t>UBEC/SUBEB/GSCCI/2025/</t>
    </r>
    <r>
      <rPr>
        <sz val="12"/>
        <rFont val="Segoe UI"/>
        <family val="2"/>
      </rPr>
      <t>039</t>
    </r>
    <r>
      <rPr>
        <sz val="11"/>
        <color theme="1"/>
        <rFont val="Calibri"/>
        <family val="2"/>
        <scheme val="minor"/>
      </rPr>
      <t/>
    </r>
  </si>
  <si>
    <t>LGEA PRIMARY SCHOOL EFFE UGBOKOLO</t>
  </si>
  <si>
    <r>
      <t>UBEC/SUBEB/GSCCI/2025/</t>
    </r>
    <r>
      <rPr>
        <sz val="12"/>
        <rFont val="Segoe UI"/>
        <family val="2"/>
      </rPr>
      <t>040</t>
    </r>
    <r>
      <rPr>
        <sz val="11"/>
        <color theme="1"/>
        <rFont val="Calibri"/>
        <family val="2"/>
        <scheme val="minor"/>
      </rPr>
      <t/>
    </r>
  </si>
  <si>
    <t>Procurement of greening curriculum guide</t>
  </si>
  <si>
    <t>UBEC/SUBEB/GSCCI/2025/041</t>
  </si>
  <si>
    <t>12 Weeks</t>
  </si>
  <si>
    <t>UBEC/SUBEB/GSCCI/2025/042</t>
  </si>
  <si>
    <t>UBEC/SUBEB/GSCCI/2025/043</t>
  </si>
  <si>
    <t>UBEC/SUBEB/GSCCI/2025/044</t>
  </si>
  <si>
    <t>UBEC/SUBEB/GSCCI/2025/045</t>
  </si>
  <si>
    <t>UBEC/SUBEB/GSCCI/2025/046</t>
  </si>
  <si>
    <t>UBEC/SUBEB/GSCCI/2025/047</t>
  </si>
  <si>
    <t>UBEC/SUBEB/GSCCI/2025/048</t>
  </si>
  <si>
    <t>UBEC/SUBEB/GSCCI/2025/049</t>
  </si>
  <si>
    <t>UBEC/SUBEB/GSCCI/2025/050</t>
  </si>
  <si>
    <t>UBEC/SUBEB/GSCCI/2025/051</t>
  </si>
  <si>
    <t>UBEC/SUBEB/GSCCI/2025/052</t>
  </si>
  <si>
    <t>UBEC/SUBEB/GSCCI/2025/053</t>
  </si>
  <si>
    <t>UBEC/SUBEB/GSCCI/2025/054</t>
  </si>
  <si>
    <t>UBEC/SUBEB/GSCCI/2025/055</t>
  </si>
  <si>
    <t>UBEC/SUBEB/GSCCI/2025/056</t>
  </si>
  <si>
    <t>UBEC/SUBEB/GSCCI/2025/057</t>
  </si>
  <si>
    <t>UBEC/SUBEB/GSCCI/2025/058</t>
  </si>
  <si>
    <t>UBEC/SUBEB/GSCCI/2025/059</t>
  </si>
  <si>
    <t>UBEC/SUBEB/GSCCI/2025/060</t>
  </si>
  <si>
    <t>UBEC/SUBEB/GSCCI/2025/061</t>
  </si>
  <si>
    <t>UBEC/SUBEB/GSCCI/2025/062</t>
  </si>
  <si>
    <t>UBEC/SUBEB/GSCCI/2025/063</t>
  </si>
  <si>
    <t>UBEC/SUBEB/GSCCI/2025/064</t>
  </si>
  <si>
    <t>UBEC/SUBEB/GSCCI/2025/065</t>
  </si>
  <si>
    <t>UBEC/SUBEB/GSCCI/2025/066</t>
  </si>
  <si>
    <t>UBEC/SUBEB/GSCCI/2025/067</t>
  </si>
  <si>
    <t>UBEC/SUBEB/GSCCI/2025/068</t>
  </si>
  <si>
    <t>UBEC/SUBEB/GSCCI/2025/069</t>
  </si>
  <si>
    <t>UBEC/SUBEB/GSCCI/2025/070</t>
  </si>
  <si>
    <t>UBEC/SUBEB/GSCCI/2025/071</t>
  </si>
  <si>
    <t>UBEC/SUBEB/GSCCI/2025/072</t>
  </si>
  <si>
    <t>UBEC/SUBEB/GSCCI/2025/073</t>
  </si>
  <si>
    <t>UBEC/SUBEB/GSCCI/2025/074</t>
  </si>
  <si>
    <t>UBEC/SUBEB/GSCCI/2025/075</t>
  </si>
  <si>
    <t>UBEC/SUBEB/GSCCI/2025/076</t>
  </si>
  <si>
    <t>UBEC/SUBEB/GSCCI/2025/077</t>
  </si>
  <si>
    <t>UBEC/SUBEB/GSCCI/2025/078</t>
  </si>
  <si>
    <t>UBEC/SUBEB/GSCCI/2025/079</t>
  </si>
  <si>
    <t>UBEC/SUBEB/GSCCI/2025/080</t>
  </si>
  <si>
    <t>Train teachers &amp; school leaders on green teaching practices</t>
  </si>
  <si>
    <t>UBEC/SUBEB/GSCCI/2025/081</t>
  </si>
  <si>
    <t>Teachers</t>
  </si>
  <si>
    <t xml:space="preserve">3 Days </t>
  </si>
  <si>
    <t>UBEC/SUBEB/GSCCI/2025/082</t>
  </si>
  <si>
    <t>UBEC/SUBEB/GSCCI/2025/083</t>
  </si>
  <si>
    <t>UBEC/SUBEB/GSCCI/2025/084</t>
  </si>
  <si>
    <t>UBEC/SUBEB/GSCCI/2025/085</t>
  </si>
  <si>
    <t>UBEC/SUBEB/GSCCI/2025/086</t>
  </si>
  <si>
    <t>UBEC/SUBEB/GSCCI/2025/087</t>
  </si>
  <si>
    <t>UBEC/SUBEB/GSCCI/2025/088</t>
  </si>
  <si>
    <t>UBEC/SUBEB/GSCCI/2025/089</t>
  </si>
  <si>
    <t>UBEC/SUBEB/GSCCI/2025/090</t>
  </si>
  <si>
    <t>UBEC/SUBEB/GSCCI/2025/091</t>
  </si>
  <si>
    <t>UBEC/SUBEB/GSCCI/2025/092</t>
  </si>
  <si>
    <t>UBEC/SUBEB/GSCCI/2025/093</t>
  </si>
  <si>
    <t>UBEC/SUBEB/GSCCI/2025/094</t>
  </si>
  <si>
    <t>UBEC/SUBEB/GSCCI/2025/095</t>
  </si>
  <si>
    <t>UBEC/SUBEB/GSCCI/2025/096</t>
  </si>
  <si>
    <t>UBEC/SUBEB/GSCCI/2025/097</t>
  </si>
  <si>
    <t>UBEC/SUBEB/GSCCI/2025/098</t>
  </si>
  <si>
    <t>UBEC/SUBEB/GSCCI/2025/099</t>
  </si>
  <si>
    <t>UBEC/SUBEB/GSCCI/2025/100</t>
  </si>
  <si>
    <t>UBEC/SUBEB/GSCCI/2025/101</t>
  </si>
  <si>
    <t>UBEC/SUBEB/GSCCI/2025/102</t>
  </si>
  <si>
    <t>UBEC/SUBEB/GSCCI/2025/103</t>
  </si>
  <si>
    <t>UBEC/SUBEB/GSCCI/2025/104</t>
  </si>
  <si>
    <t>UBEC/SUBEB/GSCCI/2025/105</t>
  </si>
  <si>
    <t>UBEC/SUBEB/GSCCI/2025/106</t>
  </si>
  <si>
    <t>UBEC/SUBEB/GSCCI/2025/107</t>
  </si>
  <si>
    <t>UBEC/SUBEB/GSCCI/2025/108</t>
  </si>
  <si>
    <t>UBEC/SUBEB/GSCCI/2025/109</t>
  </si>
  <si>
    <t>UBEC/SUBEB/GSCCI/2025/110</t>
  </si>
  <si>
    <t>UBEC/SUBEB/GSCCI/2025/111</t>
  </si>
  <si>
    <t>UBEC/SUBEB/GSCCI/2025/112</t>
  </si>
  <si>
    <t>UBEC/SUBEB/GSCCI/2025/113</t>
  </si>
  <si>
    <t>UBEC/SUBEB/GSCCI/2025/114</t>
  </si>
  <si>
    <t>UBEC/SUBEB/GSCCI/2025/115</t>
  </si>
  <si>
    <t>UBEC/SUBEB/GSCCI/2025/116</t>
  </si>
  <si>
    <t>UBEC/SUBEB/GSCCI/2025/117</t>
  </si>
  <si>
    <t>UBEC/SUBEB/GSCCI/2025/118</t>
  </si>
  <si>
    <t>UBEC/SUBEB/GSCCI/2025/119</t>
  </si>
  <si>
    <t>UBEC/SUBEB/GSCCI/2025/120</t>
  </si>
  <si>
    <t>Advocacy on Greening communities in the three senatorial zones of the State (Selected communities)</t>
  </si>
  <si>
    <t>6 Weeks</t>
  </si>
  <si>
    <t>Cleaner and greener school environments and Increased community participation in school projects</t>
  </si>
  <si>
    <t>Establishement of Climate change and Green Club (selected schools across the three zones</t>
  </si>
  <si>
    <t>Selected School across 23 LGEAs</t>
  </si>
  <si>
    <t>12 weeks</t>
  </si>
  <si>
    <t>Pupils gain a strong foundational understanding of climate knowledge, attitudes and practices among basic school learners</t>
  </si>
  <si>
    <t>Supervision and Monitoring (Maintenance and fueling of supervision and monitoring vehicles, Monitoring and evaluation reports, UBEC/SUBEB joint monitoring inclusive for 10 visits)</t>
  </si>
  <si>
    <t>Procurement waste bins 3 per school for 40 schools</t>
  </si>
  <si>
    <t>Allowance for Technical staff Safeguarding greening interventions within gestation period (for at least six months)</t>
  </si>
  <si>
    <t>Organize inter-school debates, quizzes &amp; exhibitions on greening issues and climate change</t>
  </si>
  <si>
    <t>N/A</t>
  </si>
  <si>
    <t>Quality and Cost Based</t>
  </si>
  <si>
    <t>2 Weeks</t>
  </si>
  <si>
    <t>Raised awareness and healthy competition on green issues</t>
  </si>
  <si>
    <t>Award top 3 LGAs and 9 schools that have achieved green school environment and effectively practicing climate change mitigation</t>
  </si>
  <si>
    <t>Publicize events statewide</t>
  </si>
  <si>
    <t>Visibility of GSCCI program</t>
  </si>
  <si>
    <t>Beneficery pulpils develop waste management skills</t>
  </si>
  <si>
    <t>BENUE</t>
  </si>
  <si>
    <t>Train EMIS officers on EMIS data entry and reporting and analysis</t>
  </si>
  <si>
    <t>To Improve the Accuracy and Timeliness of Education Data Collection</t>
  </si>
  <si>
    <t>A strengthened, decentralized education data management system that produces timely, accurate, and reliable school-level data for informed decision-making, improved planning, and effective service delivery</t>
  </si>
  <si>
    <t>To collect comprehensive, accurate, and up-to-date data on all aspects of basic education across the 23 Local Government Education Authorities (LGEAs), in order to inform evidence-based planning, budgeting, policy formulation, and education service delivery in line with UBEC and national EMIS standards.</t>
  </si>
  <si>
    <t>A comprehensive, accurate, and up-to-date education data system that enables evidence-based planning, equitable resource allocation, and effective monitoring of school performance across all public and non-public basic education institutions in Sample State.</t>
  </si>
  <si>
    <t>To provide PRS officers  with functional digital tools for enhanced fieldwork.</t>
  </si>
  <si>
    <t>33 Noall-in-one computers acquired</t>
  </si>
  <si>
    <t>Development of Basic Education Strategic Plan</t>
  </si>
  <si>
    <t>To develope State Medium-Term Basic Education Strategic Plan (SMTBESP)</t>
  </si>
  <si>
    <t>A Strategic plan will be developed</t>
  </si>
  <si>
    <t>To ensure quality and maintenance of standard. To ensure maximum value for money</t>
  </si>
  <si>
    <t>Primary School Learners and Teachers</t>
  </si>
  <si>
    <t>100% COMPLETED</t>
  </si>
  <si>
    <t>To Ensure Proper Monitoring/Supervision of Contracts</t>
  </si>
  <si>
    <t>Effective Physical Facility delivery</t>
  </si>
  <si>
    <t>Consultancy for Quantity Surveying</t>
  </si>
  <si>
    <t xml:space="preserve">To ensure construction costs and contracts valuation </t>
  </si>
  <si>
    <t>UBEC/SUBEB/WS/007/2025</t>
  </si>
  <si>
    <t>UBEC/SUBEB/WS/008/2025</t>
  </si>
  <si>
    <t>UBEC/SUBEB/NC/009/2025</t>
  </si>
  <si>
    <t>UBEC/SUBEB/NC/0010/2025</t>
  </si>
  <si>
    <t>UBEC/SUBEB/NC/011/2025</t>
  </si>
  <si>
    <t>UBEC/SUBEB/NC/012/2025</t>
  </si>
  <si>
    <t>UBEC/SUBEB/NC/013/2025</t>
  </si>
  <si>
    <t>UBEC/SUBEB/NC/014/2025</t>
  </si>
  <si>
    <t>UBEC/SUBEB/NC/015/2025</t>
  </si>
  <si>
    <t>UBEC/SUBEB/NC/016/2025</t>
  </si>
  <si>
    <t>UBEC/SUBEB/RN/001/2025</t>
  </si>
  <si>
    <t>UBEC/SUBEB/RN/002/2025</t>
  </si>
  <si>
    <t>UBEC/SUBEB/RN/003/2025</t>
  </si>
  <si>
    <t>UBEC/SUBEB/RN/004/2025</t>
  </si>
  <si>
    <t>UBEC/SUBEB/RN/005/2025</t>
  </si>
  <si>
    <t>UBEC/SUBEB/RN/006/2025</t>
  </si>
  <si>
    <t>UBEC/SUBEB/RN/007/2025</t>
  </si>
  <si>
    <t>UBEC/SUBEB/RN/008/2025</t>
  </si>
  <si>
    <t>UBEC/SUBEB/RN/009/2025</t>
  </si>
  <si>
    <t>UBEC/SUBEB/FRN/1279-1358/2025</t>
  </si>
  <si>
    <t>UBEC/SUBEB/FRN/1359/2025</t>
  </si>
  <si>
    <t>UBEC/SUBEB/FRN/1360/2025</t>
  </si>
  <si>
    <t>UBEC/SUBEB/FRN/1361/2025</t>
  </si>
  <si>
    <t>UBEC/SUBEB/FRN/1362/2025</t>
  </si>
  <si>
    <t>UBEC/SUBEB/FRN/1363/2025</t>
  </si>
  <si>
    <t>UBEC/SUBEB/FRN/1364/2025</t>
  </si>
  <si>
    <t>UBEC/SUBEB/FRN/1365/2025</t>
  </si>
  <si>
    <t>UBEC/SUBEB/FRN/1366/2025</t>
  </si>
  <si>
    <t>UBEC/SUBEB/FRN/1367/2025</t>
  </si>
  <si>
    <t>UBEC/SUBEB/FRN/1368/2025</t>
  </si>
  <si>
    <t>UBEC/SUBEB/FRN/1369/2025</t>
  </si>
  <si>
    <t>UBEC/SUBEB/FRN/1370/2025</t>
  </si>
  <si>
    <t>UBEC/SUBEB/FRN/1371/2025</t>
  </si>
  <si>
    <t>UBEC/SUBEB/FRN/1372-1413/2025</t>
  </si>
  <si>
    <t>UBEC/SUBEB/FRN/1414-1455/2025</t>
  </si>
  <si>
    <t>UBEC/SUBEB/FRN/1456-1595/2025</t>
  </si>
  <si>
    <t>UBEC/SUBEB/FRN/1596-1795/2025</t>
  </si>
  <si>
    <t>UBEC/SUBEB/FRN/1796-1915/2025</t>
  </si>
  <si>
    <t>UBEC/SUBEB/FRN/1916-1995/2025</t>
  </si>
  <si>
    <t>UBEC/SUBEB/FRN/1996-2055/2025</t>
  </si>
  <si>
    <t>UBEC/SUBEB/FRN/2056-2175/2025</t>
  </si>
  <si>
    <t>UBEC/SUBEB/FRN/2176-2235/2025</t>
  </si>
  <si>
    <t>UBEC/SUBEB/FRN/2236-2295/2025</t>
  </si>
  <si>
    <t>UBEC/SUBEB/FRN/2296-2595/2025</t>
  </si>
  <si>
    <t>UBEC/SUBEB/FRN/2596-2655/2025</t>
  </si>
  <si>
    <t>UBEC/SUBEB/FRN/2656-2855/2025</t>
  </si>
  <si>
    <t>UBEC/SUBEB/FRN/2856-3115/2025</t>
  </si>
  <si>
    <t>UBEC/SUBEB/FRN/0253-0336/2025</t>
  </si>
  <si>
    <t>UBEC/SUBEB/FRN/0001-0084/2025</t>
  </si>
  <si>
    <t>UBEC/SUBEB/FRN/0085-0168/2025</t>
  </si>
  <si>
    <t>UBEC/SUBEB/FRN/0169-0252/2025</t>
  </si>
  <si>
    <t>UBEC/SUBEB/FRN/0336-0420/2025</t>
  </si>
  <si>
    <t>UBEC/SUBEB/FRN/0421-0504/2025</t>
  </si>
  <si>
    <t>UBEC/SUBEB/FRN/0505-0588/2025</t>
  </si>
  <si>
    <t>UBEC/SUBEB/FRN/0589-0672/2025</t>
  </si>
  <si>
    <t>UBEC/SUBEB/FRN/0673-0756/2025</t>
  </si>
  <si>
    <t>UBEC/SUBEB/FRN/0757-0840/2025</t>
  </si>
  <si>
    <t>UBEC/SUBEB/FRN/0841-0924/2025</t>
  </si>
  <si>
    <t>UBEC/SUBEB/FRN/0925-1008/2025</t>
  </si>
  <si>
    <t>UBEC/SUBEB/FRN/1009-1278/2025</t>
  </si>
  <si>
    <t>UBEC/SUBEB/WS/009/2025</t>
  </si>
  <si>
    <t>UBEC/SUBEB/WS/010/2025</t>
  </si>
  <si>
    <t>100% coverage of all registered schools (e.g., ECCDE, Primary, and JSS) in the state</t>
  </si>
  <si>
    <t>NKST PRIMARY SCHOOL Gaadi</t>
  </si>
  <si>
    <t>NKST Primary School Genyi</t>
  </si>
  <si>
    <t>Holy Family UBE JSS Kanshio</t>
  </si>
  <si>
    <t>LGEA Primary School, Wurukum</t>
  </si>
  <si>
    <t>NKST Primary School Wadata</t>
  </si>
  <si>
    <t>LGEA Central Pilot Primary School Makurdi</t>
  </si>
  <si>
    <t>St Mary's Primary School North Bank</t>
  </si>
  <si>
    <t>RCM Primary School, Ugye Mbagbera</t>
  </si>
  <si>
    <t>LGEA Primary School Adochi Utonkon</t>
  </si>
  <si>
    <t>LGEA Central Primary School Katsina Ala</t>
  </si>
  <si>
    <t>UBEC/SUBEB/FRN/3116-3122/2025</t>
  </si>
  <si>
    <t>UBEC/SUBEB/FRN/3123-3132/2025</t>
  </si>
  <si>
    <t>UBEC/SUBEB/FRN/3133-3138/2025</t>
  </si>
  <si>
    <t>UBEC/SUBEB/FRN/3139-3142/2025</t>
  </si>
  <si>
    <t>UBEC/SUBEB/FRN/3143-3145/2025</t>
  </si>
  <si>
    <t>UBEC/SUBEB/FRN/3146-3151/2025</t>
  </si>
  <si>
    <t>UBEC/SUBEB/FRN/3152-3154/2025</t>
  </si>
  <si>
    <t>UBEC/SUBEB/FRN/3155-3157/2025</t>
  </si>
  <si>
    <t>UBEC/SUBEB/FRN/3158-3172/2025</t>
  </si>
  <si>
    <t>UBEC/SUBEB/FRN/3173-3180/2025</t>
  </si>
  <si>
    <t>UBEC/SUBEB/FRN/3181-3190/2025</t>
  </si>
  <si>
    <t>UBEC/SUBEB/FRN/3191-3203/2025</t>
  </si>
  <si>
    <t>UBEC/SUBEB/FRN/3204-3211/2025</t>
  </si>
  <si>
    <t>UBEC/SUBEB/FRN/3212-3221/2025</t>
  </si>
  <si>
    <t>UBEC/SUBEB/FRN/3222-3231/2025</t>
  </si>
  <si>
    <t>UBEC/SUBEB/FRN/3223-3237/2025</t>
  </si>
  <si>
    <t>UBEC/SUBEB/FRN/3238-3244/2025</t>
  </si>
  <si>
    <t>UBEC/SUBEB/FRN/3254-3259/2025</t>
  </si>
  <si>
    <t>UBEC/SUBEB/FRN/3245-3253/2025</t>
  </si>
  <si>
    <t>UBEC/SUBEB/FRN/3260-3267/2025</t>
  </si>
  <si>
    <t>UBEC/SUBEB/FRN/3267-3270/2025</t>
  </si>
  <si>
    <t>UBEC/SUBEB/FRN/3271-3276/2025</t>
  </si>
  <si>
    <t>UBEC/SUBEB/FRN/3277-3279/2025</t>
  </si>
  <si>
    <t>UBEC/SUBEB/FRN/3280-3283/2025</t>
  </si>
  <si>
    <t>UBEC/SUBEB/FRN/3284-3286/2025</t>
  </si>
  <si>
    <t>Provide solar energy for driving effective digital literacy</t>
  </si>
  <si>
    <r>
      <t xml:space="preserve">Total Water supply and sanitation cost
</t>
    </r>
    <r>
      <rPr>
        <i/>
        <sz val="11"/>
        <rFont val="Segoe UI"/>
        <family val="2"/>
      </rPr>
      <t>(No input required)</t>
    </r>
  </si>
  <si>
    <r>
      <rPr>
        <b/>
        <sz val="11"/>
        <rFont val="Segoe UI"/>
        <family val="2"/>
      </rPr>
      <t>Water Supply &amp; Sanitation:</t>
    </r>
    <r>
      <rPr>
        <sz val="11"/>
        <rFont val="Segoe UI"/>
        <family val="2"/>
      </rPr>
      <t xml:space="preserve"> </t>
    </r>
    <r>
      <rPr>
        <i/>
        <sz val="11"/>
        <rFont val="Segoe UI"/>
        <family val="2"/>
      </rPr>
      <t>this includes construction of water supply systems such as boreholes, taps, etc and waste disposal systems such as incinerators, etc</t>
    </r>
  </si>
  <si>
    <r>
      <t xml:space="preserve">Location
</t>
    </r>
    <r>
      <rPr>
        <i/>
        <sz val="11"/>
        <rFont val="Segoe UI"/>
        <family val="2"/>
      </rPr>
      <t>Rural/Urban</t>
    </r>
  </si>
  <si>
    <r>
      <t xml:space="preserve">Justification
</t>
    </r>
    <r>
      <rPr>
        <i/>
        <sz val="11"/>
        <rFont val="Segoe UI"/>
        <family val="2"/>
      </rPr>
      <t>(Rationale)</t>
    </r>
  </si>
  <si>
    <r>
      <t xml:space="preserve">Implementation strategy
</t>
    </r>
    <r>
      <rPr>
        <i/>
        <sz val="11"/>
        <rFont val="Segoe UI"/>
        <family val="2"/>
      </rPr>
      <t>(Select from the drop-down list)</t>
    </r>
  </si>
  <si>
    <r>
      <t xml:space="preserve">Total cost
</t>
    </r>
    <r>
      <rPr>
        <i/>
        <sz val="11"/>
        <rFont val="Segoe UI"/>
        <family val="2"/>
      </rPr>
      <t>(No input required)</t>
    </r>
  </si>
  <si>
    <t>LGEA SCIENCE PRI. SCH., TOR-DONGA</t>
  </si>
  <si>
    <t>LGEA PRI. SCH., ABAJI</t>
  </si>
  <si>
    <t>RCM PRI. SCH., TSE TWAR</t>
  </si>
  <si>
    <t>LGEA PRI SCH ANYIATSE</t>
  </si>
  <si>
    <t>NKST PRI SCH HARGA</t>
  </si>
  <si>
    <t>LGEA PRI SCH, GBIHI</t>
  </si>
  <si>
    <t>LGEA PRI SCH, TONGO</t>
  </si>
  <si>
    <t>LGEA PRI SCH, AWAJIR MAIN</t>
  </si>
  <si>
    <t>ST JOSEPH PRI SCH, KORINYA</t>
  </si>
  <si>
    <t>LGEA PRI SCH, NORGBA</t>
  </si>
  <si>
    <t>ST. ANN’S PRI. SCH. ADIKPO</t>
  </si>
  <si>
    <t>NKST PILOT PRI. SCH. JATO-AKA</t>
  </si>
  <si>
    <t>NKST PRI. SCH. ADIKPO</t>
  </si>
  <si>
    <t>RCM PRI. SCH. JATO-AKA</t>
  </si>
  <si>
    <t xml:space="preserve">NKST PRI SCHOOOL IYON </t>
  </si>
  <si>
    <t>NKST PRI SCH, ADYAGH</t>
  </si>
  <si>
    <t>RCM PRI SCH, TIZA</t>
  </si>
  <si>
    <t>RCM PRI SCH, SHAKUME</t>
  </si>
  <si>
    <t>RCM PILOT SC. PRI SCH, TSENGE</t>
  </si>
  <si>
    <t>RCM UBE/JSS ZAKI-BIAM</t>
  </si>
  <si>
    <t>LGEA UBE/JSS SANKERA</t>
  </si>
  <si>
    <t>LGEA UBE/JSS TINENUNE</t>
  </si>
  <si>
    <t>NKST PRI SCH PEVIKYAA</t>
  </si>
  <si>
    <t>NKST UBE/JSS KYADO</t>
  </si>
  <si>
    <t>LGEA PRI SCH IWAMBE</t>
  </si>
  <si>
    <t>LGEA PRI SCH, GE-MBAGWA</t>
  </si>
  <si>
    <t>LGEA PRI SCH, USHONGO</t>
  </si>
  <si>
    <t>LGEA PRI SCH, MBAIVENDE</t>
  </si>
  <si>
    <t>RCM PRI SCH ANGWE MBAIKYE</t>
  </si>
  <si>
    <t>RCM PRI SCH, WAJIR</t>
  </si>
  <si>
    <t>LGEA PRI SCH, MBAIKYO</t>
  </si>
  <si>
    <t>RCM PRI SCH, UGYE MBAGBERA</t>
  </si>
  <si>
    <t>LGEA PRI SCH, TSE AKO</t>
  </si>
  <si>
    <t>LGEA PRI SCH, ABAKI</t>
  </si>
  <si>
    <t>LGEA PRI SCH, ADI-AKAKWASE</t>
  </si>
  <si>
    <t>LGEA PRI SCH, LAGH NINGEV</t>
  </si>
  <si>
    <t>LGEA PRI SCH, MBAKUNDE</t>
  </si>
  <si>
    <t>RCM PRI SCH, KPAREV TSAMBE</t>
  </si>
  <si>
    <t>RCM PRI SCH IHUGH</t>
  </si>
  <si>
    <t>LGEA PRI SCH, MOOR</t>
  </si>
  <si>
    <t>LGEA CENTRAL PRI SCH, VANDEIKYA (AM)</t>
  </si>
  <si>
    <t>NKST PRI SCH NAA MBAGBERA</t>
  </si>
  <si>
    <t>RCM PRI SCH BAKO MBANGUR</t>
  </si>
  <si>
    <t>ST. PETER'S PRI SCH BURUKU</t>
  </si>
  <si>
    <t>RCM PRI SCH ABWA</t>
  </si>
  <si>
    <t>NKST PRI. SCH. SEV-AV</t>
  </si>
  <si>
    <t xml:space="preserve">NKST PRIM. IORDYE </t>
  </si>
  <si>
    <t>LGEA PRI SCH JINGIR</t>
  </si>
  <si>
    <t xml:space="preserve">UBE JSS AKPAGHER </t>
  </si>
  <si>
    <t>LGEA PRI SCH GBOKO CENTRAL</t>
  </si>
  <si>
    <t>ST. JAMES  MBADEDA YANDEV</t>
  </si>
  <si>
    <t>NKST PRI SCH GENYI YANDEV</t>
  </si>
  <si>
    <t>LGEA PRI SCH ABINSI/UBE JSS</t>
  </si>
  <si>
    <t>LGEA PRI SCH GBAJIMBA/UBE JSS</t>
  </si>
  <si>
    <t>LGEA PRI SCH UIKPAM/UBE JSS</t>
  </si>
  <si>
    <t>RCM PRI SCH DAUDU/UBE JSS</t>
  </si>
  <si>
    <t>LGEA PRI SCH, ANINGE MBADWEM</t>
  </si>
  <si>
    <t xml:space="preserve">LGEA PRI SCH, IKPAYONGO </t>
  </si>
  <si>
    <t>NKST PRI SCH, ALIADE</t>
  </si>
  <si>
    <t xml:space="preserve">RCM PRI SCH, TARAKU </t>
  </si>
  <si>
    <t>RCM PRI SCH, AONDOAKAA</t>
  </si>
  <si>
    <t>NKST PRI SCH NAKA</t>
  </si>
  <si>
    <t>UBE JSS NAKA</t>
  </si>
  <si>
    <t>RCM PRI SCH, AGAGBE</t>
  </si>
  <si>
    <t xml:space="preserve">RCM PRI SCH, IGBOR </t>
  </si>
  <si>
    <t>LGEA PRI SCH, ACHUSA</t>
  </si>
  <si>
    <t>LGEA PRI SCH, TIONSHA</t>
  </si>
  <si>
    <t>LGEA PRI SCH DEMEKPE</t>
  </si>
  <si>
    <t>ARABIC NURSERY AND PRI SCH</t>
  </si>
  <si>
    <t>NKST PRI SCH WADATA</t>
  </si>
  <si>
    <t>ST MARY'S PRI SCH, NORTH-BANK</t>
  </si>
  <si>
    <t>LGEA PRI SCH, WURUKUM</t>
  </si>
  <si>
    <t>NKST PRI SCH, YAIKYO</t>
  </si>
  <si>
    <t>UBE JSS GAADI, MAKURDI</t>
  </si>
  <si>
    <t>NKST PRI SCH ASUKUNYA</t>
  </si>
  <si>
    <t>LGEA PRI SCH BASHIBO</t>
  </si>
  <si>
    <t>LGEA PRI SCH COL. NENGER</t>
  </si>
  <si>
    <t>NKST PRI SCH WANNUNE</t>
  </si>
  <si>
    <t>LGEA PRIM SCHL UCHI</t>
  </si>
  <si>
    <t>LGEA PRI SCH IGUMALE 2</t>
  </si>
  <si>
    <t>LGEA PRI SCH APA I</t>
  </si>
  <si>
    <t>LGEA PRI SCH RIJO CENTRE</t>
  </si>
  <si>
    <t>LGEA PRI SCH, OKPOZI ULAYI</t>
  </si>
  <si>
    <t>LGEA PRI SCH, ADOCHI UTONKON</t>
  </si>
  <si>
    <t>MPS OGBAULU</t>
  </si>
  <si>
    <t>RCM OSHIGBUDU</t>
  </si>
  <si>
    <t>MPS USHA</t>
  </si>
  <si>
    <t>RCM OWETO</t>
  </si>
  <si>
    <t>MPS ATAKPA</t>
  </si>
  <si>
    <t>LGEA PRI SCH, UGBOKPO</t>
  </si>
  <si>
    <t>MPS IGA - OKPAYA</t>
  </si>
  <si>
    <t>MPS IKOBI II</t>
  </si>
  <si>
    <t>MPS OJANTELLE</t>
  </si>
  <si>
    <t>MPS OIJI</t>
  </si>
  <si>
    <t>LGEA PILOT PRI SCH  OKPOKWU  ITO</t>
  </si>
  <si>
    <t>TOWNSHIP SCIENCE PRI SCH OBARIKE ITO</t>
  </si>
  <si>
    <t>LGEA PILOT PRI ADUM EAST ITO</t>
  </si>
  <si>
    <t xml:space="preserve">LGEA PRI SCHOOOL OBU II        </t>
  </si>
  <si>
    <t>RCM PRI SCH OWUKPA</t>
  </si>
  <si>
    <t>LGEA PRI SCHOOOL EPAEGBO</t>
  </si>
  <si>
    <t>LGEA PRI SCHOOOL OBU I</t>
  </si>
  <si>
    <t xml:space="preserve">LGEA P/S ABAKPA </t>
  </si>
  <si>
    <t>ST LAWRENCE PRI  IDEKPA</t>
  </si>
  <si>
    <t>RCM PRI SCH ODELLE</t>
  </si>
  <si>
    <t>LGEA P/S EHATOKPE</t>
  </si>
  <si>
    <t xml:space="preserve">LGEA PRI SCH , OHO OBORU </t>
  </si>
  <si>
    <t>LGEA PRI SCH, NDIWANKWO</t>
  </si>
  <si>
    <t>LGEA PRI SCH, OHUHU-OWO</t>
  </si>
  <si>
    <t>LGEA PRI SCH, AGIDEGBE AINU</t>
  </si>
  <si>
    <t>LGEA PRI SCH, OBOHU-OJU</t>
  </si>
  <si>
    <t xml:space="preserve">LGEA PRI SCH, EFFOYO </t>
  </si>
  <si>
    <t xml:space="preserve">LGEA PRI SCH, ODESSASSA </t>
  </si>
  <si>
    <t xml:space="preserve">LGEA PRI SCH, OPIALU </t>
  </si>
  <si>
    <t xml:space="preserve">LGEA PRI SCH, IKOMUJA </t>
  </si>
  <si>
    <t xml:space="preserve">LGEA PRI SCH, UGWU OKPOGA </t>
  </si>
  <si>
    <t>ISLAMIYA PRI SCH OTUKPO</t>
  </si>
  <si>
    <t>METHODIST PRI SCH OTOBI AKPA</t>
  </si>
  <si>
    <t>ST. FRANCIS PRI SCH OTUKPO</t>
  </si>
  <si>
    <t>WESLEY CENTRAL PRI SCH ADOKA</t>
  </si>
  <si>
    <t>ST. MARY'S PRI SCH OGOBIA UGBOJU</t>
  </si>
  <si>
    <t>LGEA PRI SCH/UBE JSS UGBA</t>
  </si>
  <si>
    <t>LGEA PRI SCH TSEKUCHA MBAYION</t>
  </si>
  <si>
    <t>LGEA EPS NAKA</t>
  </si>
  <si>
    <t>LGEA ADEKE</t>
  </si>
  <si>
    <t>LGEA PILOT PRI SCH ITOGO CENTRE</t>
  </si>
  <si>
    <t>LGEA PRI  SCH OHUMA ITO</t>
  </si>
  <si>
    <t>LGEA PRI SCHOOOL COURT</t>
  </si>
  <si>
    <t>RCM PRI SCH, ABAKPA ONYAGEDE</t>
  </si>
  <si>
    <t>NKST PRI SCH TOR</t>
  </si>
  <si>
    <t>LGEA PRI SCH TSUA MBAGBERA</t>
  </si>
  <si>
    <t>LGEA PRI SCH, Atsor</t>
  </si>
  <si>
    <t>KATSINA-ALA</t>
  </si>
  <si>
    <t>TARKAA</t>
  </si>
  <si>
    <t>7.23588372</t>
  </si>
  <si>
    <t>9.64753877</t>
  </si>
  <si>
    <t>7.18455990</t>
  </si>
  <si>
    <t>9.48063930</t>
  </si>
  <si>
    <t>7.42797345</t>
  </si>
  <si>
    <t>9.52579663</t>
  </si>
  <si>
    <t>7.33177587</t>
  </si>
  <si>
    <t>9.42550178</t>
  </si>
  <si>
    <t>7.21718017</t>
  </si>
  <si>
    <t>9.56883802</t>
  </si>
  <si>
    <t>6.942656</t>
  </si>
  <si>
    <t>8.811792</t>
  </si>
  <si>
    <t>6.919593</t>
  </si>
  <si>
    <t>8.924737</t>
  </si>
  <si>
    <t>6.911189</t>
  </si>
  <si>
    <t>8.798416</t>
  </si>
  <si>
    <t>7.488016</t>
  </si>
  <si>
    <t>9.398164</t>
  </si>
  <si>
    <t>7.564204</t>
  </si>
  <si>
    <t>9.269783</t>
  </si>
  <si>
    <t>7.54596</t>
  </si>
  <si>
    <t>9.351321</t>
  </si>
  <si>
    <t>7.501221</t>
  </si>
  <si>
    <t>9.336465</t>
  </si>
  <si>
    <t>7.503592</t>
  </si>
  <si>
    <t>9.356484</t>
  </si>
  <si>
    <t>7.19462558</t>
  </si>
  <si>
    <t>8.14241108</t>
  </si>
  <si>
    <t>7.19031795</t>
  </si>
  <si>
    <t>8.14071598</t>
  </si>
  <si>
    <t>7.34675740</t>
  </si>
  <si>
    <t>8.04338526</t>
  </si>
  <si>
    <t>7.16614403</t>
  </si>
  <si>
    <t>8.07431180</t>
  </si>
  <si>
    <t>7.45440149</t>
  </si>
  <si>
    <t>7.98026886</t>
  </si>
  <si>
    <t>6.790070</t>
  </si>
  <si>
    <t>9.063010</t>
  </si>
  <si>
    <t>6.818293</t>
  </si>
  <si>
    <t>9.051107</t>
  </si>
  <si>
    <t>6.681026</t>
  </si>
  <si>
    <t>9.070021</t>
  </si>
  <si>
    <t>3 Months</t>
  </si>
  <si>
    <t>7.651973</t>
  </si>
  <si>
    <t>9.730496</t>
  </si>
  <si>
    <t>7.530210</t>
  </si>
  <si>
    <t>9.647985</t>
  </si>
  <si>
    <t>7.565447</t>
  </si>
  <si>
    <t>9.683157</t>
  </si>
  <si>
    <t>7.15280</t>
  </si>
  <si>
    <t>9.748258</t>
  </si>
  <si>
    <t>UPVC 5"</t>
  </si>
  <si>
    <t>MODERATE-HIGH YIELD</t>
  </si>
  <si>
    <t>AIR ROTARY</t>
  </si>
  <si>
    <t>6.749362</t>
  </si>
  <si>
    <t>9.12551</t>
  </si>
  <si>
    <t>6.956837</t>
  </si>
  <si>
    <t>9.051465</t>
  </si>
  <si>
    <t>6.779003</t>
  </si>
  <si>
    <t>9.076133</t>
  </si>
  <si>
    <t>6.964934</t>
  </si>
  <si>
    <t>9.119409</t>
  </si>
  <si>
    <t>6.786371</t>
  </si>
  <si>
    <t>9.071103</t>
  </si>
  <si>
    <t>7.132213</t>
  </si>
  <si>
    <t>7.660267</t>
  </si>
  <si>
    <t>6.941854</t>
  </si>
  <si>
    <t>7.682281</t>
  </si>
  <si>
    <t>7.131007</t>
  </si>
  <si>
    <t>7.680772</t>
  </si>
  <si>
    <t>7.145782</t>
  </si>
  <si>
    <t>7.667348</t>
  </si>
  <si>
    <t>7.078372</t>
  </si>
  <si>
    <t>7.640987</t>
  </si>
  <si>
    <t>7.558415</t>
  </si>
  <si>
    <t>8.960486</t>
  </si>
  <si>
    <t>NKST PRI SCH, INGYOLOKO</t>
  </si>
  <si>
    <t>7.487328</t>
  </si>
  <si>
    <t>9.235485</t>
  </si>
  <si>
    <t>7.439528</t>
  </si>
  <si>
    <t>9.302386</t>
  </si>
  <si>
    <t>7.121800</t>
  </si>
  <si>
    <t>9.125400</t>
  </si>
  <si>
    <t>7.15231</t>
  </si>
  <si>
    <t>7.81039</t>
  </si>
  <si>
    <t>7.1529316</t>
  </si>
  <si>
    <t>7.787920</t>
  </si>
  <si>
    <t>7.037535</t>
  </si>
  <si>
    <t>7.8135583</t>
  </si>
  <si>
    <t>6.9058033</t>
  </si>
  <si>
    <t>7.78776333</t>
  </si>
  <si>
    <t>7.395237</t>
  </si>
  <si>
    <t>8.222731</t>
  </si>
  <si>
    <t>9,700 received the teacher traing</t>
  </si>
  <si>
    <t>To equip teachers adequate pedagogical skills</t>
  </si>
  <si>
    <t>Teacher Training to improve curriculum implementation at the three senatorial zones in the State</t>
  </si>
  <si>
    <t>6.887546</t>
  </si>
  <si>
    <t>9.235778</t>
  </si>
  <si>
    <t>7.549066</t>
  </si>
  <si>
    <t>8.602841</t>
  </si>
  <si>
    <t>7.291249</t>
  </si>
  <si>
    <t>8.48579</t>
  </si>
  <si>
    <t>7.255736</t>
  </si>
  <si>
    <t>8.255996</t>
  </si>
  <si>
    <t>7.453184</t>
  </si>
  <si>
    <t>8.605589</t>
  </si>
  <si>
    <t>Scholarship disbursement will be implemented</t>
  </si>
  <si>
    <t>To curb the effect of erosion and create conducive school environment</t>
  </si>
  <si>
    <t>Improve external works at UBEC Smart School Adaka, Makurdi</t>
  </si>
  <si>
    <t>31/04/2026</t>
  </si>
  <si>
    <t>2 Laptops will be acquired</t>
  </si>
  <si>
    <t>THE NUMBER OF PERIMETER FENCE IS IN METERS SO ITS DIFFICULT TO ESTIMATE</t>
  </si>
  <si>
    <t>CONSTRUCTION OF UBE STANDARD BLOCK OF 3-CLASSROOMS, OFFICE, STORE AND 6NO. VENTILATED IMPROVED PIT TOILETS</t>
  </si>
  <si>
    <t>3NO. BLOCKS OF TWIN COMPARTMENT VENTILATED IMPROVED PIT (VIP) TOILETS</t>
  </si>
  <si>
    <t xml:space="preserve">2No. Blocks with Office and Store each; (4-Classrooms and 3-Classrooms; A and B) </t>
  </si>
  <si>
    <t>Provide e-learning tools to the e-libraries for driving effective digital literacy</t>
  </si>
  <si>
    <t>Provide Uninterupted Power Supply  to e-literacy</t>
  </si>
  <si>
    <t>FABRICATION OF 2-SEATER DUAL-DESK OF 50MM ROUND STEEL PIPE AND HDF-WOOD</t>
  </si>
  <si>
    <t>FABRICATION AND DISTRIBUTION OF A SET TEACHERS TABLE AND CHAIR OF 50MM ROUND STEEL PIPE AND HDF-WOOD</t>
  </si>
  <si>
    <t>PROVIDING TEACHER CLASSROOM FURNITURE FOR EFFECTIVE TEACHING</t>
  </si>
  <si>
    <t>DRILLING OF MOTORIZED BOREHOLES WITH  OVERHEAD STEEL STANCTION, 4000L PVC TANK  AND INSTALLATION OF SOLAR RACK/PUMPS</t>
  </si>
  <si>
    <t xml:space="preserve">Provide safe and Clean portable water for sanitation and hyigene </t>
  </si>
  <si>
    <t>Procrurement of English and Mathematics textbooks and work books (2-core textbooks and 2-workbooks to a pupil.</t>
  </si>
  <si>
    <t>Procrurement of English and Mathematics textbooks and work books (2-core textbooks and 2-workbooks to a pupil).</t>
  </si>
  <si>
    <t>Procrurement of a Set of English and Mathematics textbooks and work books (2-core textbooks and 2-workbooks to a pupil).</t>
  </si>
  <si>
    <t>Providing sufficient TLMs to Basic Schools (Ratio 1:1 for the selected schools)</t>
  </si>
  <si>
    <t>Procurement of Pickup Hilux Van 2025 model</t>
  </si>
  <si>
    <t>Allowance/Acommadation/Feeding for Project Monitoring Team 5-Persons @125,000.00= N625,000.00/days</t>
  </si>
  <si>
    <t>Fueling of monitoring vehicles</t>
  </si>
  <si>
    <t>Project Supervision and Monitoring, Maintenance of supervision and monitoring vehicles, Monitoring and evaluation reports (UBEC/SUBEB joint monitoring inclusive</t>
  </si>
  <si>
    <t>Production of Contract Documents</t>
  </si>
  <si>
    <t>Conduct of Annual School Census across the State</t>
  </si>
  <si>
    <t>Corner Flags (set of 4 flexible flags)</t>
  </si>
  <si>
    <t>Shin-guard</t>
  </si>
  <si>
    <t>2.A. Sport competition type: Sport Competition</t>
  </si>
  <si>
    <t>Register and camping of state-team to represent Benue at the National UBE BESS Competition</t>
  </si>
  <si>
    <t>Print Media (Track suits, T-shirts and Banners)</t>
  </si>
  <si>
    <t>Verification of Distribution and Utilization of Sport Equipment</t>
  </si>
  <si>
    <t>Assessment of Sport facilities and equipment in selected school</t>
  </si>
  <si>
    <t xml:space="preserve">Supervision of All organised BESS Competitions from LGA to State level </t>
  </si>
  <si>
    <t>Instrument for Data Collection and Report Writing</t>
  </si>
  <si>
    <t>23No. Standard Football fields constructed</t>
  </si>
  <si>
    <t>All learners are exposed to intramoral and extramoral sporting competitions</t>
  </si>
  <si>
    <t>TV shoows, Gingles, banners</t>
  </si>
  <si>
    <t>Report of activities</t>
  </si>
  <si>
    <t>To provide Sporting facilities and equipment</t>
  </si>
  <si>
    <t>23No. School will have standard Football fields constructed</t>
  </si>
  <si>
    <t>Providing platforms for learners to be exposed to competitions</t>
  </si>
  <si>
    <t>To create awareness of All Basic Education Sports</t>
  </si>
  <si>
    <t>To supervise the effective implementation of sports programmes</t>
  </si>
  <si>
    <t>All level competitions will be achieved</t>
  </si>
  <si>
    <t>State-wide awareness will be created</t>
  </si>
  <si>
    <t>To monitor the procure and distribution of revised Basic education curriculum</t>
  </si>
  <si>
    <t xml:space="preserve">4NO. Blocks with Office and Store each; (3-Classrooms, 3-Classrooms, 2-Classrooms and 2-Classrooms; A, B, C and D) </t>
  </si>
  <si>
    <t xml:space="preserve">2NO. Blocks; (3-Classrooms with Office and Store and 6No. VIP Toilets; B and C) </t>
  </si>
  <si>
    <t xml:space="preserve">2NO. Blocks; (3-Classrooms with Office and Store, and 3-Classrooms; B and C) </t>
  </si>
  <si>
    <t>3No. Blocks; (4-Classrooms, 2-Classrooms and 3-Classrooms with Office and Store; B, C and D)</t>
  </si>
  <si>
    <t>5No. Blocks; (3-Classrooms with Office and Store, 3-Classrooms, 3-Classrooms, 3-Classrooms and 3-Classrooms; A, B, C, D, E and Toilets)</t>
  </si>
  <si>
    <t>5No. Blocks; (3-Classrooms, 3-Classrooms with Office and Store, 3-Classrooms/Library, 2-Classrooms  with Office and Store and 3-Classrooms; A, B, C, D, E and Toilets)</t>
  </si>
  <si>
    <t>2No. Blocks; (2-Classrooms with Office and Store, and 2-Classrooms with Office and Store; A, and B)</t>
  </si>
  <si>
    <t>UBEC/BNSUBEB/TLM/00001-00531/2025</t>
  </si>
  <si>
    <t>UBEC/BNSUBEB/TLM/00532-00602/2025</t>
  </si>
  <si>
    <t>UBEC/BNSUBEB/TLM/00603-00663/2025</t>
  </si>
  <si>
    <t>UBEC/BNSUBEB/TLM/00664-00732/2025</t>
  </si>
  <si>
    <t>UBEC/BNSUBEB/TLM/00733-00924/2025</t>
  </si>
  <si>
    <t>UBEC/BNSUBEB/TLM/00925-01032/2025</t>
  </si>
  <si>
    <t>UBEC/BNSUBEB/TLM/01033-01146/2025</t>
  </si>
  <si>
    <t>UBEC/BNSUBEB/TLM/01147-01283/2025</t>
  </si>
  <si>
    <t>UBEC/BNSUBEB/TLM/01284-01457/2025</t>
  </si>
  <si>
    <t>UBEC/BNSUBEB/TLM/01458-01600/2025</t>
  </si>
  <si>
    <t>UBEC/BNSUBEB/TLM/01601-01688/2025</t>
  </si>
  <si>
    <t>UBEC/BNSUBEB/TLM/01689-02033/2025</t>
  </si>
  <si>
    <t>UBEC/BNSUBEB/TLM/02034-02114/2025</t>
  </si>
  <si>
    <t>UBEC/BNSUBEB/TLM/02115-02569/2025</t>
  </si>
  <si>
    <t>UBEC/BNSUBEB/TLM/02570-02798/2025</t>
  </si>
  <si>
    <t>UBEC/BNSUBEB/TLM/02799-02887/2025</t>
  </si>
  <si>
    <t>UBEC/BNSUBEB/TLM/02888-2988/2025</t>
  </si>
  <si>
    <t>UBEC/BNSUBEB/TLM/02989-03087/2025</t>
  </si>
  <si>
    <t>UBEC/BNSUBEB/TLM/03088-03176/2025</t>
  </si>
  <si>
    <t>UBEC/BNSUBEB/TLM/03177-03377/2025</t>
  </si>
  <si>
    <t>UBEC/BNSUBEB/TLM/03378-3598/2025</t>
  </si>
  <si>
    <t>UBEC/BNSUBEB/TLM/03599-03814/2025</t>
  </si>
  <si>
    <t>UBEC/BNSUBEB/TLM/03815-4125/2025</t>
  </si>
  <si>
    <t>UBEC/BNSUBEB/TLM/04126-04261/2025</t>
  </si>
  <si>
    <t>UBEC/BNSUBEB/TLM/04262-04558/2025</t>
  </si>
  <si>
    <t>UBEC/BNSUBEB/TLM/04559-04895/2025</t>
  </si>
  <si>
    <t>UBEC/BNSUBEB/TLM/04896-05043/2025</t>
  </si>
  <si>
    <t>UBEC/BNSUBEB/TLM/05044-05126/2025</t>
  </si>
  <si>
    <t>UBEC/BNSUBEB/TLM/05127-05247/2025</t>
  </si>
  <si>
    <t>UBEC/BNSUBEB/TLM/05248-05434/2025</t>
  </si>
  <si>
    <t>UBEC/BNSUBEB/TLM/05435-05516/2025</t>
  </si>
  <si>
    <t>UBEC/BNSUBEB/TLM/05517-05613/2025</t>
  </si>
  <si>
    <t>UBEC/BNSUBEB/TLM/05614-06001/2025</t>
  </si>
  <si>
    <t>UBEC/BNSUBEB/TLM/06002-06074/2025</t>
  </si>
  <si>
    <t>UBEC/BNSUBEB/TLM/06075-06199/2025</t>
  </si>
  <si>
    <t>UBEC/BNSUBEB/TLM/06200-06254/2025</t>
  </si>
  <si>
    <t>UBEC/BNSUBEB/TLM/06255-06420/2025</t>
  </si>
  <si>
    <t>UBEC/BNSUBEB/TLM/06421-06584/2025</t>
  </si>
  <si>
    <t>UBEC/BNSUBEB/TLM/06585-06660/2025</t>
  </si>
  <si>
    <t>UBEC/BNSUBEB/TLM/06661-06711/2025</t>
  </si>
  <si>
    <t>UBEC/BNSUBEB/TLM/06712-06796/2025</t>
  </si>
  <si>
    <t>UBEC/BNSUBEB/TLM/06797-06826/2025</t>
  </si>
  <si>
    <t>UBEC/BNSUBEB/TLM/06827-06904/2025</t>
  </si>
  <si>
    <t>UBEC/BNSUBEB/TLM/06905-07096/2025</t>
  </si>
  <si>
    <t>UBEC/BNSUBEB/TLM/07097-07175/2025</t>
  </si>
  <si>
    <t>UBEC/BNSUBEB/TLM/07176-07316/2025</t>
  </si>
  <si>
    <t>UBEC/BNSUBEB/TLM/07317-07554/2025</t>
  </si>
  <si>
    <t>UBEC/BNSUBEB/TLM/07555-07660/2025</t>
  </si>
  <si>
    <t>UBEC/BNSUBEB/TLM/07661-07914/2025</t>
  </si>
  <si>
    <t>UBEC/BNSUBEB/TLM/07915-07991/2025</t>
  </si>
  <si>
    <t>UBEC/BNSUBEB/TLM/07992-08084/2025</t>
  </si>
  <si>
    <t>UBEC/BNSUBEB/TLM/08085-08442/2025</t>
  </si>
  <si>
    <t>UBEC/BNSUBEB/TLM/08443-08532/2025</t>
  </si>
  <si>
    <t>UBEC/BNSUBEB/TLM/08533-08658/2025</t>
  </si>
  <si>
    <t>UBEC/BNSUBEB/TLM/08659-09396/2025</t>
  </si>
  <si>
    <t>UBEC/BNSUBEB/TLM/09397-09621/2025</t>
  </si>
  <si>
    <t>UBEC/BNSUBEB/TLM/09622-09686/2025</t>
  </si>
  <si>
    <t>UBEC/BNSUBEB/TLM/09687-09788/2025</t>
  </si>
  <si>
    <t>UBEC/BNSUBEB/TLM/09789-09885/2025</t>
  </si>
  <si>
    <t>UBEC/BNSUBEB/TLM/09886-10047/2025</t>
  </si>
  <si>
    <t>UBEC/BNSUBEB/TLM/10048-10130/2025</t>
  </si>
  <si>
    <t>UBEC/BNSUBEB/TLM/10301-10302/2025</t>
  </si>
  <si>
    <t>UBEC/BNSUBEB/TLM/10303-10419/2025</t>
  </si>
  <si>
    <t>UBEC/BNSUBEB/TLM/10420-10887/2025</t>
  </si>
  <si>
    <t>UBEC/BNSUBEB/TLM/10888-11096/2025</t>
  </si>
  <si>
    <t>UBEC/BNSUBEB/TLM/11097-11175/2025</t>
  </si>
  <si>
    <t>UBEC/BNSUBEB/TLM/11176-11785/2025</t>
  </si>
  <si>
    <t>UBEC/BNSUBEB/TLM/11786-12223/2025</t>
  </si>
  <si>
    <t>UBEC/BNSUBEB/TLM/12224-12351/2025</t>
  </si>
  <si>
    <t>UBEC/BNSUBEB/TLM/12352-12800/2025</t>
  </si>
  <si>
    <t>UBEC/BNSUBEB/TLM/12801-13122/2025</t>
  </si>
  <si>
    <t>UBEC/BNSUBEB/TLM/13123-13292/2025</t>
  </si>
  <si>
    <t>UBEC/BNSUBEB/TLM/13293-13359/2025</t>
  </si>
  <si>
    <t>UBEC/BNSUBEB/TLM/13360-13546/2025</t>
  </si>
  <si>
    <t>UBEC/BNSUBEB/TLM/13547-13855/2025</t>
  </si>
  <si>
    <t>UBEC/BNSUBEB/TLM/13856-13881/2025</t>
  </si>
  <si>
    <t>UBEC/BNSUBEB/TLM/13882-14115/2025</t>
  </si>
  <si>
    <t>UBEC/BNSUBEB/TLM/14116-14268/2025</t>
  </si>
  <si>
    <t>UBEC/BNSUBEB/TLM/14269-14325/2025</t>
  </si>
  <si>
    <t>UBEC/BNSUBEB/TLM/14326-14521/2025</t>
  </si>
  <si>
    <t>UBEC/BNSUBEB/TLM/14522-14605/2025</t>
  </si>
  <si>
    <t>UBEC/BNSUBEB/TLM/14606-14791/2025</t>
  </si>
  <si>
    <t>UBEC/BNSUBEB/TLM/14792-15001/2025</t>
  </si>
  <si>
    <t>UBEC/BNSUBEB/TLM/15002-15232/2025</t>
  </si>
  <si>
    <t>UBEC/BNSUBEB/TLM/15233-15308/2025</t>
  </si>
  <si>
    <t>UBEC/BNSUBEB/TLM/15309-15431/2025</t>
  </si>
  <si>
    <t>UBEC/BNSUBEB/TLM/15431-15586/2025</t>
  </si>
  <si>
    <t>UBEC/BNSUBEB/TLM/15587-15711/2025</t>
  </si>
  <si>
    <t>UBEC/BNSUBEB/TLM/15712-15916/2025</t>
  </si>
  <si>
    <t>UBEC/BNSUBEB/TLM/15917-16029/2025</t>
  </si>
  <si>
    <t>UBEC/BNSUBEB/TLM/16030-16167/2025</t>
  </si>
  <si>
    <t>UBEC/BNSUBEB/TLM/16168-16288/2025</t>
  </si>
  <si>
    <t>UBEC/BNSUBEB/TLM/16289-16386/2025</t>
  </si>
  <si>
    <t>UBEC/BNSUBEB/TLM/16387-16514/2025</t>
  </si>
  <si>
    <t>UBEC/BNSUBEB/TLM/16515-16650/2025</t>
  </si>
  <si>
    <t>UBEC/BNSUBEB/TLM/16651-16735/2025</t>
  </si>
  <si>
    <t>UBEC/BNSUBEB/TLM/16736-16850/2025</t>
  </si>
  <si>
    <t>UBEC/BNSUBEB/TLM/16851-1700/2025</t>
  </si>
  <si>
    <t>UBEC/BNSUBEB/TLM/17001-17126/2025</t>
  </si>
  <si>
    <t>UBEC/BNSUBEB/TLM/17127-17271/2025</t>
  </si>
  <si>
    <t>UBEC/BNSUBEB/TLM/17272-17399/2025</t>
  </si>
  <si>
    <t>UBEC/BNSUBEB/TLM/17340-17451/2025</t>
  </si>
  <si>
    <t>UBEC/BNSUBEB/TLM/17452-17491/2025</t>
  </si>
  <si>
    <t>UBEC/BNSUBEB/TLM/17492-17644/2025</t>
  </si>
  <si>
    <t>UBEC/BNSUBEB/TLM/17645-17733/2025</t>
  </si>
  <si>
    <t>UBEC/BNSUBEB/TLM/17734-17790/2025</t>
  </si>
  <si>
    <t>UBEC/BNSUBEB/TLM/17791-17835/2025</t>
  </si>
  <si>
    <t>UBEC/BNSUBEB/TLM/17835-17934/2025</t>
  </si>
  <si>
    <t>UBEC/BNSUBEB/TLM/17935-18018/2025</t>
  </si>
  <si>
    <t>UBEC/BNSUBEB/TLM/18019-18085/2025</t>
  </si>
  <si>
    <t>UBEC/BNSUBEB/TLM/18086-18151/2025</t>
  </si>
  <si>
    <t>UBEC/BNSUBEB/TLM/18152-18166/2025</t>
  </si>
  <si>
    <t>UBEC/BNSUBEB/TLM/18167-18217/2025</t>
  </si>
  <si>
    <t>UBEC/BNSUBEB/TLM/18218-18250/2025</t>
  </si>
  <si>
    <t>UBEC/BNSUBEB/TLM/18251-18267/2025</t>
  </si>
  <si>
    <t>UBEC/BNSUBEB/TLM/18268-18289/2025</t>
  </si>
  <si>
    <t>UBEC/BNSUBEB/TLM/18290-18420/2025</t>
  </si>
  <si>
    <t>UBEC/BNSUBEB/TLM/18421-18529/2025</t>
  </si>
  <si>
    <t>UBEC/BNSUBEB/TLM/18530-18583/2025</t>
  </si>
  <si>
    <t>UBEC/BNSUBEB/TLM/18584-18649/2025</t>
  </si>
  <si>
    <t>UBEC/BNSUBEB/TLM/18650-18764/2025</t>
  </si>
  <si>
    <t>UBEC/BNSUBEB/TLM/18765-18934/2025</t>
  </si>
  <si>
    <t>UBEC/BNSUBEB/TLM/18935-18979/2025</t>
  </si>
  <si>
    <t>UBEC/BNSUBEB/TLM/18980-19038/2025</t>
  </si>
  <si>
    <t>UBEC/BNSUBEB/TLM/19039-19233/2025</t>
  </si>
  <si>
    <t>UBEC/BNSUBEB/TLM/19234-19403/2025</t>
  </si>
  <si>
    <t>UBEC/BNSUBEB/TLM/19404-19541/2025</t>
  </si>
  <si>
    <t>UBEC/BNSUBEB/TLM/19542-19682/2025</t>
  </si>
  <si>
    <t>UBEC/BNSUBEB/TLM/19683-19846/2025</t>
  </si>
  <si>
    <t>UBEC/BNSUBEB/TLM/19847-19912/2025</t>
  </si>
  <si>
    <t>UBEC/BNSUBEB/TLM/19913-20000/2025</t>
  </si>
  <si>
    <t>UBEC/BNSUBEB/TLM/20001-20016/2025</t>
  </si>
  <si>
    <t>UBEC/BNSUBEB/TLM/20017-20032/2025</t>
  </si>
  <si>
    <t>UBEC/BNSUBEB/TLM/20033-20048/2025</t>
  </si>
  <si>
    <t>UBEC/BNSUBEB/TLM/20049-20064/2025</t>
  </si>
  <si>
    <t>UBEC/BNSUBEB/TLM/20049-20080/2025</t>
  </si>
  <si>
    <t>UBEC/BNSUBEB/TLM/20081-20096/2025</t>
  </si>
  <si>
    <t>UBEC/BNSUBEB/TLM/20097-20112/2025</t>
  </si>
  <si>
    <t>UBEC/BNSUBEB/TLM/20113-20128/2025</t>
  </si>
  <si>
    <t>UBEC/BNSUBEB/TLM/20129-20144/2025</t>
  </si>
  <si>
    <t>UBEC/BNSUBEB/TLM/20145-20160/2025</t>
  </si>
  <si>
    <t>UBEC/BNSUBEB/TLM/20161-20176/2025</t>
  </si>
  <si>
    <t>UBEC/BNSUBEB/TLM/20177-20192/2025</t>
  </si>
  <si>
    <t>UBEC/BNSUBEB/TLM/20193-20208/2025</t>
  </si>
  <si>
    <t>UBEC/BNSUBEB/TLM/20208-20224/2025</t>
  </si>
  <si>
    <t>UBEC/BNSUBEB/TLM/20225-20240/2025</t>
  </si>
  <si>
    <t>UBEC/BNSUBEB/TLM/20241-20256/2025</t>
  </si>
  <si>
    <t>UBEC/BNSUBEB/TLM/20257-20272/2025</t>
  </si>
  <si>
    <t>UBEC/BNSUBEB/TLM/20273-20288/2025</t>
  </si>
  <si>
    <t>UBEC/BNSUBEB/TLM/20288-20304/2025</t>
  </si>
  <si>
    <t>UBEC/BNSUBEB/TLM/20305-20320/2025</t>
  </si>
  <si>
    <t>UBEC/BNSUBEB/TLM/20321-20336/2025</t>
  </si>
  <si>
    <t>UBEC/BNSUBEB/TLM/20337-20352/2025</t>
  </si>
  <si>
    <t>UBEC/BNSUBEB/TLM/20353-20368/2025</t>
  </si>
  <si>
    <t>UBEC/BNSUBEB/TLM/20369-20384/2025</t>
  </si>
  <si>
    <t>UBEC/BNSUBEB/TLM/20385-20400/2025</t>
  </si>
  <si>
    <t>UBEC/BNSUBEB/TLM/20401-20416/2025</t>
  </si>
  <si>
    <t>UBEC/BNSUBEB/TLM/20417-20432/2025</t>
  </si>
  <si>
    <t>UBEC/BNSUBEB/TLM/20433-20448/2025</t>
  </si>
  <si>
    <t>UBEC/BNSUBEB/TLM/20449-20464/2025</t>
  </si>
  <si>
    <t>UBEC/BNSUBEB/TLM/20465-20480/2025</t>
  </si>
  <si>
    <t>UBEC/BNSUBEB/TLM/20481-20496/2025</t>
  </si>
  <si>
    <t>UBEC/BNSUBEB/TLM/20497-20512/2025</t>
  </si>
  <si>
    <t>UBEC/BNSUBEB/TLM/20513-20528/2025</t>
  </si>
  <si>
    <t>UBEC/BNSUBEB/TLM/20529-20544/2025</t>
  </si>
  <si>
    <t>UBEC/BNSUBEB/TLM/20545-20560/2025</t>
  </si>
  <si>
    <t>UBEC/BNSUBEB/TLM/20561-20576/2025</t>
  </si>
  <si>
    <t>UBEC/BNSUBEB/TLM/20577-20592/2025</t>
  </si>
  <si>
    <t>UBEC/BNSUBEB/TLM/20593-20608/2025</t>
  </si>
  <si>
    <t>UBEC/BNSUBEB/TLM/20609-20624/2025</t>
  </si>
  <si>
    <t>UBEC/BNSUBEB/TLM/20625-20640/2025</t>
  </si>
  <si>
    <t>UBEC/BNSUBEB/TLM/20641-20656/2025</t>
  </si>
  <si>
    <t>UBEC/BNSUBEB/TLM/20657-20672/2025</t>
  </si>
  <si>
    <t>UBEC/BNSUBEB/TLM/20673-20688/2025</t>
  </si>
  <si>
    <t>UBEC/BNSUBEB/TLM/20689-20704/2025</t>
  </si>
  <si>
    <t>UBEC/BNSUBEB/TLM/20705-20720/2025</t>
  </si>
  <si>
    <t>UBEC/BNSUBEB/TLM/20721-20736/2025</t>
  </si>
  <si>
    <t>UBEC/BNSUBEB/TLM/20737-20752/2025</t>
  </si>
  <si>
    <t>UBEC/BNSUBEB/TLM/20753-20768/2025</t>
  </si>
  <si>
    <t>UBEC/BNSUBEB/TLM/20769-20784/2025</t>
  </si>
  <si>
    <t>UBEC/BNSUBEB/TLM/20785-20800/2025</t>
  </si>
  <si>
    <t>UBEC/BNSUBEB/TLM/20801-20816/2025</t>
  </si>
  <si>
    <t>UBEC/BNSUBEB/TLM/20817-20832/2025</t>
  </si>
  <si>
    <t>UBEC/BNSUBEB/TLM/20833-20848/2025</t>
  </si>
  <si>
    <t>UBEC/BNSUBEB/TLM/20849-20864/2025</t>
  </si>
  <si>
    <t>UBEC/BNSUBEB/TLM/20865-20880/2025</t>
  </si>
  <si>
    <t>UBEC/BNSUBEB/TLM/20881-20896/2025</t>
  </si>
  <si>
    <t>UBEC/BNSUBEB/TLM/20897-20912/2025</t>
  </si>
  <si>
    <t>UBEC/BNSUBEB/TLM/20913-20928/2025</t>
  </si>
  <si>
    <t>UBEC/BNSUBEB/TLM/20929-20944/2025</t>
  </si>
  <si>
    <t>UBEC/BNSUBEB/TLM/20945-20960/2025</t>
  </si>
  <si>
    <t>3,352No of projects supervised and monitored</t>
  </si>
  <si>
    <t>Chess game (4 per school)</t>
  </si>
  <si>
    <t>UBEC/SUBEB/SP/024-115/2025</t>
  </si>
  <si>
    <t xml:space="preserve">Construction of  mini-football fields (grass) with Installation of galvanize iron pipe goal post with improved 400m running tracks in selected schools </t>
  </si>
  <si>
    <t>Football  Jerseys (Set of 15 pairs)</t>
  </si>
  <si>
    <t>Football (6-balls per school)</t>
  </si>
  <si>
    <t>Athletic relay baton (set of 6)</t>
  </si>
  <si>
    <t xml:space="preserve">Football (6-balls),  Jerseys (Set of 15), Football Boot (Set of 11),  Net(Set of 2), Football  Hose (Set of 11), Goalkeeper Handglove (Set of 2), Corner Flags (set of 4), Chess board (Set of 4), Shin-guard (Set of 11), Stopwatch (Set of 1), Athletic Relay Baton (Set of 6) </t>
  </si>
  <si>
    <t xml:space="preserve">HP Color laser jet M5225N Printer </t>
  </si>
  <si>
    <t>HP Pavilion Core i7 1TB SSD, 16GB Ram Laptop Computer</t>
  </si>
  <si>
    <t xml:space="preserve">Procurement of all-in-one Hp 4GB DDR4 RAM, 512GB SSD Windows 11 Desktop Computers with Keyboard and Mouse </t>
  </si>
  <si>
    <t>80,000No. TLMs will be delivered</t>
  </si>
  <si>
    <t xml:space="preserve">Procurement of HP laserjet M610, M611, M612 Printer </t>
  </si>
  <si>
    <t>Capacity Building and Training SBMC members on roles, responsibilities, school development planning, financial management, and monitoring in 3 Senatorial Zones ( SBMC Chairman, LGEA Desk Officers, Head Teachers and SUBEB SBMC Desk 250 per zone) 3 days, feeding, materials, Resource persons,transportation and venue</t>
  </si>
  <si>
    <t>6 Classrooms, 2 Offices, 2 Stores and 12 Toilets will be delivered</t>
  </si>
  <si>
    <t>100% Project completion</t>
  </si>
  <si>
    <t>10 motorized boreholes with  overhead steel stanction, 4000l pvc tank  and installation of solar rack/pumps will be delivered</t>
  </si>
  <si>
    <t>Reha/Renovation of Classrooms, Offices, Stores, Libraries and Toilets (Whole School Approach).</t>
  </si>
  <si>
    <t xml:space="preserve">Procurement of Bajaj motorcycle for QA officers </t>
  </si>
  <si>
    <t>Capacity building for QAOs and Headteachers/Principals on Quality Assurance Practices and Procedures  for effective school monitoring</t>
  </si>
  <si>
    <t>36 Toilets will be delivered</t>
  </si>
  <si>
    <t>79 Classrooms, 3 Playrooms, 1 Library, 13 Offices, 13 Stores and 24 Toilets will be delivered</t>
  </si>
  <si>
    <t>3,286No. equipment; computers in digital libraries, furniture; fabricated 2-seater dual-desk of steel/wood will be delivered</t>
  </si>
  <si>
    <t>5,171M perimeter fences, 8 Gatehouses, external works, 8 Toilets, Purpose made steel Metal grille and galvanised razoor fence Concertina wire will be delivered</t>
  </si>
  <si>
    <t>20 palm trees planted</t>
  </si>
  <si>
    <t>1 Greening curriculum guide will be delivered</t>
  </si>
  <si>
    <t>2-Teachers trained in eco-education and Improved classroom climate content delivery</t>
  </si>
  <si>
    <t xml:space="preserve">Maintenance of all monitoring vehicles </t>
  </si>
  <si>
    <t xml:space="preserve"> Fieldwork; School Resumption, Exams, Follow-up, CQA 115</t>
  </si>
  <si>
    <t>To caary out efficient quality assurance monitoring</t>
  </si>
  <si>
    <t>100% completion of monitoring visits</t>
  </si>
  <si>
    <t>361 visits Completed</t>
  </si>
  <si>
    <t>30 QAOs allowance will be acheived</t>
  </si>
  <si>
    <t>150 DQOs and Headteachers/Principals will be trained on Quality Assurance Practices and Procedures</t>
  </si>
  <si>
    <t xml:space="preserve">To aid operational cost for effective service delivery in schools.  </t>
  </si>
  <si>
    <t>750 SBMC members and school administrators trained on increased collaboration in communities.</t>
  </si>
  <si>
    <t>Enrolment and retention drive in the 3 senatorial district</t>
  </si>
  <si>
    <t>6+15+11+2+11+2+4+4+11+1+6=73</t>
  </si>
  <si>
    <t>115 movements will be achieved</t>
  </si>
  <si>
    <t>To effectively monitor the funds disbursed</t>
  </si>
  <si>
    <t xml:space="preserve">To aid operational cost for effective service delivery in LGAs.  </t>
  </si>
  <si>
    <t>23 LGAs will receive monthly grant</t>
  </si>
  <si>
    <t>3,000No of schools funded</t>
  </si>
  <si>
    <t>100% effective monitoring of the 3,000no of schools will be achieved</t>
  </si>
  <si>
    <t>3,000number of supervision will be covered</t>
  </si>
  <si>
    <t>External works and erosion control done at UBEC Smart School, Adaka</t>
  </si>
  <si>
    <t xml:space="preserve">Annual School Grant (Monthly Disbursement to LGAs N500,000 per LGA for 23LGAs) </t>
  </si>
  <si>
    <t>Annual School Grant (Monthly Disbursement to Schools N70,000 per school for 3,000 schools)</t>
  </si>
  <si>
    <t>Procurement of  10KVA Inverter, 17KW Lithium Battery Solar power backup equipment for e-library</t>
  </si>
  <si>
    <t>Set of Table and 2-Chairs of 50mm Round Steel Pipe and HDF-Wood for E-Library (Two-In-One)</t>
  </si>
  <si>
    <t xml:space="preserve">Supervision/Enforcement of funds distribution and utilization </t>
  </si>
  <si>
    <t>State  Government funds</t>
  </si>
  <si>
    <t>The 5 visits to each LGA covers monitoring of renovation projects at 1-commencement, 2-roof level, 3-finishes, 4-handover and 5-other SBMC activities.</t>
  </si>
  <si>
    <t>External works at UBEC Smart School Adaka, Makurdi</t>
  </si>
  <si>
    <t>The renovation works will enable pupils and teachers to access the ECCDE section of the school that became unaccessable due poor maintenance</t>
  </si>
  <si>
    <t>The price covers taxes and delivery services</t>
  </si>
  <si>
    <t>The price covers taxes, delivery services and installation</t>
  </si>
  <si>
    <t xml:space="preserve">The price covers taxes and delivery services </t>
  </si>
  <si>
    <t>Procurement of 840No 20,000MAh power banks for Tablets in schools</t>
  </si>
  <si>
    <t>Procurement of 840No 5,000mAh, 256, 4GB Ram Tablets for schools</t>
  </si>
  <si>
    <t>Procrurement and Distribution of English and Mathematics Teachers guide.</t>
  </si>
  <si>
    <t>UBEC/BNSUBEB/TLM/20961-20975/2025</t>
  </si>
  <si>
    <t>UBEC/BNSUBEB/TLM/20976-20989/2025</t>
  </si>
  <si>
    <t>UBEC/BNSUBEB/TLM/20990-21003/2025</t>
  </si>
  <si>
    <t>UBEC/BNSUBEB/TLM/21004-21017/2025</t>
  </si>
  <si>
    <t>UBEC/BNSUBEB/TLM/21018-21031/2025</t>
  </si>
  <si>
    <t>UBEC/BNSUBEB/TLM/21032-21045/2025</t>
  </si>
  <si>
    <t>UBEC/BNSUBEB/TLM/21046-21059/2025</t>
  </si>
  <si>
    <t>UBEC/BNSUBEB/TLM/21060-21073/2025</t>
  </si>
  <si>
    <t>UBEC/BNSUBEB/TLM/21074-21087/2025</t>
  </si>
  <si>
    <t>UBEC/BNSUBEB/TLM/21088-21101/2025</t>
  </si>
  <si>
    <t>UBEC/BNSUBEB/TLM/21101-21115/2025</t>
  </si>
  <si>
    <t>UBEC/BNSUBEB/TLM/21116-21129/2025</t>
  </si>
  <si>
    <t>UBEC/BNSUBEB/TLM/21130-21143/2025</t>
  </si>
  <si>
    <t>UBEC/BNSUBEB/TLM/21144-21157/2025</t>
  </si>
  <si>
    <t>UBEC/BNSUBEB/TLM/21158-21171/2025</t>
  </si>
  <si>
    <t>UBEC/BNSUBEB/TLM/21172-21185/2025</t>
  </si>
  <si>
    <t>UBEC/BNSUBEB/TLM/21186-21199/2025</t>
  </si>
  <si>
    <t>UBEC/BNSUBEB/TLM/21200-21213/2025</t>
  </si>
  <si>
    <t>UBEC/BNSUBEB/TLM/21214-21227/2025</t>
  </si>
  <si>
    <t>UBEC/SUBEB/TLM/21228-21241/2025</t>
  </si>
  <si>
    <t>UBEC/BNSUBEB/TLM/21242-21255/2025</t>
  </si>
  <si>
    <t>UBEC/BNSUBEB/TLM/21256-21269/2025</t>
  </si>
  <si>
    <t>UBEC/BNSUBEB/TLM/21270-21283/2025</t>
  </si>
  <si>
    <t>UBEC/BNSUBEB/TLM/21284-21297/2025</t>
  </si>
  <si>
    <t>UBEC/BNSUBEB/TLM/21298-21311/2025</t>
  </si>
  <si>
    <t>UBEC/BNSUBEB/TLM/21311-21325/2025</t>
  </si>
  <si>
    <t>UBEC/BNSUBEB/TLM/21326-21339/2025</t>
  </si>
  <si>
    <t>UBEC/BNSUBEB/TLM/21340-21353/2025</t>
  </si>
  <si>
    <t>UBEC/BNSUBEB/TLM/21354-21367/2025</t>
  </si>
  <si>
    <t>UBEC/BNSUBEB/TLM/21368-21381/2025</t>
  </si>
  <si>
    <t>UBEC/BNSUBEB/TLM/21382-21395/2025</t>
  </si>
  <si>
    <t>UBEC/BNSUBEB/TLM/21396-21409/2025</t>
  </si>
  <si>
    <t>UBEC/BNSUBEB/TLM/21410-21423/2025</t>
  </si>
  <si>
    <t>UBEC/BNSUBEB/TLM/21424-21437/2025</t>
  </si>
  <si>
    <t>UBEC/BNSUBEB/TLM/21438-21451/2025</t>
  </si>
  <si>
    <t>UBEC/BNSUBEB/TLM/21452-21465/2025</t>
  </si>
  <si>
    <t>UBEC/BNSUBEB/TLM/21466-21479/2025</t>
  </si>
  <si>
    <t>UBEC/BNSUBEB/TLM/21480-21493/2025</t>
  </si>
  <si>
    <t>UBEC/BNSUBEB/TLM/21494-21507/2025</t>
  </si>
  <si>
    <t>UBEC/BNSUBEB/TLM/21508-21521/2025</t>
  </si>
  <si>
    <t>UBEC/BNSUBEB/TLM/21522-21535/2025</t>
  </si>
  <si>
    <t>UBEC/BNSUBEB/TLM/21536-21549/2025</t>
  </si>
  <si>
    <t>UBEC/BNSUBEB/TLM/21550-21563/2025</t>
  </si>
  <si>
    <t>UBEC/BNSUBEB/TLM/21564-21577/2025</t>
  </si>
  <si>
    <t>UBEC/BNSUBEB/TLM/21578-21591/2025</t>
  </si>
  <si>
    <t>UBEC/BNSUBEB/TLM/21592-21605/2025</t>
  </si>
  <si>
    <t>UBEC/BNSUBEB/TLM/21606-21619/2025</t>
  </si>
  <si>
    <t>UBEC/BNSUBEB/TLM/21620-21633/2025</t>
  </si>
  <si>
    <t>UBEC/BNSUBEB/TLM/21634-21647/2025</t>
  </si>
  <si>
    <t>UBEC/BNSUBEB/TLM/21648-21661/2025</t>
  </si>
  <si>
    <t>UBEC/BNSUBEB/TLM/21662-21675/2025</t>
  </si>
  <si>
    <t>UBEC/BNSUBEB/TLM/21676-21689/2025</t>
  </si>
  <si>
    <t>UBEC/BNSUBEB/TLM/21690-21703/2025</t>
  </si>
  <si>
    <t>UBEC/BNSUBEB/TLM/21704-21717/2025</t>
  </si>
  <si>
    <t>UBEC/BNSUBEB/TLM/21718-21731/2025</t>
  </si>
  <si>
    <t>UBEC/BNSUBEB/TLM/21732-21745/2025</t>
  </si>
  <si>
    <t>UBEC/BNSUBEB/TLM/21746-21759/2025</t>
  </si>
  <si>
    <t>UBEC/BNSUBEB/TLM/21760-21773/2025</t>
  </si>
  <si>
    <t>UBEC/BNSUBEB/TLM/21774-21787/2025</t>
  </si>
  <si>
    <t>UBEC/BNSUBEB/TLM/21788-21801/2025</t>
  </si>
  <si>
    <t>UBEC/BNSUBEB/TLM/21802-21815/2025</t>
  </si>
  <si>
    <t>UBEC/BNSUBEB/TLM/21816-21829/2025</t>
  </si>
  <si>
    <t>UBEC/BNSUBEB/TLM/21830-21843/2025</t>
  </si>
  <si>
    <t>UBEC/BNSUBEB/TLM/21844-21857/2025</t>
  </si>
  <si>
    <t>UBEC/BNSUBEB/TLM/21858-21871/2025</t>
  </si>
  <si>
    <t>UBEC/BNSUBEB/TLM/21872-21885/2025</t>
  </si>
  <si>
    <t>UBEC/BNSUBEB/TLM/21886-21899/2025</t>
  </si>
  <si>
    <t>UBEC/BNSUBEB/TLM/21900-21913/2025</t>
  </si>
  <si>
    <t>UBEC/BNSUBEB/TLM/21914-21927/2025</t>
  </si>
  <si>
    <t>UBEC/BNSUBEB/TLM/21928-21941/2025</t>
  </si>
  <si>
    <t>UBEC/BNSUBEB/TLM/21942-21955/2025</t>
  </si>
  <si>
    <t xml:space="preserve">5No. Blocks; (1-Classroom, 4-Classrooms with Office, 3-Classrooms, 3-Classrooms/Library with Office and 2-Classrooms with Office and Store; A, B, C, D, and  E)and </t>
  </si>
  <si>
    <t>Stopwatch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</si>
</sst>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quot;#,##0.00;[Red]\-&quot;₦&quot;#,##0.00"/>
    <numFmt numFmtId="43" formatCode="_-* #,##0.00_-;\-* #,##0.00_-;_-* &quot;-&quot;??_-;_-@_-"/>
    <numFmt numFmtId="164" formatCode="_(* #,##0.00_);_(* \(#,##0.00\);_(* &quot;-&quot;??_);_(@_)"/>
    <numFmt numFmtId="165" formatCode="&quot;₦&quot;#,##0.00"/>
    <numFmt numFmtId="166" formatCode="_-* #,##0.00_-;\-* #,##0.00_-;_-* \-??_-;_-@_-"/>
    <numFmt numFmtId="167" formatCode="[$-F800]dddd\,\ mmmm\ dd\,\ yyyy"/>
    <numFmt numFmtId="168" formatCode="_(* #,##0_);_(* \(#,##0\);_(* &quot;-&quot;??_);_(@_)"/>
  </numFmts>
  <fonts count="126" x14ac:knownFonts="1">
    <font>
      <sz val="11"/>
      <color theme="1"/>
      <name val="Calibri"/>
      <family val="2"/>
      <scheme val="minor"/>
    </font>
    <font>
      <sz val="11"/>
      <color theme="1"/>
      <name val="Segoe UI"/>
      <family val="2"/>
    </font>
    <font>
      <b/>
      <sz val="18"/>
      <color theme="1"/>
      <name val="Segoe UI"/>
      <family val="2"/>
    </font>
    <font>
      <b/>
      <sz val="36"/>
      <color theme="5" tint="-0.499984740745262"/>
      <name val="Segoe UI"/>
      <family val="2"/>
    </font>
    <font>
      <b/>
      <sz val="11"/>
      <color theme="5" tint="-0.499984740745262"/>
      <name val="Segoe UI"/>
      <family val="2"/>
    </font>
    <font>
      <sz val="8"/>
      <name val="Calibri"/>
      <family val="2"/>
      <scheme val="minor"/>
    </font>
    <font>
      <b/>
      <sz val="11"/>
      <color theme="5" tint="0.79998168889431442"/>
      <name val="Segoe UI"/>
      <family val="2"/>
    </font>
    <font>
      <u/>
      <sz val="11"/>
      <color theme="10"/>
      <name val="Calibri"/>
      <family val="2"/>
      <scheme val="minor"/>
    </font>
    <font>
      <b/>
      <sz val="16"/>
      <color theme="0"/>
      <name val="Segoe UI"/>
      <family val="2"/>
    </font>
    <font>
      <b/>
      <sz val="11"/>
      <color rgb="FF833C0C"/>
      <name val="Segoe UI"/>
      <family val="2"/>
    </font>
    <font>
      <sz val="11"/>
      <color theme="1"/>
      <name val="Calibri"/>
      <family val="2"/>
      <scheme val="minor"/>
    </font>
    <font>
      <sz val="10"/>
      <color theme="1"/>
      <name val="Segoe UI"/>
      <family val="2"/>
    </font>
    <font>
      <b/>
      <sz val="18"/>
      <color theme="5" tint="0.79998168889431442"/>
      <name val="Segoe UI"/>
      <family val="2"/>
    </font>
    <font>
      <sz val="10"/>
      <name val="Arial"/>
      <family val="2"/>
    </font>
    <font>
      <sz val="10"/>
      <name val="Segoe UI"/>
      <family val="2"/>
    </font>
    <font>
      <b/>
      <sz val="10"/>
      <color theme="5" tint="-0.499984740745262"/>
      <name val="Segoe UI"/>
      <family val="2"/>
    </font>
    <font>
      <b/>
      <sz val="11"/>
      <color theme="1"/>
      <name val="Segoe UI"/>
      <family val="2"/>
    </font>
    <font>
      <i/>
      <sz val="11"/>
      <color theme="0" tint="-0.499984740745262"/>
      <name val="Segoe UI"/>
      <family val="2"/>
    </font>
    <font>
      <b/>
      <sz val="10"/>
      <color theme="0"/>
      <name val="Segoe UI"/>
      <family val="2"/>
    </font>
    <font>
      <b/>
      <sz val="10"/>
      <color theme="1"/>
      <name val="Segoe UI"/>
      <family val="2"/>
    </font>
    <font>
      <i/>
      <sz val="11"/>
      <color theme="1"/>
      <name val="Segoe UI"/>
      <family val="2"/>
    </font>
    <font>
      <b/>
      <sz val="11"/>
      <color theme="0"/>
      <name val="Segoe UI"/>
      <family val="2"/>
    </font>
    <font>
      <i/>
      <sz val="11"/>
      <color theme="5" tint="-0.499984740745262"/>
      <name val="Segoe UI"/>
      <family val="2"/>
    </font>
    <font>
      <b/>
      <u/>
      <sz val="11"/>
      <color theme="1"/>
      <name val="Segoe UI"/>
      <family val="2"/>
    </font>
    <font>
      <sz val="12"/>
      <color theme="1"/>
      <name val="Segoe UI"/>
      <family val="2"/>
    </font>
    <font>
      <b/>
      <sz val="12"/>
      <color theme="0"/>
      <name val="Segoe UI"/>
      <family val="2"/>
    </font>
    <font>
      <b/>
      <i/>
      <sz val="11"/>
      <color theme="1"/>
      <name val="Segoe UI"/>
      <family val="2"/>
    </font>
    <font>
      <b/>
      <sz val="12"/>
      <color theme="1"/>
      <name val="Segoe UI"/>
      <family val="2"/>
    </font>
    <font>
      <sz val="11"/>
      <name val="Segoe UI"/>
      <family val="2"/>
    </font>
    <font>
      <sz val="11"/>
      <color rgb="FF833C0C"/>
      <name val="Segoe UI"/>
      <family val="2"/>
    </font>
    <font>
      <i/>
      <sz val="11"/>
      <color theme="2" tint="-0.249977111117893"/>
      <name val="Segoe UI"/>
      <family val="2"/>
    </font>
    <font>
      <b/>
      <i/>
      <sz val="11"/>
      <color theme="5" tint="-0.499984740745262"/>
      <name val="Segoe UI"/>
      <family val="2"/>
    </font>
    <font>
      <sz val="11"/>
      <color indexed="8"/>
      <name val="Calibri"/>
      <family val="2"/>
    </font>
    <font>
      <sz val="11"/>
      <color indexed="8"/>
      <name val="Calibri"/>
      <family val="2"/>
      <charset val="1"/>
    </font>
    <font>
      <b/>
      <sz val="11"/>
      <color indexed="63"/>
      <name val="Calibri"/>
      <family val="2"/>
    </font>
    <font>
      <sz val="12"/>
      <color rgb="FF000000"/>
      <name val="Calibri"/>
      <family val="2"/>
      <scheme val="minor"/>
    </font>
    <font>
      <sz val="12"/>
      <name val="Calibri"/>
      <family val="2"/>
      <scheme val="minor"/>
    </font>
    <font>
      <sz val="12"/>
      <color theme="1"/>
      <name val="Calibri"/>
      <family val="2"/>
      <scheme val="minor"/>
    </font>
    <font>
      <b/>
      <sz val="11"/>
      <color rgb="FFFF0000"/>
      <name val="Segoe UI"/>
      <family val="2"/>
    </font>
    <font>
      <i/>
      <sz val="11"/>
      <name val="Segoe UI"/>
      <family val="2"/>
    </font>
    <font>
      <i/>
      <sz val="12"/>
      <color theme="1"/>
      <name val="Calibri"/>
      <family val="2"/>
    </font>
    <font>
      <b/>
      <u/>
      <sz val="12"/>
      <color theme="1"/>
      <name val="Segoe UI"/>
      <family val="2"/>
    </font>
    <font>
      <b/>
      <sz val="12"/>
      <color theme="5" tint="-0.499984740745262"/>
      <name val="Segoe UI"/>
      <family val="2"/>
    </font>
    <font>
      <sz val="12"/>
      <name val="Segoe UI"/>
      <family val="2"/>
    </font>
    <font>
      <i/>
      <sz val="9"/>
      <color theme="4" tint="0.39997558519241921"/>
      <name val="Segoe UI"/>
      <family val="2"/>
    </font>
    <font>
      <sz val="12"/>
      <color rgb="FF000000"/>
      <name val="Segoe UI"/>
      <family val="2"/>
    </font>
    <font>
      <sz val="12"/>
      <color rgb="FF833C0C"/>
      <name val="Segoe UI"/>
      <family val="2"/>
    </font>
    <font>
      <sz val="11"/>
      <color theme="5" tint="-0.499984740745262"/>
      <name val="Segoe UI"/>
      <family val="2"/>
    </font>
    <font>
      <b/>
      <sz val="11"/>
      <color theme="1"/>
      <name val="Calibri"/>
      <family val="2"/>
      <scheme val="minor"/>
    </font>
    <font>
      <sz val="12"/>
      <color theme="5" tint="-0.499984740745262"/>
      <name val="Segoe UI"/>
      <family val="2"/>
    </font>
    <font>
      <i/>
      <sz val="12"/>
      <color theme="5" tint="-0.499984740745262"/>
      <name val="Segoe UI"/>
      <family val="2"/>
    </font>
    <font>
      <i/>
      <sz val="11"/>
      <color theme="1"/>
      <name val="Calibri"/>
      <family val="2"/>
      <scheme val="minor"/>
    </font>
    <font>
      <i/>
      <sz val="11"/>
      <color rgb="FF833C0C"/>
      <name val="Segoe UI"/>
      <family val="2"/>
    </font>
    <font>
      <b/>
      <sz val="20"/>
      <color theme="1"/>
      <name val="Segoe UI"/>
      <family val="2"/>
    </font>
    <font>
      <sz val="20"/>
      <color theme="1"/>
      <name val="Segoe UI"/>
      <family val="2"/>
    </font>
    <font>
      <b/>
      <i/>
      <sz val="20"/>
      <color theme="1"/>
      <name val="Segoe UI"/>
      <family val="2"/>
    </font>
    <font>
      <b/>
      <u/>
      <sz val="20"/>
      <color theme="5" tint="-0.499984740745262"/>
      <name val="Segoe UI"/>
      <family val="2"/>
    </font>
    <font>
      <b/>
      <sz val="25"/>
      <color theme="1"/>
      <name val="Segoe UI"/>
      <family val="2"/>
    </font>
    <font>
      <b/>
      <sz val="25"/>
      <name val="Segoe UI"/>
      <family val="2"/>
    </font>
    <font>
      <sz val="25"/>
      <color theme="1"/>
      <name val="Segoe UI"/>
      <family val="2"/>
    </font>
    <font>
      <b/>
      <sz val="23"/>
      <color theme="1"/>
      <name val="Segoe UI"/>
      <family val="2"/>
    </font>
    <font>
      <b/>
      <sz val="40"/>
      <color theme="5" tint="-0.499984740745262"/>
      <name val="Segoe UI"/>
      <family val="2"/>
    </font>
    <font>
      <i/>
      <sz val="20"/>
      <color theme="1"/>
      <name val="Segoe UI"/>
      <family val="2"/>
    </font>
    <font>
      <b/>
      <i/>
      <sz val="20"/>
      <color rgb="FFB88C00"/>
      <name val="Segoe UI"/>
      <family val="2"/>
    </font>
    <font>
      <b/>
      <i/>
      <sz val="20"/>
      <color rgb="FF833C0C"/>
      <name val="Segoe UI"/>
      <family val="2"/>
    </font>
    <font>
      <i/>
      <sz val="20"/>
      <color rgb="FFB88C00"/>
      <name val="Segoe UI"/>
      <family val="2"/>
    </font>
    <font>
      <b/>
      <sz val="20"/>
      <color theme="1" tint="0.499984740745262"/>
      <name val="Segoe UI"/>
      <family val="2"/>
    </font>
    <font>
      <i/>
      <sz val="20"/>
      <color theme="1" tint="0.499984740745262"/>
      <name val="Segoe UI"/>
      <family val="2"/>
    </font>
    <font>
      <b/>
      <sz val="18"/>
      <color theme="0"/>
      <name val="Segoe UI"/>
      <family val="2"/>
    </font>
    <font>
      <sz val="18"/>
      <color theme="1"/>
      <name val="Segoe UI"/>
      <family val="2"/>
    </font>
    <font>
      <sz val="18"/>
      <color rgb="FF833C0C"/>
      <name val="Segoe UI"/>
      <family val="2"/>
    </font>
    <font>
      <b/>
      <i/>
      <sz val="18"/>
      <color theme="1"/>
      <name val="Segoe UI"/>
      <family val="2"/>
    </font>
    <font>
      <b/>
      <i/>
      <sz val="18"/>
      <color rgb="FFFF0000"/>
      <name val="Segoe UI"/>
      <family val="2"/>
    </font>
    <font>
      <b/>
      <sz val="18"/>
      <color theme="9" tint="-0.249977111117893"/>
      <name val="Segoe UI"/>
      <family val="2"/>
    </font>
    <font>
      <b/>
      <sz val="23"/>
      <color theme="9" tint="-0.249977111117893"/>
      <name val="Segoe UI"/>
      <family val="2"/>
    </font>
    <font>
      <i/>
      <sz val="18"/>
      <color theme="0" tint="-0.34998626667073579"/>
      <name val="Segoe UI"/>
      <family val="2"/>
    </font>
    <font>
      <b/>
      <sz val="12"/>
      <color rgb="FF833C0C"/>
      <name val="Segoe UI"/>
      <family val="2"/>
    </font>
    <font>
      <b/>
      <i/>
      <sz val="13"/>
      <color theme="1"/>
      <name val="Segoe UI"/>
      <family val="2"/>
    </font>
    <font>
      <i/>
      <sz val="12"/>
      <color theme="2" tint="-0.249977111117893"/>
      <name val="Segoe UI"/>
      <family val="2"/>
    </font>
    <font>
      <sz val="11"/>
      <color rgb="FF000000"/>
      <name val="Segoe UI"/>
      <family val="2"/>
    </font>
    <font>
      <sz val="14"/>
      <color theme="1"/>
      <name val="Segoe UI"/>
      <family val="2"/>
    </font>
    <font>
      <b/>
      <i/>
      <sz val="23"/>
      <color theme="1"/>
      <name val="Segoe UI"/>
      <family val="2"/>
    </font>
    <font>
      <i/>
      <sz val="23"/>
      <color theme="1"/>
      <name val="Segoe UI"/>
      <family val="2"/>
    </font>
    <font>
      <i/>
      <sz val="12"/>
      <color theme="2" tint="-9.9978637043366805E-2"/>
      <name val="Segoe UI"/>
      <family val="2"/>
    </font>
    <font>
      <sz val="11"/>
      <color rgb="FF833C0C"/>
      <name val="Calibri"/>
      <family val="2"/>
      <scheme val="minor"/>
    </font>
    <font>
      <i/>
      <sz val="25"/>
      <color theme="1"/>
      <name val="Segoe UI"/>
      <family val="2"/>
    </font>
    <font>
      <sz val="14"/>
      <color theme="0"/>
      <name val="Segoe UI"/>
      <family val="2"/>
    </font>
    <font>
      <sz val="11"/>
      <color rgb="FF002000"/>
      <name val="Segoe UI"/>
      <family val="2"/>
    </font>
    <font>
      <i/>
      <sz val="18"/>
      <color rgb="FFB88C00"/>
      <name val="Segoe UI"/>
      <family val="2"/>
    </font>
    <font>
      <sz val="18"/>
      <name val="Segoe UI"/>
      <family val="2"/>
    </font>
    <font>
      <i/>
      <sz val="16"/>
      <color theme="0" tint="-0.34998626667073579"/>
      <name val="Segoe UI"/>
      <family val="2"/>
    </font>
    <font>
      <i/>
      <sz val="20"/>
      <color rgb="FF00B0F0"/>
      <name val="Segoe UI"/>
      <family val="2"/>
    </font>
    <font>
      <i/>
      <sz val="14"/>
      <color rgb="FF00B0F0"/>
      <name val="Segoe UI"/>
      <family val="2"/>
    </font>
    <font>
      <b/>
      <i/>
      <sz val="12"/>
      <color theme="9" tint="0.59999389629810485"/>
      <name val="Segoe UI"/>
      <family val="2"/>
    </font>
    <font>
      <b/>
      <sz val="12"/>
      <color theme="9" tint="0.59999389629810485"/>
      <name val="Segoe UI"/>
      <family val="2"/>
    </font>
    <font>
      <i/>
      <sz val="12"/>
      <color theme="1"/>
      <name val="Segoe UI"/>
      <family val="2"/>
    </font>
    <font>
      <i/>
      <sz val="12"/>
      <color rgb="FF833C0C"/>
      <name val="Segoe UI"/>
      <family val="2"/>
    </font>
    <font>
      <b/>
      <sz val="24"/>
      <color theme="0"/>
      <name val="Segoe UI"/>
      <family val="2"/>
    </font>
    <font>
      <sz val="13"/>
      <color rgb="FF833C0C"/>
      <name val="Segoe UI"/>
      <family val="2"/>
    </font>
    <font>
      <b/>
      <sz val="13"/>
      <color rgb="FF833C0C"/>
      <name val="Segoe UI"/>
      <family val="2"/>
    </font>
    <font>
      <b/>
      <sz val="13"/>
      <color theme="5" tint="-0.499984740745262"/>
      <name val="Segoe UI"/>
      <family val="2"/>
    </font>
    <font>
      <b/>
      <sz val="13"/>
      <color theme="0"/>
      <name val="Segoe UI"/>
      <family val="2"/>
    </font>
    <font>
      <u/>
      <sz val="13"/>
      <color theme="10"/>
      <name val="Calibri"/>
      <family val="2"/>
      <scheme val="minor"/>
    </font>
    <font>
      <sz val="12"/>
      <color theme="0"/>
      <name val="Segoe UI"/>
      <family val="2"/>
    </font>
    <font>
      <b/>
      <i/>
      <sz val="11"/>
      <color rgb="FFFF0000"/>
      <name val="Segoe UI"/>
      <family val="2"/>
    </font>
    <font>
      <b/>
      <sz val="11"/>
      <color rgb="FF833C0C"/>
      <name val="Calibri"/>
      <family val="2"/>
      <scheme val="minor"/>
    </font>
    <font>
      <sz val="12"/>
      <name val="Times New Roman"/>
      <family val="1"/>
    </font>
    <font>
      <sz val="14"/>
      <name val="Calibri"/>
      <family val="2"/>
    </font>
    <font>
      <sz val="11"/>
      <color theme="0"/>
      <name val="Segoe UI"/>
      <family val="2"/>
    </font>
    <font>
      <sz val="14"/>
      <name val="Times New Roman"/>
      <family val="1"/>
    </font>
    <font>
      <sz val="12"/>
      <name val="Calibri"/>
      <family val="2"/>
    </font>
    <font>
      <sz val="11"/>
      <name val="Calibri"/>
      <family val="2"/>
    </font>
    <font>
      <sz val="11"/>
      <color rgb="FFCC9B00"/>
      <name val="Segoe UI"/>
      <family val="2"/>
    </font>
    <font>
      <sz val="11"/>
      <color rgb="FFFFFF00"/>
      <name val="Segoe UI"/>
      <family val="2"/>
    </font>
    <font>
      <sz val="14"/>
      <color indexed="8"/>
      <name val="Calibri"/>
      <family val="2"/>
    </font>
    <font>
      <sz val="12"/>
      <color indexed="8"/>
      <name val="Segoe UI"/>
      <family val="2"/>
    </font>
    <font>
      <sz val="12"/>
      <color theme="1"/>
      <name val="Times New Roman"/>
      <family val="1"/>
    </font>
    <font>
      <sz val="11"/>
      <name val="Calibri"/>
      <family val="2"/>
      <scheme val="minor"/>
    </font>
    <font>
      <sz val="11"/>
      <color theme="0" tint="-0.499984740745262"/>
      <name val="Segoe UI"/>
      <family val="2"/>
    </font>
    <font>
      <b/>
      <sz val="12"/>
      <color rgb="FF000000"/>
      <name val="Segoe UI"/>
      <family val="2"/>
    </font>
    <font>
      <b/>
      <sz val="11"/>
      <name val="Segoe UI"/>
      <family val="2"/>
    </font>
    <font>
      <sz val="11"/>
      <name val="Times New Roman"/>
      <family val="1"/>
    </font>
    <font>
      <sz val="10"/>
      <color theme="1"/>
      <name val="Calibri"/>
      <family val="2"/>
      <scheme val="minor"/>
    </font>
    <font>
      <sz val="10"/>
      <name val="Calibri"/>
      <family val="2"/>
      <scheme val="minor"/>
    </font>
    <font>
      <sz val="10"/>
      <color rgb="FF000000"/>
      <name val="Calibri"/>
      <family val="2"/>
      <scheme val="minor"/>
    </font>
    <font>
      <sz val="12"/>
      <color indexed="8"/>
      <name val="Times New Roman"/>
      <family val="1"/>
    </font>
  </fonts>
  <fills count="30">
    <fill>
      <patternFill patternType="none"/>
    </fill>
    <fill>
      <patternFill patternType="gray125"/>
    </fill>
    <fill>
      <patternFill patternType="solid">
        <fgColor theme="5" tint="0.79998168889431442"/>
        <bgColor indexed="64"/>
      </patternFill>
    </fill>
    <fill>
      <patternFill patternType="solid">
        <fgColor theme="5" tint="-0.499984740745262"/>
        <bgColor indexed="64"/>
      </patternFill>
    </fill>
    <fill>
      <patternFill patternType="solid">
        <fgColor theme="6" tint="0.39997558519241921"/>
        <bgColor indexed="64"/>
      </patternFill>
    </fill>
    <fill>
      <patternFill patternType="solid">
        <fgColor theme="0" tint="-4.9989318521683403E-2"/>
        <bgColor indexed="64"/>
      </patternFill>
    </fill>
    <fill>
      <patternFill patternType="solid">
        <fgColor theme="9" tint="-0.499984740745262"/>
        <bgColor indexed="64"/>
      </patternFill>
    </fill>
    <fill>
      <patternFill patternType="solid">
        <fgColor theme="0" tint="-0.14999847407452621"/>
        <bgColor indexed="64"/>
      </patternFill>
    </fill>
    <fill>
      <patternFill patternType="solid">
        <fgColor rgb="FFE2ECDA"/>
        <bgColor indexed="64"/>
      </patternFill>
    </fill>
    <fill>
      <patternFill patternType="solid">
        <fgColor rgb="FFFCE4D6"/>
        <bgColor indexed="64"/>
      </patternFill>
    </fill>
    <fill>
      <patternFill patternType="solid">
        <fgColor rgb="FF833C0C"/>
        <bgColor indexed="64"/>
      </patternFill>
    </fill>
    <fill>
      <patternFill patternType="solid">
        <fgColor theme="7" tint="0.79998168889431442"/>
        <bgColor indexed="64"/>
      </patternFill>
    </fill>
    <fill>
      <patternFill patternType="solid">
        <fgColor theme="0" tint="-0.249977111117893"/>
        <bgColor indexed="64"/>
      </patternFill>
    </fill>
    <fill>
      <patternFill patternType="solid">
        <fgColor theme="0" tint="-0.499984740745262"/>
        <bgColor indexed="64"/>
      </patternFill>
    </fill>
    <fill>
      <patternFill patternType="solid">
        <fgColor rgb="FFC00000"/>
        <bgColor indexed="64"/>
      </patternFill>
    </fill>
    <fill>
      <patternFill patternType="solid">
        <fgColor theme="7" tint="-0.499984740745262"/>
        <bgColor indexed="64"/>
      </patternFill>
    </fill>
    <fill>
      <patternFill patternType="solid">
        <fgColor theme="4" tint="-0.499984740745262"/>
        <bgColor indexed="64"/>
      </patternFill>
    </fill>
    <fill>
      <patternFill patternType="solid">
        <fgColor rgb="FF7030A0"/>
        <bgColor indexed="64"/>
      </patternFill>
    </fill>
    <fill>
      <patternFill patternType="solid">
        <fgColor rgb="FF00B0F0"/>
        <bgColor indexed="64"/>
      </patternFill>
    </fill>
    <fill>
      <patternFill patternType="solid">
        <fgColor theme="0" tint="-0.34998626667073579"/>
        <bgColor indexed="64"/>
      </patternFill>
    </fill>
    <fill>
      <patternFill patternType="solid">
        <fgColor indexed="9"/>
        <bgColor indexed="26"/>
      </patternFill>
    </fill>
    <fill>
      <patternFill patternType="solid">
        <fgColor theme="0"/>
        <bgColor indexed="64"/>
      </patternFill>
    </fill>
    <fill>
      <patternFill patternType="solid">
        <fgColor theme="2" tint="-9.9978637043366805E-2"/>
        <bgColor indexed="64"/>
      </patternFill>
    </fill>
    <fill>
      <patternFill patternType="solid">
        <fgColor theme="7" tint="0.39997558519241921"/>
        <bgColor indexed="64"/>
      </patternFill>
    </fill>
    <fill>
      <patternFill patternType="solid">
        <fgColor theme="2" tint="-0.249977111117893"/>
        <bgColor indexed="64"/>
      </patternFill>
    </fill>
    <fill>
      <patternFill patternType="solid">
        <fgColor theme="5" tint="-0.249977111117893"/>
        <bgColor indexed="64"/>
      </patternFill>
    </fill>
    <fill>
      <patternFill patternType="solid">
        <fgColor rgb="FFECDEF6"/>
        <bgColor indexed="64"/>
      </patternFill>
    </fill>
    <fill>
      <patternFill patternType="solid">
        <fgColor rgb="FFEFF6FB"/>
        <bgColor indexed="64"/>
      </patternFill>
    </fill>
    <fill>
      <patternFill patternType="solid">
        <fgColor theme="8" tint="0.79998168889431442"/>
        <bgColor indexed="64"/>
      </patternFill>
    </fill>
    <fill>
      <patternFill patternType="solid">
        <fgColor theme="6"/>
        <bgColor indexed="64"/>
      </patternFill>
    </fill>
  </fills>
  <borders count="90">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dashDotDot">
        <color auto="1"/>
      </left>
      <right/>
      <top style="dashDotDot">
        <color auto="1"/>
      </top>
      <bottom/>
      <diagonal/>
    </border>
    <border>
      <left/>
      <right style="dashDotDot">
        <color auto="1"/>
      </right>
      <top style="dashDotDot">
        <color auto="1"/>
      </top>
      <bottom/>
      <diagonal/>
    </border>
    <border>
      <left style="thin">
        <color indexed="64"/>
      </left>
      <right style="thin">
        <color indexed="64"/>
      </right>
      <top/>
      <bottom/>
      <diagonal/>
    </border>
    <border>
      <left style="thin">
        <color indexed="64"/>
      </left>
      <right/>
      <top/>
      <bottom style="thin">
        <color indexed="64"/>
      </bottom>
      <diagonal/>
    </border>
    <border>
      <left style="thin">
        <color indexed="63"/>
      </left>
      <right style="thin">
        <color indexed="63"/>
      </right>
      <top style="thin">
        <color indexed="63"/>
      </top>
      <bottom style="thin">
        <color indexed="63"/>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rgb="FF833C0C"/>
      </left>
      <right style="thin">
        <color rgb="FF833C0C"/>
      </right>
      <top style="thin">
        <color rgb="FF833C0C"/>
      </top>
      <bottom style="thin">
        <color rgb="FF833C0C"/>
      </bottom>
      <diagonal/>
    </border>
    <border>
      <left/>
      <right style="thin">
        <color indexed="64"/>
      </right>
      <top/>
      <bottom/>
      <diagonal/>
    </border>
    <border>
      <left style="thin">
        <color rgb="FF833C0C"/>
      </left>
      <right/>
      <top style="thin">
        <color rgb="FF833C0C"/>
      </top>
      <bottom style="thin">
        <color rgb="FF833C0C"/>
      </bottom>
      <diagonal/>
    </border>
    <border>
      <left/>
      <right/>
      <top style="thin">
        <color rgb="FF833C0C"/>
      </top>
      <bottom style="thin">
        <color rgb="FF833C0C"/>
      </bottom>
      <diagonal/>
    </border>
    <border>
      <left style="thin">
        <color indexed="64"/>
      </left>
      <right style="thin">
        <color indexed="64"/>
      </right>
      <top style="thin">
        <color indexed="64"/>
      </top>
      <bottom style="medium">
        <color indexed="64"/>
      </bottom>
      <diagonal/>
    </border>
    <border>
      <left style="thin">
        <color rgb="FF833C0C"/>
      </left>
      <right style="thin">
        <color rgb="FF833C0C"/>
      </right>
      <top/>
      <bottom style="thin">
        <color rgb="FF833C0C"/>
      </bottom>
      <diagonal/>
    </border>
    <border>
      <left/>
      <right style="thin">
        <color rgb="FF833C0C"/>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theme="1"/>
      </left>
      <right/>
      <top style="thin">
        <color indexed="64"/>
      </top>
      <bottom style="thin">
        <color indexed="64"/>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right style="thin">
        <color theme="1"/>
      </right>
      <top style="thin">
        <color indexed="64"/>
      </top>
      <bottom style="thin">
        <color indexed="64"/>
      </bottom>
      <diagonal/>
    </border>
    <border>
      <left style="thin">
        <color indexed="64"/>
      </left>
      <right style="thin">
        <color indexed="64"/>
      </right>
      <top/>
      <bottom style="medium">
        <color indexed="64"/>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rgb="FF833C0C"/>
      </right>
      <top style="medium">
        <color indexed="64"/>
      </top>
      <bottom style="thin">
        <color rgb="FF833C0C"/>
      </bottom>
      <diagonal/>
    </border>
    <border>
      <left style="thin">
        <color rgb="FF833C0C"/>
      </left>
      <right style="thin">
        <color rgb="FF833C0C"/>
      </right>
      <top style="medium">
        <color indexed="64"/>
      </top>
      <bottom style="thin">
        <color rgb="FF833C0C"/>
      </bottom>
      <diagonal/>
    </border>
    <border>
      <left style="thin">
        <color rgb="FF833C0C"/>
      </left>
      <right style="medium">
        <color indexed="64"/>
      </right>
      <top style="medium">
        <color indexed="64"/>
      </top>
      <bottom style="thin">
        <color rgb="FF833C0C"/>
      </bottom>
      <diagonal/>
    </border>
    <border>
      <left style="medium">
        <color indexed="64"/>
      </left>
      <right style="thin">
        <color rgb="FF833C0C"/>
      </right>
      <top style="thin">
        <color rgb="FF833C0C"/>
      </top>
      <bottom style="thin">
        <color rgb="FF833C0C"/>
      </bottom>
      <diagonal/>
    </border>
    <border>
      <left style="thin">
        <color rgb="FF833C0C"/>
      </left>
      <right style="medium">
        <color indexed="64"/>
      </right>
      <top style="thin">
        <color rgb="FF833C0C"/>
      </top>
      <bottom style="thin">
        <color rgb="FF833C0C"/>
      </bottom>
      <diagonal/>
    </border>
    <border>
      <left/>
      <right style="medium">
        <color indexed="64"/>
      </right>
      <top style="thin">
        <color rgb="FF833C0C"/>
      </top>
      <bottom style="thin">
        <color rgb="FF833C0C"/>
      </bottom>
      <diagonal/>
    </border>
    <border>
      <left style="thin">
        <color indexed="64"/>
      </left>
      <right style="medium">
        <color indexed="64"/>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style="thin">
        <color rgb="FF833C0C"/>
      </left>
      <right style="medium">
        <color indexed="64"/>
      </right>
      <top/>
      <bottom style="thin">
        <color rgb="FF833C0C"/>
      </bottom>
      <diagonal/>
    </border>
    <border>
      <left style="medium">
        <color indexed="64"/>
      </left>
      <right/>
      <top style="thin">
        <color indexed="64"/>
      </top>
      <bottom style="medium">
        <color indexed="64"/>
      </bottom>
      <diagonal/>
    </border>
    <border>
      <left style="thin">
        <color rgb="FF833C0C"/>
      </left>
      <right style="thin">
        <color rgb="FF833C0C"/>
      </right>
      <top style="thin">
        <color rgb="FF833C0C"/>
      </top>
      <bottom style="medium">
        <color indexed="64"/>
      </bottom>
      <diagonal/>
    </border>
    <border>
      <left style="thin">
        <color rgb="FF833C0C"/>
      </left>
      <right style="medium">
        <color indexed="64"/>
      </right>
      <top style="thin">
        <color rgb="FF833C0C"/>
      </top>
      <bottom style="medium">
        <color indexed="64"/>
      </bottom>
      <diagonal/>
    </border>
    <border>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8"/>
      </bottom>
      <diagonal/>
    </border>
    <border>
      <left style="thin">
        <color indexed="64"/>
      </left>
      <right/>
      <top style="thin">
        <color indexed="64"/>
      </top>
      <bottom style="thin">
        <color indexed="8"/>
      </bottom>
      <diagonal/>
    </border>
    <border>
      <left style="thin">
        <color indexed="64"/>
      </left>
      <right style="thin">
        <color indexed="64"/>
      </right>
      <top style="thin">
        <color indexed="8"/>
      </top>
      <bottom/>
      <diagonal/>
    </border>
    <border>
      <left style="medium">
        <color indexed="64"/>
      </left>
      <right style="medium">
        <color indexed="64"/>
      </right>
      <top style="medium">
        <color indexed="64"/>
      </top>
      <bottom style="medium">
        <color indexed="64"/>
      </bottom>
      <diagonal/>
    </border>
    <border>
      <left style="thin">
        <color indexed="64"/>
      </left>
      <right/>
      <top style="thin">
        <color indexed="8"/>
      </top>
      <bottom style="thin">
        <color indexed="64"/>
      </bottom>
      <diagonal/>
    </border>
    <border>
      <left style="thin">
        <color indexed="64"/>
      </left>
      <right style="thin">
        <color indexed="64"/>
      </right>
      <top/>
      <bottom style="thin">
        <color indexed="8"/>
      </bottom>
      <diagonal/>
    </border>
    <border>
      <left style="thin">
        <color indexed="64"/>
      </left>
      <right style="thin">
        <color indexed="64"/>
      </right>
      <top style="thin">
        <color indexed="8"/>
      </top>
      <bottom style="thin">
        <color indexed="64"/>
      </bottom>
      <diagonal/>
    </border>
    <border>
      <left style="thin">
        <color indexed="64"/>
      </left>
      <right style="thin">
        <color indexed="64"/>
      </right>
      <top style="thin">
        <color indexed="8"/>
      </top>
      <bottom style="thin">
        <color indexed="8"/>
      </bottom>
      <diagonal/>
    </border>
    <border>
      <left style="thin">
        <color indexed="8"/>
      </left>
      <right style="thin">
        <color indexed="64"/>
      </right>
      <top/>
      <bottom style="thin">
        <color indexed="64"/>
      </bottom>
      <diagonal/>
    </border>
    <border>
      <left style="thin">
        <color indexed="64"/>
      </left>
      <right style="thin">
        <color indexed="8"/>
      </right>
      <top/>
      <bottom style="thin">
        <color indexed="64"/>
      </bottom>
      <diagonal/>
    </border>
  </borders>
  <cellStyleXfs count="12">
    <xf numFmtId="0" fontId="0" fillId="0" borderId="0"/>
    <xf numFmtId="0" fontId="7" fillId="0" borderId="0" applyNumberFormat="0" applyFill="0" applyBorder="0" applyAlignment="0" applyProtection="0"/>
    <xf numFmtId="9" fontId="10" fillId="0" borderId="0" applyFont="0" applyFill="0" applyBorder="0" applyAlignment="0" applyProtection="0"/>
    <xf numFmtId="0" fontId="13" fillId="0" borderId="0"/>
    <xf numFmtId="164" fontId="10" fillId="0" borderId="0" applyFont="0" applyFill="0" applyBorder="0" applyAlignment="0" applyProtection="0"/>
    <xf numFmtId="0" fontId="32" fillId="0" borderId="0"/>
    <xf numFmtId="166" fontId="32" fillId="0" borderId="0" applyFill="0" applyBorder="0" applyAlignment="0" applyProtection="0"/>
    <xf numFmtId="0" fontId="32" fillId="0" borderId="0"/>
    <xf numFmtId="166" fontId="33" fillId="0" borderId="0" applyFill="0" applyBorder="0" applyAlignment="0" applyProtection="0"/>
    <xf numFmtId="0" fontId="33" fillId="0" borderId="0"/>
    <xf numFmtId="0" fontId="34" fillId="20" borderId="24" applyNumberFormat="0" applyAlignment="0" applyProtection="0"/>
    <xf numFmtId="43" fontId="10" fillId="0" borderId="0" applyFont="0" applyFill="0" applyBorder="0" applyAlignment="0" applyProtection="0"/>
  </cellStyleXfs>
  <cellXfs count="1073">
    <xf numFmtId="0" fontId="0" fillId="0" borderId="0" xfId="0"/>
    <xf numFmtId="0" fontId="1" fillId="0" borderId="0" xfId="0" applyFont="1"/>
    <xf numFmtId="0" fontId="1" fillId="0" borderId="0" xfId="0" applyFont="1" applyAlignment="1">
      <alignment vertical="top" wrapText="1"/>
    </xf>
    <xf numFmtId="0" fontId="1" fillId="0" borderId="1" xfId="0" applyFont="1" applyBorder="1" applyAlignment="1">
      <alignment vertical="top" wrapText="1"/>
    </xf>
    <xf numFmtId="0" fontId="2" fillId="2" borderId="1" xfId="0" applyFont="1" applyFill="1" applyBorder="1" applyAlignment="1">
      <alignment vertical="center"/>
    </xf>
    <xf numFmtId="0" fontId="2" fillId="2" borderId="14" xfId="0" applyFont="1" applyFill="1" applyBorder="1" applyAlignment="1">
      <alignment vertical="center"/>
    </xf>
    <xf numFmtId="0" fontId="15" fillId="7" borderId="1" xfId="0" applyFont="1" applyFill="1" applyBorder="1" applyAlignment="1">
      <alignment horizontal="left" vertical="center"/>
    </xf>
    <xf numFmtId="0" fontId="18" fillId="6" borderId="1" xfId="3" applyFont="1" applyFill="1" applyBorder="1" applyAlignment="1" applyProtection="1">
      <alignment horizontal="center" vertical="center" wrapText="1"/>
      <protection locked="0"/>
    </xf>
    <xf numFmtId="0" fontId="19" fillId="5" borderId="1" xfId="3" applyFont="1" applyFill="1" applyBorder="1" applyAlignment="1" applyProtection="1">
      <alignment horizontal="center" vertical="center" wrapText="1"/>
      <protection locked="0"/>
    </xf>
    <xf numFmtId="0" fontId="19" fillId="8" borderId="1" xfId="3" applyFont="1" applyFill="1" applyBorder="1" applyAlignment="1" applyProtection="1">
      <alignment horizontal="center" vertical="center" wrapText="1"/>
      <protection locked="0"/>
    </xf>
    <xf numFmtId="0" fontId="11" fillId="0" borderId="1" xfId="0" applyFont="1" applyBorder="1"/>
    <xf numFmtId="0" fontId="11" fillId="0" borderId="0" xfId="0" applyFont="1"/>
    <xf numFmtId="165" fontId="15" fillId="7" borderId="1" xfId="0" applyNumberFormat="1" applyFont="1" applyFill="1" applyBorder="1" applyAlignment="1">
      <alignment horizontal="left" vertical="center"/>
    </xf>
    <xf numFmtId="165" fontId="1" fillId="0" borderId="1" xfId="0" applyNumberFormat="1" applyFont="1" applyBorder="1"/>
    <xf numFmtId="0" fontId="1" fillId="0" borderId="0" xfId="0" applyFont="1" applyAlignment="1">
      <alignment vertical="top"/>
    </xf>
    <xf numFmtId="0" fontId="1" fillId="0" borderId="1" xfId="0" applyFont="1" applyBorder="1" applyAlignment="1" applyProtection="1">
      <alignment horizontal="left" vertical="top" wrapText="1"/>
      <protection locked="0"/>
    </xf>
    <xf numFmtId="0" fontId="1" fillId="0" borderId="1" xfId="0" applyFont="1" applyBorder="1" applyAlignment="1" applyProtection="1">
      <alignment vertical="top"/>
      <protection locked="0"/>
    </xf>
    <xf numFmtId="0" fontId="1" fillId="0" borderId="1" xfId="0" applyFont="1" applyBorder="1" applyProtection="1">
      <protection locked="0"/>
    </xf>
    <xf numFmtId="0" fontId="16" fillId="7" borderId="1" xfId="0" applyFont="1" applyFill="1" applyBorder="1" applyProtection="1">
      <protection locked="0"/>
    </xf>
    <xf numFmtId="0" fontId="16" fillId="7" borderId="1" xfId="0" applyFont="1" applyFill="1" applyBorder="1" applyAlignment="1" applyProtection="1">
      <alignment horizontal="center" vertical="center" wrapText="1"/>
      <protection locked="0"/>
    </xf>
    <xf numFmtId="165" fontId="1" fillId="0" borderId="1" xfId="0" applyNumberFormat="1" applyFont="1" applyBorder="1" applyAlignment="1">
      <alignment vertical="top"/>
    </xf>
    <xf numFmtId="0" fontId="21" fillId="15" borderId="1" xfId="0" applyFont="1" applyFill="1" applyBorder="1" applyAlignment="1">
      <alignment vertical="top" wrapText="1"/>
    </xf>
    <xf numFmtId="0" fontId="21" fillId="10" borderId="1" xfId="1" applyFont="1" applyFill="1" applyBorder="1" applyAlignment="1">
      <alignment vertical="top" wrapText="1"/>
    </xf>
    <xf numFmtId="0" fontId="21" fillId="13" borderId="1" xfId="1" applyFont="1" applyFill="1" applyBorder="1" applyAlignment="1">
      <alignment vertical="top" wrapText="1"/>
    </xf>
    <xf numFmtId="0" fontId="21" fillId="14" borderId="1" xfId="1" applyFont="1" applyFill="1" applyBorder="1" applyAlignment="1">
      <alignment vertical="top" wrapText="1"/>
    </xf>
    <xf numFmtId="0" fontId="21" fillId="16" borderId="1" xfId="1" applyFont="1" applyFill="1" applyBorder="1" applyAlignment="1">
      <alignment vertical="top" wrapText="1"/>
    </xf>
    <xf numFmtId="0" fontId="21" fillId="6" borderId="1" xfId="1" applyFont="1" applyFill="1" applyBorder="1" applyAlignment="1">
      <alignment vertical="top" wrapText="1"/>
    </xf>
    <xf numFmtId="0" fontId="21" fillId="17" borderId="1" xfId="1" applyFont="1" applyFill="1" applyBorder="1" applyAlignment="1">
      <alignment vertical="top" wrapText="1"/>
    </xf>
    <xf numFmtId="0" fontId="21" fillId="18" borderId="1" xfId="1" applyFont="1" applyFill="1" applyBorder="1" applyAlignment="1">
      <alignment vertical="top" wrapText="1"/>
    </xf>
    <xf numFmtId="0" fontId="24" fillId="0" borderId="0" xfId="0" applyFont="1" applyAlignment="1">
      <alignment vertical="top" wrapText="1"/>
    </xf>
    <xf numFmtId="0" fontId="27" fillId="7" borderId="1" xfId="0" applyFont="1" applyFill="1" applyBorder="1" applyAlignment="1">
      <alignment vertical="top" wrapText="1"/>
    </xf>
    <xf numFmtId="164" fontId="11" fillId="0" borderId="1" xfId="4" applyFont="1" applyBorder="1"/>
    <xf numFmtId="0" fontId="4" fillId="4" borderId="15" xfId="0" applyFont="1" applyFill="1" applyBorder="1" applyAlignment="1">
      <alignment horizontal="center" vertical="top" wrapText="1"/>
    </xf>
    <xf numFmtId="0" fontId="30" fillId="0" borderId="0" xfId="0" applyFont="1"/>
    <xf numFmtId="0" fontId="20" fillId="0" borderId="0" xfId="0" applyFont="1" applyAlignment="1">
      <alignment vertical="top" wrapText="1"/>
    </xf>
    <xf numFmtId="0" fontId="24" fillId="0" borderId="1" xfId="0" applyFont="1" applyBorder="1" applyAlignment="1">
      <alignment vertical="top" wrapText="1"/>
    </xf>
    <xf numFmtId="0" fontId="27" fillId="0" borderId="0" xfId="0" applyFont="1" applyAlignment="1">
      <alignment vertical="top" wrapText="1"/>
    </xf>
    <xf numFmtId="0" fontId="25" fillId="10" borderId="1" xfId="0" applyFont="1" applyFill="1" applyBorder="1" applyAlignment="1">
      <alignment vertical="top" wrapText="1"/>
    </xf>
    <xf numFmtId="0" fontId="27" fillId="9" borderId="1" xfId="0" applyFont="1" applyFill="1" applyBorder="1" applyAlignment="1">
      <alignment vertical="top" wrapText="1"/>
    </xf>
    <xf numFmtId="165" fontId="24" fillId="0" borderId="1" xfId="0" applyNumberFormat="1" applyFont="1" applyBorder="1" applyAlignment="1">
      <alignment vertical="top" wrapText="1"/>
    </xf>
    <xf numFmtId="0" fontId="27" fillId="19" borderId="1" xfId="0" applyFont="1" applyFill="1" applyBorder="1" applyAlignment="1">
      <alignment vertical="top" wrapText="1"/>
    </xf>
    <xf numFmtId="165" fontId="27" fillId="19" borderId="1" xfId="0" applyNumberFormat="1" applyFont="1" applyFill="1" applyBorder="1" applyAlignment="1">
      <alignment vertical="top" wrapText="1"/>
    </xf>
    <xf numFmtId="9" fontId="27" fillId="19" borderId="1" xfId="2" applyFont="1" applyFill="1" applyBorder="1" applyAlignment="1">
      <alignment vertical="top" wrapText="1"/>
    </xf>
    <xf numFmtId="0" fontId="43" fillId="0" borderId="1" xfId="0" applyFont="1" applyBorder="1" applyAlignment="1">
      <alignment vertical="top" wrapText="1"/>
    </xf>
    <xf numFmtId="0" fontId="41" fillId="0" borderId="0" xfId="0" applyFont="1" applyAlignment="1">
      <alignment vertical="top" wrapText="1"/>
    </xf>
    <xf numFmtId="0" fontId="27" fillId="12" borderId="29" xfId="0" applyFont="1" applyFill="1" applyBorder="1" applyAlignment="1">
      <alignment vertical="center" wrapText="1"/>
    </xf>
    <xf numFmtId="0" fontId="27" fillId="21" borderId="26" xfId="0" applyFont="1" applyFill="1" applyBorder="1" applyAlignment="1">
      <alignment vertical="center" wrapText="1"/>
    </xf>
    <xf numFmtId="0" fontId="27" fillId="21" borderId="27" xfId="0" applyFont="1" applyFill="1" applyBorder="1" applyAlignment="1">
      <alignment vertical="center" wrapText="1"/>
    </xf>
    <xf numFmtId="0" fontId="1" fillId="21" borderId="0" xfId="0" applyFont="1" applyFill="1" applyAlignment="1">
      <alignment vertical="top" wrapText="1"/>
    </xf>
    <xf numFmtId="0" fontId="24" fillId="0" borderId="0" xfId="0" applyFont="1"/>
    <xf numFmtId="0" fontId="24" fillId="21" borderId="1" xfId="0" applyFont="1" applyFill="1" applyBorder="1" applyAlignment="1">
      <alignment vertical="top" wrapText="1"/>
    </xf>
    <xf numFmtId="9" fontId="24" fillId="21" borderId="1" xfId="2" applyFont="1" applyFill="1" applyBorder="1" applyAlignment="1">
      <alignment vertical="top" wrapText="1"/>
    </xf>
    <xf numFmtId="165" fontId="24" fillId="0" borderId="0" xfId="0" applyNumberFormat="1" applyFont="1" applyAlignment="1">
      <alignment vertical="top" wrapText="1"/>
    </xf>
    <xf numFmtId="165" fontId="24" fillId="21" borderId="0" xfId="0" applyNumberFormat="1" applyFont="1" applyFill="1" applyAlignment="1">
      <alignment vertical="top" wrapText="1"/>
    </xf>
    <xf numFmtId="0" fontId="1" fillId="0" borderId="0" xfId="0" applyFont="1" applyProtection="1">
      <protection locked="0"/>
    </xf>
    <xf numFmtId="0" fontId="1" fillId="0" borderId="0" xfId="0" applyFont="1" applyAlignment="1" applyProtection="1">
      <alignment horizontal="center"/>
      <protection locked="0"/>
    </xf>
    <xf numFmtId="0" fontId="24" fillId="0" borderId="0" xfId="0" applyFont="1" applyProtection="1">
      <protection locked="0"/>
    </xf>
    <xf numFmtId="0" fontId="42" fillId="21" borderId="0" xfId="0" applyFont="1" applyFill="1" applyProtection="1">
      <protection locked="0"/>
    </xf>
    <xf numFmtId="0" fontId="24" fillId="0" borderId="0" xfId="0" applyFont="1" applyAlignment="1" applyProtection="1">
      <alignment vertical="top"/>
      <protection locked="0"/>
    </xf>
    <xf numFmtId="0" fontId="24" fillId="0" borderId="0" xfId="0" applyFont="1" applyAlignment="1" applyProtection="1">
      <alignment horizontal="center" vertical="top"/>
      <protection locked="0"/>
    </xf>
    <xf numFmtId="0" fontId="42" fillId="4" borderId="1" xfId="0" applyFont="1" applyFill="1" applyBorder="1" applyAlignment="1" applyProtection="1">
      <alignment horizontal="center" vertical="top" wrapText="1"/>
      <protection locked="0"/>
    </xf>
    <xf numFmtId="0" fontId="42" fillId="2" borderId="12" xfId="0" applyFont="1" applyFill="1" applyBorder="1" applyAlignment="1" applyProtection="1">
      <alignment vertical="top"/>
      <protection locked="0"/>
    </xf>
    <xf numFmtId="0" fontId="4" fillId="0" borderId="11" xfId="0" applyFont="1" applyBorder="1" applyAlignment="1" applyProtection="1">
      <alignment vertical="top"/>
      <protection locked="0"/>
    </xf>
    <xf numFmtId="0" fontId="4" fillId="0" borderId="12" xfId="0" applyFont="1" applyBorder="1" applyAlignment="1" applyProtection="1">
      <alignment vertical="top"/>
      <protection locked="0"/>
    </xf>
    <xf numFmtId="0" fontId="4" fillId="0" borderId="12" xfId="0" applyFont="1" applyBorder="1" applyAlignment="1" applyProtection="1">
      <alignment horizontal="center" vertical="top"/>
      <protection locked="0"/>
    </xf>
    <xf numFmtId="0" fontId="4" fillId="4" borderId="1" xfId="0" applyFont="1" applyFill="1" applyBorder="1" applyAlignment="1" applyProtection="1">
      <alignment vertical="top" wrapText="1"/>
      <protection locked="0"/>
    </xf>
    <xf numFmtId="0" fontId="4" fillId="4" borderId="14" xfId="0" applyFont="1" applyFill="1" applyBorder="1" applyAlignment="1" applyProtection="1">
      <alignment horizontal="center" vertical="top" wrapText="1"/>
      <protection locked="0"/>
    </xf>
    <xf numFmtId="0" fontId="30" fillId="0" borderId="0" xfId="0" applyFont="1" applyProtection="1">
      <protection locked="0"/>
    </xf>
    <xf numFmtId="0" fontId="45" fillId="0" borderId="1" xfId="0" applyFont="1" applyBorder="1" applyAlignment="1" applyProtection="1">
      <alignment horizontal="center" wrapText="1"/>
      <protection locked="0"/>
    </xf>
    <xf numFmtId="0" fontId="45" fillId="0" borderId="1" xfId="0" applyFont="1" applyBorder="1" applyAlignment="1" applyProtection="1">
      <alignment horizontal="left" wrapText="1"/>
      <protection locked="0"/>
    </xf>
    <xf numFmtId="165" fontId="45" fillId="0" borderId="1" xfId="0" applyNumberFormat="1" applyFont="1" applyBorder="1" applyAlignment="1" applyProtection="1">
      <alignment horizontal="center" wrapText="1"/>
      <protection locked="0"/>
    </xf>
    <xf numFmtId="0" fontId="43" fillId="0" borderId="1" xfId="3" applyFont="1" applyBorder="1" applyAlignment="1" applyProtection="1">
      <alignment wrapText="1"/>
      <protection locked="0"/>
    </xf>
    <xf numFmtId="0" fontId="24" fillId="21" borderId="1" xfId="0" applyFont="1" applyFill="1" applyBorder="1" applyAlignment="1" applyProtection="1">
      <alignment horizontal="center" wrapText="1"/>
      <protection locked="0"/>
    </xf>
    <xf numFmtId="0" fontId="17" fillId="0" borderId="1" xfId="0" applyFont="1" applyBorder="1" applyAlignment="1" applyProtection="1">
      <alignment vertical="top"/>
      <protection locked="0"/>
    </xf>
    <xf numFmtId="0" fontId="1" fillId="0" borderId="1" xfId="0" applyFont="1" applyBorder="1" applyAlignment="1" applyProtection="1">
      <alignment horizontal="center" vertical="top"/>
      <protection locked="0"/>
    </xf>
    <xf numFmtId="0" fontId="24" fillId="0" borderId="1" xfId="0" applyFont="1" applyBorder="1" applyAlignment="1" applyProtection="1">
      <alignment horizontal="left"/>
      <protection locked="0"/>
    </xf>
    <xf numFmtId="0" fontId="24" fillId="0" borderId="1" xfId="0" applyFont="1" applyBorder="1" applyAlignment="1" applyProtection="1">
      <alignment horizontal="left" wrapText="1"/>
      <protection locked="0"/>
    </xf>
    <xf numFmtId="0" fontId="24" fillId="0" borderId="1" xfId="0" applyFont="1" applyBorder="1" applyAlignment="1" applyProtection="1">
      <alignment wrapText="1"/>
      <protection locked="0"/>
    </xf>
    <xf numFmtId="0" fontId="45" fillId="0" borderId="14" xfId="0" applyFont="1" applyBorder="1" applyAlignment="1" applyProtection="1">
      <alignment horizontal="center" wrapText="1"/>
      <protection locked="0"/>
    </xf>
    <xf numFmtId="0" fontId="43" fillId="0" borderId="14" xfId="3" applyFont="1" applyBorder="1" applyAlignment="1" applyProtection="1">
      <alignment wrapText="1"/>
      <protection locked="0"/>
    </xf>
    <xf numFmtId="0" fontId="24" fillId="21" borderId="14" xfId="0" applyFont="1" applyFill="1" applyBorder="1" applyAlignment="1" applyProtection="1">
      <alignment horizontal="center" wrapText="1"/>
      <protection locked="0"/>
    </xf>
    <xf numFmtId="0" fontId="78" fillId="0" borderId="1" xfId="3" applyFont="1" applyBorder="1" applyAlignment="1" applyProtection="1">
      <alignment wrapText="1"/>
      <protection locked="0"/>
    </xf>
    <xf numFmtId="0" fontId="1" fillId="0" borderId="0" xfId="0" applyFont="1" applyAlignment="1" applyProtection="1">
      <alignment vertical="top"/>
      <protection locked="0"/>
    </xf>
    <xf numFmtId="0" fontId="45" fillId="0" borderId="0" xfId="0" applyFont="1" applyAlignment="1" applyProtection="1">
      <alignment horizontal="center" wrapText="1"/>
      <protection locked="0"/>
    </xf>
    <xf numFmtId="0" fontId="43" fillId="0" borderId="0" xfId="3" applyFont="1" applyAlignment="1" applyProtection="1">
      <alignment wrapText="1"/>
      <protection locked="0"/>
    </xf>
    <xf numFmtId="0" fontId="24" fillId="21" borderId="0" xfId="0" applyFont="1" applyFill="1" applyAlignment="1" applyProtection="1">
      <alignment horizontal="center" wrapText="1"/>
      <protection locked="0"/>
    </xf>
    <xf numFmtId="0" fontId="1" fillId="0" borderId="0" xfId="0" applyFont="1" applyAlignment="1" applyProtection="1">
      <alignment horizontal="center" vertical="top"/>
      <protection locked="0"/>
    </xf>
    <xf numFmtId="165" fontId="45" fillId="0" borderId="0" xfId="0" applyNumberFormat="1" applyFont="1" applyAlignment="1" applyProtection="1">
      <alignment horizontal="center" wrapText="1"/>
      <protection locked="0"/>
    </xf>
    <xf numFmtId="165" fontId="1" fillId="0" borderId="0" xfId="0" applyNumberFormat="1" applyFont="1" applyProtection="1">
      <protection locked="0"/>
    </xf>
    <xf numFmtId="165" fontId="1" fillId="0" borderId="0" xfId="0" applyNumberFormat="1" applyFont="1" applyAlignment="1" applyProtection="1">
      <alignment vertical="top"/>
      <protection locked="0"/>
    </xf>
    <xf numFmtId="0" fontId="79" fillId="0" borderId="1" xfId="0" applyFont="1" applyBorder="1" applyAlignment="1" applyProtection="1">
      <alignment horizontal="center" wrapText="1"/>
      <protection locked="0"/>
    </xf>
    <xf numFmtId="0" fontId="28" fillId="0" borderId="1" xfId="3" applyFont="1" applyBorder="1" applyAlignment="1" applyProtection="1">
      <alignment wrapText="1"/>
      <protection locked="0"/>
    </xf>
    <xf numFmtId="0" fontId="1" fillId="21" borderId="1" xfId="0" applyFont="1" applyFill="1" applyBorder="1" applyAlignment="1" applyProtection="1">
      <alignment horizontal="center"/>
      <protection locked="0"/>
    </xf>
    <xf numFmtId="0" fontId="28" fillId="0" borderId="1" xfId="0" applyFont="1" applyBorder="1" applyAlignment="1" applyProtection="1">
      <alignment horizontal="center" vertical="top"/>
      <protection locked="0"/>
    </xf>
    <xf numFmtId="0" fontId="28" fillId="0" borderId="1" xfId="0" applyFont="1" applyBorder="1" applyAlignment="1" applyProtection="1">
      <alignment vertical="top"/>
      <protection locked="0"/>
    </xf>
    <xf numFmtId="0" fontId="1" fillId="0" borderId="1" xfId="0" applyFont="1" applyBorder="1" applyAlignment="1" applyProtection="1">
      <alignment horizontal="left" wrapText="1"/>
      <protection locked="0"/>
    </xf>
    <xf numFmtId="0" fontId="1" fillId="21" borderId="1" xfId="0" applyFont="1" applyFill="1" applyBorder="1" applyAlignment="1" applyProtection="1">
      <alignment horizontal="center" wrapText="1"/>
      <protection locked="0"/>
    </xf>
    <xf numFmtId="0" fontId="28" fillId="0" borderId="1" xfId="3" applyFont="1" applyBorder="1" applyAlignment="1" applyProtection="1">
      <alignment horizontal="left" wrapText="1"/>
      <protection locked="0"/>
    </xf>
    <xf numFmtId="0" fontId="1" fillId="0" borderId="1" xfId="0" applyFont="1" applyBorder="1" applyAlignment="1" applyProtection="1">
      <alignment wrapText="1"/>
      <protection locked="0"/>
    </xf>
    <xf numFmtId="0" fontId="79" fillId="0" borderId="1" xfId="0" applyFont="1" applyBorder="1" applyAlignment="1" applyProtection="1">
      <alignment horizontal="left" wrapText="1"/>
      <protection locked="0"/>
    </xf>
    <xf numFmtId="0" fontId="1" fillId="0" borderId="1" xfId="0" applyFont="1" applyBorder="1" applyAlignment="1" applyProtection="1">
      <alignment horizontal="center"/>
      <protection locked="0"/>
    </xf>
    <xf numFmtId="0" fontId="79" fillId="0" borderId="14" xfId="0" applyFont="1" applyBorder="1" applyAlignment="1" applyProtection="1">
      <alignment horizontal="center" wrapText="1"/>
      <protection locked="0"/>
    </xf>
    <xf numFmtId="0" fontId="1" fillId="0" borderId="14" xfId="0" applyFont="1" applyBorder="1" applyAlignment="1" applyProtection="1">
      <alignment horizontal="left" wrapText="1"/>
      <protection locked="0"/>
    </xf>
    <xf numFmtId="0" fontId="1" fillId="21" borderId="14" xfId="0" applyFont="1" applyFill="1" applyBorder="1" applyAlignment="1" applyProtection="1">
      <alignment horizontal="center" wrapText="1"/>
      <protection locked="0"/>
    </xf>
    <xf numFmtId="0" fontId="28" fillId="0" borderId="0" xfId="0" applyFont="1" applyAlignment="1" applyProtection="1">
      <alignment horizontal="center" vertical="top"/>
      <protection locked="0"/>
    </xf>
    <xf numFmtId="0" fontId="28" fillId="0" borderId="0" xfId="0" applyFont="1" applyAlignment="1" applyProtection="1">
      <alignment vertical="top"/>
      <protection locked="0"/>
    </xf>
    <xf numFmtId="165" fontId="28" fillId="0" borderId="0" xfId="0" applyNumberFormat="1" applyFont="1" applyAlignment="1" applyProtection="1">
      <alignment vertical="top"/>
      <protection locked="0"/>
    </xf>
    <xf numFmtId="0" fontId="24" fillId="0" borderId="1" xfId="0" applyFont="1" applyBorder="1" applyAlignment="1" applyProtection="1">
      <alignment horizontal="center" wrapText="1"/>
      <protection locked="0"/>
    </xf>
    <xf numFmtId="0" fontId="45" fillId="0" borderId="1" xfId="0" applyFont="1" applyBorder="1" applyAlignment="1" applyProtection="1">
      <alignment horizontal="center"/>
      <protection locked="0"/>
    </xf>
    <xf numFmtId="0" fontId="43" fillId="0" borderId="1" xfId="3" applyFont="1" applyBorder="1" applyAlignment="1" applyProtection="1">
      <alignment horizontal="left" wrapText="1"/>
      <protection locked="0"/>
    </xf>
    <xf numFmtId="0" fontId="24" fillId="0" borderId="1" xfId="5" applyFont="1" applyBorder="1" applyAlignment="1" applyProtection="1">
      <alignment wrapText="1"/>
      <protection locked="0"/>
    </xf>
    <xf numFmtId="0" fontId="45" fillId="0" borderId="1" xfId="0" applyFont="1" applyBorder="1" applyAlignment="1" applyProtection="1">
      <alignment wrapText="1"/>
      <protection locked="0"/>
    </xf>
    <xf numFmtId="0" fontId="24" fillId="0" borderId="0" xfId="0" applyFont="1" applyAlignment="1" applyProtection="1">
      <alignment horizontal="center" wrapText="1"/>
      <protection locked="0"/>
    </xf>
    <xf numFmtId="0" fontId="45" fillId="0" borderId="0" xfId="0" applyFont="1" applyAlignment="1" applyProtection="1">
      <alignment horizontal="center"/>
      <protection locked="0"/>
    </xf>
    <xf numFmtId="0" fontId="29" fillId="9" borderId="11" xfId="0" applyFont="1" applyFill="1" applyBorder="1" applyAlignment="1" applyProtection="1">
      <alignment vertical="top"/>
      <protection locked="0"/>
    </xf>
    <xf numFmtId="0" fontId="29" fillId="9" borderId="12" xfId="0" applyFont="1" applyFill="1" applyBorder="1" applyAlignment="1" applyProtection="1">
      <alignment vertical="top"/>
      <protection locked="0"/>
    </xf>
    <xf numFmtId="0" fontId="29" fillId="9" borderId="12" xfId="0" applyFont="1" applyFill="1" applyBorder="1" applyAlignment="1" applyProtection="1">
      <alignment horizontal="center" vertical="top"/>
      <protection locked="0"/>
    </xf>
    <xf numFmtId="0" fontId="29" fillId="9" borderId="12" xfId="0" applyFont="1" applyFill="1" applyBorder="1" applyProtection="1">
      <protection locked="0"/>
    </xf>
    <xf numFmtId="165" fontId="28" fillId="0" borderId="1" xfId="4" applyNumberFormat="1" applyFont="1" applyBorder="1" applyAlignment="1" applyProtection="1">
      <alignment vertical="top"/>
      <protection locked="0"/>
    </xf>
    <xf numFmtId="0" fontId="43" fillId="0" borderId="1" xfId="0" applyFont="1" applyBorder="1" applyAlignment="1" applyProtection="1">
      <alignment horizontal="center" wrapText="1"/>
      <protection locked="0"/>
    </xf>
    <xf numFmtId="0" fontId="43" fillId="0" borderId="1" xfId="0" applyFont="1" applyBorder="1" applyAlignment="1" applyProtection="1">
      <alignment wrapText="1"/>
      <protection locked="0"/>
    </xf>
    <xf numFmtId="0" fontId="43" fillId="21" borderId="1" xfId="0" applyFont="1" applyFill="1" applyBorder="1" applyAlignment="1" applyProtection="1">
      <alignment horizontal="center" wrapText="1"/>
      <protection locked="0"/>
    </xf>
    <xf numFmtId="0" fontId="1" fillId="0" borderId="11" xfId="0" applyFont="1" applyBorder="1" applyAlignment="1" applyProtection="1">
      <alignment vertical="top"/>
      <protection locked="0"/>
    </xf>
    <xf numFmtId="165" fontId="28" fillId="0" borderId="0" xfId="4" applyNumberFormat="1" applyFont="1" applyBorder="1" applyAlignment="1" applyProtection="1">
      <alignment vertical="top"/>
      <protection locked="0"/>
    </xf>
    <xf numFmtId="165" fontId="28" fillId="21" borderId="0" xfId="0" applyNumberFormat="1" applyFont="1" applyFill="1" applyAlignment="1" applyProtection="1">
      <alignment vertical="top"/>
      <protection locked="0"/>
    </xf>
    <xf numFmtId="0" fontId="24" fillId="0" borderId="0" xfId="0" applyFont="1" applyAlignment="1" applyProtection="1">
      <alignment wrapText="1"/>
      <protection locked="0"/>
    </xf>
    <xf numFmtId="0" fontId="80" fillId="0" borderId="0" xfId="0" applyFont="1" applyAlignment="1" applyProtection="1">
      <alignment horizontal="center" wrapText="1"/>
      <protection locked="0"/>
    </xf>
    <xf numFmtId="0" fontId="29" fillId="9" borderId="11" xfId="0" applyFont="1" applyFill="1" applyBorder="1" applyProtection="1">
      <protection locked="0"/>
    </xf>
    <xf numFmtId="0" fontId="4" fillId="11" borderId="13" xfId="0" applyFont="1" applyFill="1" applyBorder="1" applyAlignment="1" applyProtection="1">
      <alignment vertical="top" wrapText="1"/>
      <protection locked="0"/>
    </xf>
    <xf numFmtId="0" fontId="4" fillId="21" borderId="0" xfId="0" applyFont="1" applyFill="1" applyAlignment="1" applyProtection="1">
      <alignment vertical="top" wrapText="1"/>
      <protection locked="0"/>
    </xf>
    <xf numFmtId="0" fontId="28" fillId="0" borderId="1" xfId="0" applyFont="1" applyBorder="1" applyAlignment="1" applyProtection="1">
      <alignment vertical="top" wrapText="1"/>
      <protection locked="0"/>
    </xf>
    <xf numFmtId="0" fontId="17" fillId="0" borderId="1" xfId="0" applyFont="1" applyBorder="1" applyAlignment="1" applyProtection="1">
      <alignment horizontal="center" vertical="top"/>
      <protection locked="0"/>
    </xf>
    <xf numFmtId="0" fontId="4" fillId="4" borderId="1" xfId="0" applyFont="1" applyFill="1" applyBorder="1" applyAlignment="1">
      <alignment vertical="top" wrapText="1"/>
    </xf>
    <xf numFmtId="0" fontId="1" fillId="0" borderId="0" xfId="0" applyFont="1" applyAlignment="1" applyProtection="1">
      <alignment vertical="top" wrapText="1"/>
      <protection locked="0"/>
    </xf>
    <xf numFmtId="0" fontId="6" fillId="21" borderId="0" xfId="1" applyFont="1" applyFill="1" applyBorder="1" applyAlignment="1" applyProtection="1">
      <alignment horizontal="left" vertical="top" wrapText="1"/>
      <protection locked="0"/>
    </xf>
    <xf numFmtId="0" fontId="6" fillId="0" borderId="3" xfId="1" applyFont="1" applyFill="1" applyBorder="1" applyAlignment="1" applyProtection="1">
      <alignment horizontal="left" vertical="top" wrapText="1"/>
      <protection locked="0"/>
    </xf>
    <xf numFmtId="0" fontId="6" fillId="0" borderId="0" xfId="1" applyFont="1" applyFill="1" applyBorder="1" applyAlignment="1" applyProtection="1">
      <alignment horizontal="left" vertical="top" wrapText="1"/>
      <protection locked="0"/>
    </xf>
    <xf numFmtId="0" fontId="1" fillId="21" borderId="0" xfId="0" applyFont="1" applyFill="1" applyAlignment="1" applyProtection="1">
      <alignment vertical="top" wrapText="1"/>
      <protection locked="0"/>
    </xf>
    <xf numFmtId="0" fontId="8" fillId="21" borderId="0" xfId="0" applyFont="1" applyFill="1" applyAlignment="1" applyProtection="1">
      <alignment horizontal="left" vertical="top" wrapText="1"/>
      <protection locked="0"/>
    </xf>
    <xf numFmtId="0" fontId="16" fillId="27" borderId="38" xfId="0" applyFont="1" applyFill="1" applyBorder="1" applyAlignment="1" applyProtection="1">
      <alignment horizontal="center" vertical="center" wrapText="1"/>
      <protection locked="0"/>
    </xf>
    <xf numFmtId="0" fontId="16" fillId="9" borderId="38" xfId="0" applyFont="1" applyFill="1" applyBorder="1" applyAlignment="1" applyProtection="1">
      <alignment horizontal="center" vertical="center" wrapText="1"/>
      <protection locked="0"/>
    </xf>
    <xf numFmtId="0" fontId="1" fillId="21" borderId="0" xfId="0" applyFont="1" applyFill="1" applyAlignment="1" applyProtection="1">
      <alignment horizontal="left" vertical="top" wrapText="1"/>
      <protection locked="0"/>
    </xf>
    <xf numFmtId="0" fontId="16" fillId="21" borderId="0" xfId="0" applyFont="1" applyFill="1" applyAlignment="1" applyProtection="1">
      <alignment horizontal="left" vertical="top" wrapText="1"/>
      <protection locked="0"/>
    </xf>
    <xf numFmtId="0" fontId="4" fillId="4" borderId="14" xfId="0" applyFont="1" applyFill="1" applyBorder="1" applyAlignment="1" applyProtection="1">
      <alignment horizontal="left" vertical="top" wrapText="1"/>
      <protection locked="0"/>
    </xf>
    <xf numFmtId="0" fontId="38" fillId="22" borderId="22" xfId="0" applyFont="1" applyFill="1" applyBorder="1" applyAlignment="1" applyProtection="1">
      <alignment horizontal="left" vertical="top" wrapText="1"/>
      <protection locked="0"/>
    </xf>
    <xf numFmtId="0" fontId="9" fillId="5" borderId="1" xfId="0" applyFont="1" applyFill="1" applyBorder="1" applyAlignment="1" applyProtection="1">
      <alignment vertical="top" wrapText="1"/>
      <protection locked="0"/>
    </xf>
    <xf numFmtId="0" fontId="38" fillId="22" borderId="15" xfId="0" applyFont="1" applyFill="1" applyBorder="1" applyAlignment="1" applyProtection="1">
      <alignment horizontal="left" vertical="top" wrapText="1"/>
      <protection locked="0"/>
    </xf>
    <xf numFmtId="0" fontId="4" fillId="27" borderId="12" xfId="0" applyFont="1" applyFill="1" applyBorder="1" applyAlignment="1" applyProtection="1">
      <alignment vertical="top" wrapText="1"/>
      <protection locked="0"/>
    </xf>
    <xf numFmtId="0" fontId="4" fillId="27" borderId="13" xfId="0" applyFont="1" applyFill="1" applyBorder="1" applyAlignment="1" applyProtection="1">
      <alignment vertical="top" wrapText="1"/>
      <protection locked="0"/>
    </xf>
    <xf numFmtId="0" fontId="31" fillId="11" borderId="12" xfId="0" applyFont="1" applyFill="1" applyBorder="1" applyAlignment="1" applyProtection="1">
      <alignment vertical="top" wrapText="1"/>
      <protection locked="0"/>
    </xf>
    <xf numFmtId="0" fontId="31" fillId="11" borderId="13" xfId="0" applyFont="1" applyFill="1" applyBorder="1" applyAlignment="1" applyProtection="1">
      <alignment vertical="top" wrapText="1"/>
      <protection locked="0"/>
    </xf>
    <xf numFmtId="0" fontId="1" fillId="0" borderId="1" xfId="0" applyFont="1" applyBorder="1" applyAlignment="1" applyProtection="1">
      <alignment vertical="top" wrapText="1"/>
      <protection locked="0"/>
    </xf>
    <xf numFmtId="0" fontId="16" fillId="26" borderId="1" xfId="0" applyFont="1" applyFill="1" applyBorder="1" applyAlignment="1" applyProtection="1">
      <alignment vertical="top" wrapText="1"/>
      <protection locked="0"/>
    </xf>
    <xf numFmtId="0" fontId="28" fillId="0" borderId="1" xfId="0" applyFont="1" applyBorder="1" applyAlignment="1" applyProtection="1">
      <alignment horizontal="left" vertical="top" wrapText="1"/>
      <protection locked="0"/>
    </xf>
    <xf numFmtId="167" fontId="28" fillId="0" borderId="1" xfId="0" applyNumberFormat="1" applyFont="1" applyBorder="1" applyAlignment="1" applyProtection="1">
      <alignment horizontal="left" vertical="top" wrapText="1"/>
      <protection locked="0"/>
    </xf>
    <xf numFmtId="165" fontId="1" fillId="26" borderId="1" xfId="0" applyNumberFormat="1" applyFont="1" applyFill="1" applyBorder="1" applyAlignment="1" applyProtection="1">
      <alignment vertical="top" wrapText="1"/>
      <protection locked="0"/>
    </xf>
    <xf numFmtId="165" fontId="1" fillId="0" borderId="1" xfId="0" applyNumberFormat="1" applyFont="1" applyBorder="1" applyAlignment="1" applyProtection="1">
      <alignment vertical="top" wrapText="1"/>
      <protection locked="0"/>
    </xf>
    <xf numFmtId="0" fontId="1" fillId="0" borderId="13" xfId="0" applyFont="1" applyBorder="1" applyAlignment="1" applyProtection="1">
      <alignment vertical="top" wrapText="1"/>
      <protection locked="0"/>
    </xf>
    <xf numFmtId="165" fontId="16" fillId="26" borderId="1" xfId="0" applyNumberFormat="1" applyFont="1" applyFill="1" applyBorder="1" applyAlignment="1" applyProtection="1">
      <alignment vertical="top" wrapText="1"/>
      <protection locked="0"/>
    </xf>
    <xf numFmtId="0" fontId="1" fillId="26" borderId="1" xfId="0" applyFont="1" applyFill="1" applyBorder="1" applyAlignment="1" applyProtection="1">
      <alignment vertical="top" wrapText="1"/>
      <protection locked="0"/>
    </xf>
    <xf numFmtId="0" fontId="17" fillId="0" borderId="1" xfId="0" applyFont="1" applyBorder="1" applyAlignment="1" applyProtection="1">
      <alignment vertical="top" wrapText="1"/>
      <protection locked="0"/>
    </xf>
    <xf numFmtId="165" fontId="1" fillId="0" borderId="13" xfId="0" applyNumberFormat="1" applyFont="1" applyBorder="1" applyAlignment="1" applyProtection="1">
      <alignment vertical="top" wrapText="1"/>
      <protection locked="0"/>
    </xf>
    <xf numFmtId="0" fontId="16" fillId="2" borderId="14" xfId="0" applyFont="1" applyFill="1" applyBorder="1" applyAlignment="1" applyProtection="1">
      <alignment vertical="top" wrapText="1"/>
      <protection locked="0"/>
    </xf>
    <xf numFmtId="0" fontId="16" fillId="2" borderId="1" xfId="0" applyFont="1" applyFill="1" applyBorder="1" applyAlignment="1" applyProtection="1">
      <alignment vertical="top" wrapText="1"/>
      <protection locked="0"/>
    </xf>
    <xf numFmtId="0" fontId="1" fillId="26" borderId="12" xfId="0" applyFont="1" applyFill="1" applyBorder="1" applyAlignment="1" applyProtection="1">
      <alignment vertical="top" wrapText="1"/>
      <protection locked="0"/>
    </xf>
    <xf numFmtId="0" fontId="1" fillId="26" borderId="13" xfId="0" applyFont="1" applyFill="1" applyBorder="1" applyAlignment="1" applyProtection="1">
      <alignment vertical="top" wrapText="1"/>
      <protection locked="0"/>
    </xf>
    <xf numFmtId="0" fontId="4" fillId="4" borderId="18" xfId="0" applyFont="1" applyFill="1" applyBorder="1" applyAlignment="1" applyProtection="1">
      <alignment horizontal="center" vertical="top" wrapText="1"/>
      <protection locked="0"/>
    </xf>
    <xf numFmtId="0" fontId="4" fillId="4" borderId="18" xfId="0" applyFont="1" applyFill="1" applyBorder="1" applyAlignment="1" applyProtection="1">
      <alignment vertical="top" wrapText="1"/>
      <protection locked="0"/>
    </xf>
    <xf numFmtId="0" fontId="4" fillId="4" borderId="0" xfId="0" applyFont="1" applyFill="1" applyAlignment="1" applyProtection="1">
      <alignment vertical="top" wrapText="1"/>
      <protection locked="0"/>
    </xf>
    <xf numFmtId="0" fontId="4" fillId="5" borderId="1" xfId="0" applyFont="1" applyFill="1" applyBorder="1" applyAlignment="1" applyProtection="1">
      <alignment horizontal="center" vertical="top" wrapText="1"/>
      <protection locked="0"/>
    </xf>
    <xf numFmtId="0" fontId="9" fillId="5" borderId="38" xfId="0" applyFont="1" applyFill="1" applyBorder="1" applyAlignment="1" applyProtection="1">
      <alignment vertical="top" wrapText="1"/>
      <protection locked="0"/>
    </xf>
    <xf numFmtId="0" fontId="22" fillId="4" borderId="10" xfId="0" applyFont="1" applyFill="1" applyBorder="1" applyAlignment="1" applyProtection="1">
      <alignment vertical="top" wrapText="1"/>
      <protection locked="0"/>
    </xf>
    <xf numFmtId="0" fontId="4" fillId="27" borderId="10" xfId="0" applyFont="1" applyFill="1" applyBorder="1" applyAlignment="1" applyProtection="1">
      <alignment vertical="top" wrapText="1"/>
      <protection locked="0"/>
    </xf>
    <xf numFmtId="0" fontId="1" fillId="27" borderId="38" xfId="0" applyFont="1" applyFill="1" applyBorder="1" applyAlignment="1" applyProtection="1">
      <alignment vertical="top" wrapText="1"/>
      <protection locked="0"/>
    </xf>
    <xf numFmtId="0" fontId="1" fillId="11" borderId="38" xfId="0" applyFont="1" applyFill="1" applyBorder="1" applyAlignment="1" applyProtection="1">
      <alignment vertical="top" wrapText="1"/>
      <protection locked="0"/>
    </xf>
    <xf numFmtId="0" fontId="1" fillId="0" borderId="11" xfId="0" applyFont="1" applyBorder="1" applyAlignment="1" applyProtection="1">
      <alignment vertical="top" wrapText="1"/>
      <protection locked="0"/>
    </xf>
    <xf numFmtId="0" fontId="1" fillId="0" borderId="38" xfId="0" applyFont="1" applyBorder="1" applyAlignment="1" applyProtection="1">
      <alignment vertical="top" wrapText="1"/>
      <protection locked="0"/>
    </xf>
    <xf numFmtId="0" fontId="16" fillId="26" borderId="1" xfId="0" applyFont="1" applyFill="1" applyBorder="1" applyAlignment="1" applyProtection="1">
      <alignment horizontal="left" vertical="top" wrapText="1"/>
      <protection locked="0"/>
    </xf>
    <xf numFmtId="0" fontId="16" fillId="0" borderId="0" xfId="0" applyFont="1" applyAlignment="1" applyProtection="1">
      <alignment horizontal="left" vertical="top" wrapText="1"/>
      <protection locked="0"/>
    </xf>
    <xf numFmtId="165" fontId="16" fillId="0" borderId="0" xfId="0" applyNumberFormat="1" applyFont="1" applyAlignment="1" applyProtection="1">
      <alignment vertical="top" wrapText="1"/>
      <protection locked="0"/>
    </xf>
    <xf numFmtId="0" fontId="4" fillId="4" borderId="0" xfId="0" applyFont="1" applyFill="1" applyAlignment="1" applyProtection="1">
      <alignment horizontal="center" vertical="top" wrapText="1"/>
      <protection locked="0"/>
    </xf>
    <xf numFmtId="0" fontId="9" fillId="5" borderId="15" xfId="0" applyFont="1" applyFill="1" applyBorder="1" applyAlignment="1" applyProtection="1">
      <alignment vertical="top" wrapText="1"/>
      <protection locked="0"/>
    </xf>
    <xf numFmtId="0" fontId="22" fillId="4" borderId="10" xfId="0" applyFont="1" applyFill="1" applyBorder="1" applyAlignment="1" applyProtection="1">
      <alignment horizontal="center" vertical="top" wrapText="1"/>
      <protection locked="0"/>
    </xf>
    <xf numFmtId="0" fontId="4" fillId="2" borderId="11" xfId="0" applyFont="1" applyFill="1" applyBorder="1" applyAlignment="1" applyProtection="1">
      <alignment horizontal="left" vertical="top" wrapText="1"/>
      <protection locked="0"/>
    </xf>
    <xf numFmtId="0" fontId="4" fillId="2" borderId="12" xfId="0" applyFont="1" applyFill="1" applyBorder="1" applyAlignment="1" applyProtection="1">
      <alignment horizontal="left" vertical="top" wrapText="1"/>
      <protection locked="0"/>
    </xf>
    <xf numFmtId="0" fontId="4" fillId="2" borderId="1" xfId="0" applyFont="1" applyFill="1" applyBorder="1" applyAlignment="1" applyProtection="1">
      <alignment horizontal="left" vertical="top" wrapText="1"/>
      <protection locked="0"/>
    </xf>
    <xf numFmtId="0" fontId="1" fillId="2" borderId="38" xfId="0" applyFont="1" applyFill="1" applyBorder="1" applyAlignment="1" applyProtection="1">
      <alignment vertical="top" wrapText="1"/>
      <protection locked="0"/>
    </xf>
    <xf numFmtId="0" fontId="31" fillId="11" borderId="17" xfId="0" applyFont="1" applyFill="1" applyBorder="1" applyAlignment="1" applyProtection="1">
      <alignment vertical="top" wrapText="1"/>
      <protection locked="0"/>
    </xf>
    <xf numFmtId="0" fontId="20" fillId="0" borderId="0" xfId="0" applyFont="1" applyAlignment="1" applyProtection="1">
      <alignment vertical="top" wrapText="1"/>
      <protection locked="0"/>
    </xf>
    <xf numFmtId="0" fontId="20" fillId="0" borderId="1" xfId="0" applyFont="1" applyBorder="1" applyAlignment="1" applyProtection="1">
      <alignment vertical="top" wrapText="1"/>
      <protection locked="0"/>
    </xf>
    <xf numFmtId="0" fontId="39" fillId="0" borderId="1" xfId="0" applyFont="1" applyBorder="1" applyAlignment="1" applyProtection="1">
      <alignment vertical="top" wrapText="1"/>
      <protection locked="0"/>
    </xf>
    <xf numFmtId="165" fontId="1" fillId="0" borderId="38" xfId="0" applyNumberFormat="1" applyFont="1" applyBorder="1" applyAlignment="1" applyProtection="1">
      <alignment vertical="top" wrapText="1"/>
      <protection locked="0"/>
    </xf>
    <xf numFmtId="0" fontId="20" fillId="0" borderId="38" xfId="0" applyFont="1" applyBorder="1" applyAlignment="1" applyProtection="1">
      <alignment vertical="top" wrapText="1"/>
      <protection locked="0"/>
    </xf>
    <xf numFmtId="0" fontId="40" fillId="0" borderId="1" xfId="0" applyFont="1" applyBorder="1" applyAlignment="1" applyProtection="1">
      <alignment horizontal="left" vertical="top" wrapText="1"/>
      <protection locked="0"/>
    </xf>
    <xf numFmtId="165" fontId="1" fillId="0" borderId="15" xfId="0" applyNumberFormat="1" applyFont="1" applyBorder="1" applyAlignment="1" applyProtection="1">
      <alignment vertical="top" wrapText="1"/>
      <protection locked="0"/>
    </xf>
    <xf numFmtId="0" fontId="1" fillId="0" borderId="15" xfId="0" applyFont="1" applyBorder="1" applyAlignment="1" applyProtection="1">
      <alignment vertical="top" wrapText="1"/>
      <protection locked="0"/>
    </xf>
    <xf numFmtId="0" fontId="28" fillId="26" borderId="12" xfId="0" applyFont="1" applyFill="1" applyBorder="1" applyAlignment="1" applyProtection="1">
      <alignment vertical="top" wrapText="1"/>
      <protection locked="0"/>
    </xf>
    <xf numFmtId="0" fontId="28" fillId="0" borderId="0" xfId="0" applyFont="1" applyAlignment="1" applyProtection="1">
      <alignment vertical="top" wrapText="1"/>
      <protection locked="0"/>
    </xf>
    <xf numFmtId="0" fontId="4" fillId="4" borderId="16" xfId="0" applyFont="1" applyFill="1" applyBorder="1" applyAlignment="1" applyProtection="1">
      <alignment vertical="top" wrapText="1"/>
      <protection locked="0"/>
    </xf>
    <xf numFmtId="0" fontId="1" fillId="0" borderId="14" xfId="0" applyFont="1" applyBorder="1" applyAlignment="1" applyProtection="1">
      <alignment vertical="top" wrapText="1"/>
      <protection locked="0"/>
    </xf>
    <xf numFmtId="0" fontId="28" fillId="0" borderId="14" xfId="0" applyFont="1" applyBorder="1" applyAlignment="1" applyProtection="1">
      <alignment vertical="top" wrapText="1"/>
      <protection locked="0"/>
    </xf>
    <xf numFmtId="165" fontId="1" fillId="0" borderId="14" xfId="0" applyNumberFormat="1" applyFont="1" applyBorder="1" applyAlignment="1" applyProtection="1">
      <alignment vertical="top" wrapText="1"/>
      <protection locked="0"/>
    </xf>
    <xf numFmtId="0" fontId="1" fillId="26" borderId="38" xfId="0" applyFont="1" applyFill="1" applyBorder="1" applyAlignment="1" applyProtection="1">
      <alignment vertical="top" wrapText="1"/>
      <protection locked="0"/>
    </xf>
    <xf numFmtId="165" fontId="1" fillId="26" borderId="38" xfId="0" applyNumberFormat="1" applyFont="1" applyFill="1" applyBorder="1" applyAlignment="1" applyProtection="1">
      <alignment vertical="top" wrapText="1"/>
      <protection locked="0"/>
    </xf>
    <xf numFmtId="0" fontId="1" fillId="0" borderId="1" xfId="0" applyFont="1" applyBorder="1" applyAlignment="1" applyProtection="1">
      <alignment horizontal="center" vertical="top" wrapText="1"/>
      <protection locked="0"/>
    </xf>
    <xf numFmtId="0" fontId="4" fillId="9" borderId="12" xfId="0" applyFont="1" applyFill="1" applyBorder="1" applyAlignment="1" applyProtection="1">
      <alignment vertical="top" wrapText="1"/>
      <protection locked="0"/>
    </xf>
    <xf numFmtId="0" fontId="4" fillId="2" borderId="37" xfId="0" applyFont="1" applyFill="1" applyBorder="1" applyAlignment="1" applyProtection="1">
      <alignment horizontal="left" vertical="top" wrapText="1"/>
      <protection locked="0"/>
    </xf>
    <xf numFmtId="0" fontId="21" fillId="10" borderId="15" xfId="0" applyFont="1" applyFill="1" applyBorder="1" applyAlignment="1" applyProtection="1">
      <alignment horizontal="center" vertical="top" wrapText="1"/>
      <protection locked="0"/>
    </xf>
    <xf numFmtId="0" fontId="21" fillId="10" borderId="1" xfId="0" applyFont="1" applyFill="1" applyBorder="1" applyAlignment="1" applyProtection="1">
      <alignment horizontal="center" vertical="top" wrapText="1"/>
      <protection locked="0"/>
    </xf>
    <xf numFmtId="0" fontId="28" fillId="26" borderId="1" xfId="0" applyFont="1" applyFill="1" applyBorder="1" applyAlignment="1">
      <alignment vertical="top" wrapText="1"/>
    </xf>
    <xf numFmtId="0" fontId="1" fillId="26" borderId="1" xfId="0" applyFont="1" applyFill="1" applyBorder="1" applyAlignment="1">
      <alignment vertical="top" wrapText="1"/>
    </xf>
    <xf numFmtId="0" fontId="16" fillId="26" borderId="1" xfId="0" applyFont="1" applyFill="1" applyBorder="1" applyAlignment="1">
      <alignment vertical="top" wrapText="1"/>
    </xf>
    <xf numFmtId="165" fontId="1" fillId="26" borderId="1" xfId="0" applyNumberFormat="1" applyFont="1" applyFill="1" applyBorder="1" applyAlignment="1">
      <alignment vertical="top" wrapText="1"/>
    </xf>
    <xf numFmtId="0" fontId="1" fillId="26" borderId="11" xfId="0" applyFont="1" applyFill="1" applyBorder="1" applyAlignment="1">
      <alignment vertical="top" wrapText="1"/>
    </xf>
    <xf numFmtId="165" fontId="16" fillId="26" borderId="1" xfId="0" applyNumberFormat="1" applyFont="1" applyFill="1" applyBorder="1" applyAlignment="1">
      <alignment vertical="top" wrapText="1"/>
    </xf>
    <xf numFmtId="0" fontId="48" fillId="0" borderId="1" xfId="0" applyFont="1" applyBorder="1" applyProtection="1">
      <protection locked="0"/>
    </xf>
    <xf numFmtId="0" fontId="0" fillId="0" borderId="0" xfId="0" applyProtection="1">
      <protection locked="0"/>
    </xf>
    <xf numFmtId="0" fontId="21" fillId="3" borderId="1" xfId="0" applyFont="1" applyFill="1" applyBorder="1" applyAlignment="1" applyProtection="1">
      <alignment horizontal="center"/>
      <protection locked="0"/>
    </xf>
    <xf numFmtId="0" fontId="1" fillId="0" borderId="0" xfId="0" applyFont="1" applyAlignment="1" applyProtection="1">
      <alignment horizontal="left"/>
      <protection locked="0"/>
    </xf>
    <xf numFmtId="0" fontId="1" fillId="0" borderId="0" xfId="0" applyFont="1" applyAlignment="1" applyProtection="1">
      <alignment horizontal="left" vertical="top"/>
      <protection locked="0"/>
    </xf>
    <xf numFmtId="0" fontId="9" fillId="2" borderId="1" xfId="0" applyFont="1" applyFill="1" applyBorder="1" applyAlignment="1" applyProtection="1">
      <alignment horizontal="center"/>
      <protection locked="0"/>
    </xf>
    <xf numFmtId="0" fontId="9" fillId="2" borderId="12" xfId="0" applyFont="1" applyFill="1" applyBorder="1" applyProtection="1">
      <protection locked="0"/>
    </xf>
    <xf numFmtId="0" fontId="9" fillId="2" borderId="13" xfId="0" applyFont="1" applyFill="1" applyBorder="1" applyProtection="1">
      <protection locked="0"/>
    </xf>
    <xf numFmtId="0" fontId="9" fillId="2" borderId="13" xfId="0" applyFont="1" applyFill="1" applyBorder="1" applyAlignment="1" applyProtection="1">
      <alignment vertical="center"/>
      <protection locked="0"/>
    </xf>
    <xf numFmtId="0" fontId="35" fillId="0" borderId="1" xfId="0" applyFont="1" applyBorder="1" applyAlignment="1" applyProtection="1">
      <alignment horizontal="center" wrapText="1"/>
      <protection locked="0"/>
    </xf>
    <xf numFmtId="0" fontId="35" fillId="0" borderId="13" xfId="0" applyFont="1" applyBorder="1" applyAlignment="1" applyProtection="1">
      <alignment horizontal="center" wrapText="1"/>
      <protection locked="0"/>
    </xf>
    <xf numFmtId="165" fontId="35" fillId="0" borderId="1" xfId="0" applyNumberFormat="1" applyFont="1" applyBorder="1" applyAlignment="1" applyProtection="1">
      <alignment horizontal="center" wrapText="1"/>
      <protection locked="0"/>
    </xf>
    <xf numFmtId="0" fontId="36" fillId="0" borderId="13" xfId="3" applyFont="1" applyBorder="1" applyAlignment="1" applyProtection="1">
      <alignment horizontal="center" wrapText="1"/>
      <protection locked="0"/>
    </xf>
    <xf numFmtId="0" fontId="37" fillId="0" borderId="13" xfId="0" applyFont="1" applyBorder="1" applyAlignment="1" applyProtection="1">
      <alignment horizontal="center"/>
      <protection locked="0"/>
    </xf>
    <xf numFmtId="0" fontId="37" fillId="0" borderId="13" xfId="0" applyFont="1" applyBorder="1" applyAlignment="1" applyProtection="1">
      <alignment horizontal="center" wrapText="1"/>
      <protection locked="0"/>
    </xf>
    <xf numFmtId="0" fontId="35" fillId="0" borderId="0" xfId="0" applyFont="1" applyAlignment="1" applyProtection="1">
      <alignment horizontal="center" wrapText="1"/>
      <protection locked="0"/>
    </xf>
    <xf numFmtId="0" fontId="36" fillId="0" borderId="0" xfId="3" applyFont="1" applyAlignment="1" applyProtection="1">
      <alignment horizontal="center" wrapText="1"/>
      <protection locked="0"/>
    </xf>
    <xf numFmtId="165" fontId="35" fillId="0" borderId="0" xfId="0" applyNumberFormat="1" applyFont="1" applyAlignment="1" applyProtection="1">
      <alignment horizontal="center" wrapText="1"/>
      <protection locked="0"/>
    </xf>
    <xf numFmtId="0" fontId="35" fillId="0" borderId="11" xfId="0" applyFont="1" applyBorder="1" applyAlignment="1" applyProtection="1">
      <alignment horizontal="center" wrapText="1"/>
      <protection locked="0"/>
    </xf>
    <xf numFmtId="165" fontId="42" fillId="2" borderId="1" xfId="0" applyNumberFormat="1" applyFont="1" applyFill="1" applyBorder="1" applyAlignment="1">
      <alignment vertical="top"/>
    </xf>
    <xf numFmtId="165" fontId="4" fillId="0" borderId="1" xfId="0" applyNumberFormat="1" applyFont="1" applyBorder="1" applyAlignment="1">
      <alignment vertical="top"/>
    </xf>
    <xf numFmtId="165" fontId="4" fillId="11" borderId="1" xfId="0" applyNumberFormat="1" applyFont="1" applyFill="1" applyBorder="1" applyAlignment="1">
      <alignment vertical="top" wrapText="1"/>
    </xf>
    <xf numFmtId="0" fontId="4" fillId="4" borderId="14" xfId="0" applyFont="1" applyFill="1" applyBorder="1" applyAlignment="1">
      <alignment vertical="top" wrapText="1"/>
    </xf>
    <xf numFmtId="0" fontId="4" fillId="4" borderId="15" xfId="0" applyFont="1" applyFill="1" applyBorder="1" applyAlignment="1">
      <alignment vertical="top" wrapText="1"/>
    </xf>
    <xf numFmtId="165" fontId="16" fillId="26" borderId="1" xfId="0" applyNumberFormat="1" applyFont="1" applyFill="1" applyBorder="1" applyAlignment="1">
      <alignment horizontal="right" vertical="top" wrapText="1"/>
    </xf>
    <xf numFmtId="165" fontId="16" fillId="26" borderId="23" xfId="0" applyNumberFormat="1" applyFont="1" applyFill="1" applyBorder="1" applyAlignment="1">
      <alignment vertical="top" wrapText="1"/>
    </xf>
    <xf numFmtId="165" fontId="16" fillId="26" borderId="15" xfId="0" applyNumberFormat="1" applyFont="1" applyFill="1" applyBorder="1" applyAlignment="1">
      <alignment vertical="top" wrapText="1"/>
    </xf>
    <xf numFmtId="165" fontId="16" fillId="26" borderId="11" xfId="0" applyNumberFormat="1" applyFont="1" applyFill="1" applyBorder="1" applyAlignment="1">
      <alignment vertical="top" wrapText="1"/>
    </xf>
    <xf numFmtId="165" fontId="16" fillId="26" borderId="10" xfId="0" applyNumberFormat="1" applyFont="1" applyFill="1" applyBorder="1" applyAlignment="1">
      <alignment vertical="top" wrapText="1"/>
    </xf>
    <xf numFmtId="165" fontId="16" fillId="26" borderId="38" xfId="0" applyNumberFormat="1" applyFont="1" applyFill="1" applyBorder="1" applyAlignment="1">
      <alignment vertical="top" wrapText="1"/>
    </xf>
    <xf numFmtId="165" fontId="16" fillId="26" borderId="25" xfId="0" applyNumberFormat="1" applyFont="1" applyFill="1" applyBorder="1" applyAlignment="1">
      <alignment vertical="top" wrapText="1"/>
    </xf>
    <xf numFmtId="165" fontId="16" fillId="9" borderId="13" xfId="0" applyNumberFormat="1" applyFont="1" applyFill="1" applyBorder="1" applyAlignment="1">
      <alignment horizontal="center" vertical="top" wrapText="1"/>
    </xf>
    <xf numFmtId="165" fontId="16" fillId="9" borderId="1" xfId="0" applyNumberFormat="1" applyFont="1" applyFill="1" applyBorder="1" applyAlignment="1">
      <alignment horizontal="center" vertical="top" wrapText="1"/>
    </xf>
    <xf numFmtId="0" fontId="4" fillId="21" borderId="0" xfId="0" applyFont="1" applyFill="1" applyAlignment="1" applyProtection="1">
      <alignment horizontal="left" vertical="top" wrapText="1"/>
      <protection locked="0"/>
    </xf>
    <xf numFmtId="0" fontId="1" fillId="21" borderId="1" xfId="0" applyFont="1" applyFill="1" applyBorder="1" applyAlignment="1" applyProtection="1">
      <alignment vertical="top" wrapText="1"/>
      <protection locked="0"/>
    </xf>
    <xf numFmtId="0" fontId="17" fillId="26" borderId="1" xfId="0" applyFont="1" applyFill="1" applyBorder="1" applyAlignment="1" applyProtection="1">
      <alignment vertical="top" wrapText="1"/>
      <protection locked="0"/>
    </xf>
    <xf numFmtId="0" fontId="17" fillId="0" borderId="0" xfId="0" applyFont="1" applyAlignment="1" applyProtection="1">
      <alignment vertical="top" wrapText="1"/>
      <protection locked="0"/>
    </xf>
    <xf numFmtId="0" fontId="51" fillId="0" borderId="1" xfId="0" applyFont="1" applyBorder="1" applyAlignment="1" applyProtection="1">
      <alignment wrapText="1"/>
      <protection locked="0"/>
    </xf>
    <xf numFmtId="0" fontId="16" fillId="26" borderId="13" xfId="0" applyFont="1" applyFill="1" applyBorder="1" applyAlignment="1" applyProtection="1">
      <alignment horizontal="left" vertical="top" wrapText="1"/>
      <protection locked="0"/>
    </xf>
    <xf numFmtId="165" fontId="16" fillId="0" borderId="0" xfId="0" applyNumberFormat="1" applyFont="1" applyAlignment="1" applyProtection="1">
      <alignment horizontal="center" vertical="top" wrapText="1"/>
      <protection locked="0"/>
    </xf>
    <xf numFmtId="165" fontId="1" fillId="0" borderId="1" xfId="0" applyNumberFormat="1" applyFont="1" applyBorder="1" applyAlignment="1" applyProtection="1">
      <alignment horizontal="right" vertical="top" wrapText="1"/>
      <protection locked="0"/>
    </xf>
    <xf numFmtId="0" fontId="1" fillId="9" borderId="1" xfId="0" applyFont="1" applyFill="1" applyBorder="1" applyAlignment="1" applyProtection="1">
      <alignment vertical="top" wrapText="1"/>
      <protection locked="0"/>
    </xf>
    <xf numFmtId="0" fontId="21" fillId="0" borderId="0" xfId="0" applyFont="1" applyAlignment="1" applyProtection="1">
      <alignment horizontal="center" vertical="center" wrapText="1"/>
      <protection locked="0"/>
    </xf>
    <xf numFmtId="0" fontId="9" fillId="5" borderId="1" xfId="0" applyFont="1" applyFill="1" applyBorder="1" applyAlignment="1">
      <alignment horizontal="center" vertical="top" wrapText="1"/>
    </xf>
    <xf numFmtId="0" fontId="4" fillId="5" borderId="1" xfId="0" applyFont="1" applyFill="1" applyBorder="1" applyAlignment="1">
      <alignment horizontal="center" vertical="top" wrapText="1"/>
    </xf>
    <xf numFmtId="0" fontId="9" fillId="5" borderId="1" xfId="0" applyFont="1" applyFill="1" applyBorder="1" applyAlignment="1">
      <alignment vertical="top" wrapText="1"/>
    </xf>
    <xf numFmtId="0" fontId="4" fillId="2" borderId="11" xfId="0" applyFont="1" applyFill="1" applyBorder="1" applyAlignment="1">
      <alignment vertical="top" wrapText="1"/>
    </xf>
    <xf numFmtId="0" fontId="4" fillId="2" borderId="12" xfId="0" applyFont="1" applyFill="1" applyBorder="1" applyAlignment="1">
      <alignment vertical="top" wrapText="1"/>
    </xf>
    <xf numFmtId="0" fontId="4" fillId="2" borderId="13" xfId="0" applyFont="1" applyFill="1" applyBorder="1" applyAlignment="1">
      <alignment vertical="top" wrapText="1"/>
    </xf>
    <xf numFmtId="0" fontId="4" fillId="2" borderId="1" xfId="0" applyFont="1" applyFill="1" applyBorder="1" applyAlignment="1">
      <alignment horizontal="left" vertical="top" wrapText="1"/>
    </xf>
    <xf numFmtId="0" fontId="4" fillId="2" borderId="12" xfId="0" applyFont="1" applyFill="1" applyBorder="1" applyAlignment="1">
      <alignment horizontal="left" vertical="top" wrapText="1"/>
    </xf>
    <xf numFmtId="0" fontId="21" fillId="10" borderId="1" xfId="0" applyFont="1" applyFill="1" applyBorder="1" applyAlignment="1">
      <alignment horizontal="center" vertical="center" wrapText="1"/>
    </xf>
    <xf numFmtId="0" fontId="4" fillId="9" borderId="1" xfId="0" applyFont="1" applyFill="1" applyBorder="1" applyAlignment="1">
      <alignment horizontal="left" vertical="top" wrapText="1"/>
    </xf>
    <xf numFmtId="0" fontId="4" fillId="27" borderId="1" xfId="0" applyFont="1" applyFill="1" applyBorder="1" applyAlignment="1">
      <alignment horizontal="left" vertical="top" wrapText="1"/>
    </xf>
    <xf numFmtId="0" fontId="9" fillId="5" borderId="1" xfId="0" applyFont="1" applyFill="1" applyBorder="1" applyAlignment="1">
      <alignment horizontal="center" vertical="top"/>
    </xf>
    <xf numFmtId="0" fontId="9" fillId="5" borderId="1" xfId="0" applyFont="1" applyFill="1" applyBorder="1" applyAlignment="1">
      <alignment horizontal="left" vertical="top" wrapText="1"/>
    </xf>
    <xf numFmtId="0" fontId="4" fillId="2" borderId="1" xfId="0" applyFont="1" applyFill="1" applyBorder="1" applyAlignment="1">
      <alignment vertical="top" wrapText="1"/>
    </xf>
    <xf numFmtId="165" fontId="35" fillId="26" borderId="1" xfId="0" applyNumberFormat="1" applyFont="1" applyFill="1" applyBorder="1" applyAlignment="1">
      <alignment horizontal="center" wrapText="1"/>
    </xf>
    <xf numFmtId="0" fontId="59" fillId="0" borderId="0" xfId="0" applyFont="1" applyAlignment="1" applyProtection="1">
      <alignment horizontal="left" vertical="center"/>
      <protection locked="0"/>
    </xf>
    <xf numFmtId="0" fontId="59" fillId="21" borderId="0" xfId="0" applyFont="1" applyFill="1" applyAlignment="1" applyProtection="1">
      <alignment horizontal="left" vertical="center"/>
      <protection locked="0"/>
    </xf>
    <xf numFmtId="0" fontId="86" fillId="0" borderId="0" xfId="0" applyFont="1" applyProtection="1">
      <protection locked="0"/>
    </xf>
    <xf numFmtId="0" fontId="54" fillId="0" borderId="0" xfId="0" applyFont="1" applyProtection="1">
      <protection locked="0"/>
    </xf>
    <xf numFmtId="0" fontId="54" fillId="0" borderId="0" xfId="0" applyFont="1" applyAlignment="1" applyProtection="1">
      <alignment vertical="center"/>
      <protection locked="0"/>
    </xf>
    <xf numFmtId="0" fontId="87" fillId="0" borderId="1" xfId="0" applyFont="1" applyBorder="1" applyAlignment="1">
      <alignment vertical="top" wrapText="1"/>
    </xf>
    <xf numFmtId="0" fontId="1" fillId="0" borderId="15" xfId="0" applyFont="1" applyBorder="1" applyAlignment="1">
      <alignment vertical="top" wrapText="1"/>
    </xf>
    <xf numFmtId="0" fontId="1" fillId="0" borderId="28" xfId="0" applyFont="1" applyBorder="1" applyAlignment="1">
      <alignment vertical="top" wrapText="1"/>
    </xf>
    <xf numFmtId="0" fontId="87" fillId="0" borderId="28" xfId="0" applyFont="1" applyBorder="1" applyAlignment="1">
      <alignment vertical="top" wrapText="1"/>
    </xf>
    <xf numFmtId="0" fontId="87" fillId="0" borderId="35" xfId="0" applyFont="1" applyBorder="1" applyAlignment="1">
      <alignment vertical="top" wrapText="1"/>
    </xf>
    <xf numFmtId="0" fontId="87" fillId="0" borderId="30" xfId="0" applyFont="1" applyBorder="1" applyAlignment="1">
      <alignment vertical="top" wrapText="1"/>
    </xf>
    <xf numFmtId="0" fontId="21" fillId="10" borderId="47" xfId="0" applyFont="1" applyFill="1" applyBorder="1" applyAlignment="1">
      <alignment vertical="top" wrapText="1"/>
    </xf>
    <xf numFmtId="0" fontId="21" fillId="10" borderId="48" xfId="0" applyFont="1" applyFill="1" applyBorder="1" applyAlignment="1">
      <alignment vertical="top" wrapText="1"/>
    </xf>
    <xf numFmtId="0" fontId="21" fillId="10" borderId="49" xfId="0" applyFont="1" applyFill="1" applyBorder="1" applyAlignment="1">
      <alignment vertical="top" wrapText="1"/>
    </xf>
    <xf numFmtId="0" fontId="4" fillId="4" borderId="15" xfId="0" applyFont="1" applyFill="1" applyBorder="1" applyAlignment="1" applyProtection="1">
      <alignment horizontal="center" vertical="top" wrapText="1"/>
      <protection locked="0"/>
    </xf>
    <xf numFmtId="0" fontId="54" fillId="0" borderId="0" xfId="0" applyFont="1" applyAlignment="1" applyProtection="1">
      <alignment vertical="center" wrapText="1"/>
      <protection locked="0"/>
    </xf>
    <xf numFmtId="0" fontId="86" fillId="0" borderId="0" xfId="0" applyFont="1" applyAlignment="1" applyProtection="1">
      <alignment wrapText="1"/>
      <protection locked="0"/>
    </xf>
    <xf numFmtId="0" fontId="57" fillId="2" borderId="63" xfId="0" applyFont="1" applyFill="1" applyBorder="1" applyAlignment="1" applyProtection="1">
      <alignment horizontal="left" vertical="center"/>
      <protection locked="0"/>
    </xf>
    <xf numFmtId="0" fontId="60" fillId="2" borderId="63" xfId="0" applyFont="1" applyFill="1" applyBorder="1" applyAlignment="1" applyProtection="1">
      <alignment horizontal="left" vertical="center" wrapText="1"/>
      <protection locked="0"/>
    </xf>
    <xf numFmtId="0" fontId="54" fillId="0" borderId="3" xfId="0" applyFont="1" applyBorder="1" applyProtection="1">
      <protection locked="0"/>
    </xf>
    <xf numFmtId="0" fontId="54" fillId="0" borderId="7" xfId="0" applyFont="1" applyBorder="1" applyProtection="1">
      <protection locked="0"/>
    </xf>
    <xf numFmtId="0" fontId="54" fillId="0" borderId="3" xfId="0" applyFont="1" applyBorder="1"/>
    <xf numFmtId="0" fontId="54" fillId="0" borderId="0" xfId="0" applyFont="1"/>
    <xf numFmtId="0" fontId="54" fillId="0" borderId="7" xfId="0" applyFont="1" applyBorder="1"/>
    <xf numFmtId="0" fontId="2" fillId="7" borderId="27" xfId="0" applyFont="1" applyFill="1" applyBorder="1" applyAlignment="1">
      <alignment vertical="top" wrapText="1"/>
    </xf>
    <xf numFmtId="0" fontId="68" fillId="6" borderId="69" xfId="1" applyFont="1" applyFill="1" applyBorder="1" applyAlignment="1" applyProtection="1">
      <alignment vertical="center" wrapText="1"/>
    </xf>
    <xf numFmtId="0" fontId="68" fillId="18" borderId="69" xfId="1" applyFont="1" applyFill="1" applyBorder="1" applyAlignment="1" applyProtection="1">
      <alignment vertical="center" wrapText="1"/>
    </xf>
    <xf numFmtId="0" fontId="2" fillId="23" borderId="69" xfId="1" applyFont="1" applyFill="1" applyBorder="1" applyAlignment="1" applyProtection="1">
      <alignment vertical="center" wrapText="1"/>
    </xf>
    <xf numFmtId="0" fontId="68" fillId="24" borderId="69" xfId="1" applyFont="1" applyFill="1" applyBorder="1" applyAlignment="1" applyProtection="1">
      <alignment vertical="center" wrapText="1"/>
    </xf>
    <xf numFmtId="0" fontId="68" fillId="25" borderId="69" xfId="1" applyFont="1" applyFill="1" applyBorder="1" applyAlignment="1" applyProtection="1">
      <alignment vertical="center" wrapText="1"/>
    </xf>
    <xf numFmtId="0" fontId="68" fillId="17" borderId="69" xfId="1" applyFont="1" applyFill="1" applyBorder="1" applyAlignment="1" applyProtection="1">
      <alignment vertical="center" wrapText="1"/>
    </xf>
    <xf numFmtId="0" fontId="2" fillId="28" borderId="71" xfId="1" applyFont="1" applyFill="1" applyBorder="1" applyAlignment="1" applyProtection="1">
      <alignment vertical="center" wrapText="1"/>
    </xf>
    <xf numFmtId="0" fontId="20" fillId="0" borderId="15" xfId="0" applyFont="1" applyBorder="1" applyAlignment="1" applyProtection="1">
      <alignment vertical="top" wrapText="1"/>
      <protection locked="0"/>
    </xf>
    <xf numFmtId="0" fontId="20" fillId="2" borderId="15" xfId="0" applyFont="1" applyFill="1" applyBorder="1" applyAlignment="1" applyProtection="1">
      <alignment vertical="top" wrapText="1"/>
      <protection locked="0"/>
    </xf>
    <xf numFmtId="17" fontId="20" fillId="0" borderId="23" xfId="0" applyNumberFormat="1" applyFont="1" applyBorder="1" applyAlignment="1" applyProtection="1">
      <alignment vertical="top" wrapText="1"/>
      <protection locked="0"/>
    </xf>
    <xf numFmtId="165" fontId="20" fillId="0" borderId="15" xfId="0" applyNumberFormat="1" applyFont="1" applyBorder="1" applyAlignment="1" applyProtection="1">
      <alignment vertical="top" wrapText="1"/>
      <protection locked="0"/>
    </xf>
    <xf numFmtId="165" fontId="26" fillId="26" borderId="15" xfId="0" applyNumberFormat="1" applyFont="1" applyFill="1" applyBorder="1" applyAlignment="1">
      <alignment vertical="top" wrapText="1"/>
    </xf>
    <xf numFmtId="0" fontId="95" fillId="0" borderId="1" xfId="0" applyFont="1" applyBorder="1" applyAlignment="1" applyProtection="1">
      <alignment horizontal="center" wrapText="1"/>
      <protection locked="0"/>
    </xf>
    <xf numFmtId="165" fontId="26" fillId="26" borderId="23" xfId="0" applyNumberFormat="1" applyFont="1" applyFill="1" applyBorder="1" applyAlignment="1">
      <alignment vertical="top" wrapText="1"/>
    </xf>
    <xf numFmtId="0" fontId="1" fillId="0" borderId="0" xfId="0" applyFont="1" applyAlignment="1" applyProtection="1">
      <alignment horizontal="right"/>
      <protection locked="0"/>
    </xf>
    <xf numFmtId="0" fontId="44" fillId="0" borderId="0" xfId="0" applyFont="1" applyProtection="1">
      <protection locked="0"/>
    </xf>
    <xf numFmtId="0" fontId="46" fillId="21" borderId="0" xfId="0" applyFont="1" applyFill="1" applyAlignment="1" applyProtection="1">
      <alignment horizontal="left"/>
      <protection locked="0"/>
    </xf>
    <xf numFmtId="0" fontId="29" fillId="21" borderId="0" xfId="0" applyFont="1" applyFill="1" applyProtection="1">
      <protection locked="0"/>
    </xf>
    <xf numFmtId="0" fontId="46" fillId="21" borderId="0" xfId="0" applyFont="1" applyFill="1" applyProtection="1">
      <protection locked="0"/>
    </xf>
    <xf numFmtId="0" fontId="9" fillId="21" borderId="0" xfId="0" applyFont="1" applyFill="1" applyProtection="1">
      <protection locked="0"/>
    </xf>
    <xf numFmtId="0" fontId="24" fillId="21" borderId="0" xfId="0" applyFont="1" applyFill="1" applyAlignment="1" applyProtection="1">
      <alignment horizontal="left" wrapText="1"/>
      <protection locked="0"/>
    </xf>
    <xf numFmtId="0" fontId="76" fillId="26" borderId="1" xfId="0" applyFont="1" applyFill="1" applyBorder="1" applyAlignment="1" applyProtection="1">
      <alignment horizontal="left" vertical="center"/>
      <protection locked="0"/>
    </xf>
    <xf numFmtId="0" fontId="42" fillId="2" borderId="11" xfId="0" applyFont="1" applyFill="1" applyBorder="1" applyAlignment="1" applyProtection="1">
      <alignment horizontal="left" vertical="center"/>
      <protection locked="0"/>
    </xf>
    <xf numFmtId="0" fontId="42" fillId="2" borderId="1" xfId="0" applyFont="1" applyFill="1" applyBorder="1" applyAlignment="1" applyProtection="1">
      <alignment horizontal="left" vertical="center"/>
      <protection locked="0"/>
    </xf>
    <xf numFmtId="0" fontId="42" fillId="2" borderId="12" xfId="0" applyFont="1" applyFill="1" applyBorder="1" applyAlignment="1" applyProtection="1">
      <alignment horizontal="left" vertical="center"/>
      <protection locked="0"/>
    </xf>
    <xf numFmtId="0" fontId="45" fillId="0" borderId="13" xfId="0" applyFont="1" applyBorder="1" applyAlignment="1" applyProtection="1">
      <alignment horizontal="left" wrapText="1"/>
      <protection locked="0"/>
    </xf>
    <xf numFmtId="165" fontId="1" fillId="0" borderId="1" xfId="0" applyNumberFormat="1" applyFont="1" applyBorder="1" applyProtection="1">
      <protection locked="0"/>
    </xf>
    <xf numFmtId="0" fontId="30" fillId="0" borderId="1" xfId="0" applyFont="1" applyBorder="1" applyProtection="1">
      <protection locked="0"/>
    </xf>
    <xf numFmtId="0" fontId="43" fillId="0" borderId="13" xfId="3" applyFont="1" applyBorder="1" applyAlignment="1" applyProtection="1">
      <alignment wrapText="1"/>
      <protection locked="0"/>
    </xf>
    <xf numFmtId="0" fontId="24" fillId="21" borderId="1" xfId="0" applyFont="1" applyFill="1" applyBorder="1" applyAlignment="1" applyProtection="1">
      <alignment horizontal="left" wrapText="1"/>
      <protection locked="0"/>
    </xf>
    <xf numFmtId="0" fontId="24" fillId="0" borderId="13" xfId="0" applyFont="1" applyBorder="1" applyAlignment="1" applyProtection="1">
      <alignment horizontal="left"/>
      <protection locked="0"/>
    </xf>
    <xf numFmtId="0" fontId="24" fillId="0" borderId="13" xfId="0" applyFont="1" applyBorder="1" applyAlignment="1" applyProtection="1">
      <alignment horizontal="left" wrapText="1"/>
      <protection locked="0"/>
    </xf>
    <xf numFmtId="0" fontId="1" fillId="0" borderId="14" xfId="0" applyFont="1" applyBorder="1" applyProtection="1">
      <protection locked="0"/>
    </xf>
    <xf numFmtId="0" fontId="78" fillId="0" borderId="0" xfId="3" applyFont="1" applyAlignment="1" applyProtection="1">
      <alignment wrapText="1"/>
      <protection locked="0"/>
    </xf>
    <xf numFmtId="165" fontId="45" fillId="21" borderId="0" xfId="0" applyNumberFormat="1" applyFont="1" applyFill="1" applyAlignment="1" applyProtection="1">
      <alignment horizontal="right" wrapText="1"/>
      <protection locked="0"/>
    </xf>
    <xf numFmtId="0" fontId="1" fillId="21" borderId="0" xfId="0" applyFont="1" applyFill="1" applyProtection="1">
      <protection locked="0"/>
    </xf>
    <xf numFmtId="165" fontId="27" fillId="26" borderId="1" xfId="0" applyNumberFormat="1" applyFont="1" applyFill="1" applyBorder="1"/>
    <xf numFmtId="165" fontId="45" fillId="26" borderId="1" xfId="0" applyNumberFormat="1" applyFont="1" applyFill="1" applyBorder="1" applyAlignment="1">
      <alignment horizontal="right" wrapText="1"/>
    </xf>
    <xf numFmtId="165" fontId="45" fillId="26" borderId="14" xfId="0" applyNumberFormat="1" applyFont="1" applyFill="1" applyBorder="1" applyAlignment="1">
      <alignment horizontal="right" wrapText="1"/>
    </xf>
    <xf numFmtId="0" fontId="4" fillId="4" borderId="14" xfId="0" applyFont="1" applyFill="1" applyBorder="1" applyAlignment="1">
      <alignment horizontal="center" vertical="top" wrapText="1"/>
    </xf>
    <xf numFmtId="0" fontId="42" fillId="2" borderId="11" xfId="0" applyFont="1" applyFill="1" applyBorder="1" applyAlignment="1" applyProtection="1">
      <alignment vertical="top"/>
      <protection locked="0"/>
    </xf>
    <xf numFmtId="0" fontId="4" fillId="11" borderId="11" xfId="0" applyFont="1" applyFill="1" applyBorder="1" applyAlignment="1" applyProtection="1">
      <alignment vertical="top" wrapText="1"/>
      <protection locked="0"/>
    </xf>
    <xf numFmtId="0" fontId="4" fillId="11" borderId="12" xfId="0" applyFont="1" applyFill="1" applyBorder="1" applyAlignment="1" applyProtection="1">
      <alignment vertical="top" wrapText="1"/>
      <protection locked="0"/>
    </xf>
    <xf numFmtId="0" fontId="45" fillId="0" borderId="11" xfId="0" applyFont="1" applyBorder="1" applyAlignment="1" applyProtection="1">
      <alignment horizontal="center" wrapText="1"/>
      <protection locked="0"/>
    </xf>
    <xf numFmtId="0" fontId="4" fillId="11" borderId="1" xfId="0" applyFont="1" applyFill="1" applyBorder="1" applyAlignment="1" applyProtection="1">
      <alignment vertical="top" wrapText="1"/>
      <protection locked="0"/>
    </xf>
    <xf numFmtId="0" fontId="1" fillId="0" borderId="11" xfId="0" applyFont="1" applyBorder="1" applyProtection="1">
      <protection locked="0"/>
    </xf>
    <xf numFmtId="165" fontId="28" fillId="0" borderId="13" xfId="4" applyNumberFormat="1" applyFont="1" applyBorder="1" applyAlignment="1" applyProtection="1">
      <alignment vertical="top"/>
      <protection locked="0"/>
    </xf>
    <xf numFmtId="0" fontId="24" fillId="21" borderId="0" xfId="0" applyFont="1" applyFill="1" applyProtection="1">
      <protection locked="0"/>
    </xf>
    <xf numFmtId="0" fontId="46" fillId="21" borderId="0" xfId="1" applyFont="1" applyFill="1" applyBorder="1" applyProtection="1">
      <protection locked="0"/>
    </xf>
    <xf numFmtId="0" fontId="24" fillId="21" borderId="0" xfId="0" applyFont="1" applyFill="1"/>
    <xf numFmtId="0" fontId="46" fillId="21" borderId="17" xfId="1" applyFont="1" applyFill="1" applyBorder="1" applyAlignment="1" applyProtection="1">
      <protection locked="0"/>
    </xf>
    <xf numFmtId="165" fontId="45" fillId="26" borderId="1" xfId="0" applyNumberFormat="1" applyFont="1" applyFill="1" applyBorder="1" applyAlignment="1">
      <alignment horizontal="center" wrapText="1"/>
    </xf>
    <xf numFmtId="165" fontId="1" fillId="26" borderId="1" xfId="0" applyNumberFormat="1" applyFont="1" applyFill="1" applyBorder="1" applyAlignment="1">
      <alignment vertical="top"/>
    </xf>
    <xf numFmtId="165" fontId="28" fillId="26" borderId="1" xfId="0" applyNumberFormat="1" applyFont="1" applyFill="1" applyBorder="1" applyAlignment="1">
      <alignment vertical="top"/>
    </xf>
    <xf numFmtId="165" fontId="9" fillId="9" borderId="1" xfId="0" applyNumberFormat="1" applyFont="1" applyFill="1" applyBorder="1" applyAlignment="1">
      <alignment vertical="top"/>
    </xf>
    <xf numFmtId="165" fontId="4" fillId="11" borderId="15" xfId="0" applyNumberFormat="1" applyFont="1" applyFill="1" applyBorder="1" applyAlignment="1">
      <alignment vertical="top" wrapText="1"/>
    </xf>
    <xf numFmtId="165" fontId="9" fillId="9" borderId="38" xfId="0" applyNumberFormat="1" applyFont="1" applyFill="1" applyBorder="1"/>
    <xf numFmtId="165" fontId="1" fillId="11" borderId="1" xfId="0" applyNumberFormat="1" applyFont="1" applyFill="1" applyBorder="1"/>
    <xf numFmtId="165" fontId="1" fillId="26" borderId="1" xfId="0" applyNumberFormat="1" applyFont="1" applyFill="1" applyBorder="1"/>
    <xf numFmtId="0" fontId="4" fillId="19" borderId="1" xfId="0" applyFont="1" applyFill="1" applyBorder="1" applyAlignment="1" applyProtection="1">
      <alignment vertical="top" wrapText="1"/>
      <protection locked="0"/>
    </xf>
    <xf numFmtId="0" fontId="24" fillId="0" borderId="1" xfId="0" applyFont="1" applyBorder="1" applyProtection="1">
      <protection locked="0"/>
    </xf>
    <xf numFmtId="0" fontId="21" fillId="3" borderId="0" xfId="0" applyFont="1" applyFill="1" applyAlignment="1" applyProtection="1">
      <alignment horizontal="center"/>
      <protection locked="0"/>
    </xf>
    <xf numFmtId="0" fontId="45" fillId="0" borderId="1" xfId="0" applyFont="1" applyBorder="1" applyAlignment="1">
      <alignment horizontal="left" vertical="center" readingOrder="1"/>
    </xf>
    <xf numFmtId="0" fontId="16" fillId="26" borderId="0" xfId="0" applyFont="1" applyFill="1" applyAlignment="1">
      <alignment vertical="top" wrapText="1"/>
    </xf>
    <xf numFmtId="0" fontId="16" fillId="2" borderId="1" xfId="0" applyFont="1" applyFill="1" applyBorder="1" applyAlignment="1">
      <alignment vertical="top" wrapText="1"/>
    </xf>
    <xf numFmtId="165" fontId="16" fillId="26" borderId="42" xfId="0" applyNumberFormat="1" applyFont="1" applyFill="1" applyBorder="1" applyAlignment="1">
      <alignment vertical="top" wrapText="1"/>
    </xf>
    <xf numFmtId="0" fontId="100" fillId="21" borderId="0" xfId="0" applyFont="1" applyFill="1" applyAlignment="1" applyProtection="1">
      <alignment vertical="top" wrapText="1"/>
      <protection locked="0"/>
    </xf>
    <xf numFmtId="0" fontId="101" fillId="21" borderId="0" xfId="0" applyFont="1" applyFill="1" applyAlignment="1" applyProtection="1">
      <alignment horizontal="left" vertical="top" wrapText="1"/>
      <protection locked="0"/>
    </xf>
    <xf numFmtId="0" fontId="1" fillId="0" borderId="1" xfId="0" applyFont="1" applyBorder="1"/>
    <xf numFmtId="0" fontId="28" fillId="0" borderId="11" xfId="0" applyFont="1" applyBorder="1" applyAlignment="1" applyProtection="1">
      <alignment vertical="top"/>
      <protection locked="0"/>
    </xf>
    <xf numFmtId="165" fontId="45" fillId="0" borderId="13" xfId="0" applyNumberFormat="1" applyFont="1" applyBorder="1" applyAlignment="1" applyProtection="1">
      <alignment horizontal="center" wrapText="1"/>
      <protection locked="0"/>
    </xf>
    <xf numFmtId="0" fontId="9" fillId="22" borderId="1" xfId="0" applyFont="1" applyFill="1" applyBorder="1" applyAlignment="1" applyProtection="1">
      <alignment vertical="center"/>
      <protection locked="0"/>
    </xf>
    <xf numFmtId="0" fontId="9" fillId="22" borderId="1" xfId="0" applyFont="1" applyFill="1" applyBorder="1" applyAlignment="1">
      <alignment vertical="center"/>
    </xf>
    <xf numFmtId="0" fontId="1" fillId="11" borderId="1" xfId="0" applyFont="1" applyFill="1" applyBorder="1" applyProtection="1">
      <protection locked="0"/>
    </xf>
    <xf numFmtId="0" fontId="1" fillId="11" borderId="1" xfId="0" applyFont="1" applyFill="1" applyBorder="1"/>
    <xf numFmtId="0" fontId="42" fillId="9" borderId="12" xfId="0" applyFont="1" applyFill="1" applyBorder="1" applyAlignment="1" applyProtection="1">
      <alignment vertical="top"/>
      <protection locked="0"/>
    </xf>
    <xf numFmtId="0" fontId="24" fillId="9" borderId="1" xfId="0" applyFont="1" applyFill="1" applyBorder="1"/>
    <xf numFmtId="0" fontId="4" fillId="4" borderId="19" xfId="0" applyFont="1" applyFill="1" applyBorder="1" applyAlignment="1">
      <alignment vertical="top" wrapText="1"/>
    </xf>
    <xf numFmtId="0" fontId="4" fillId="4" borderId="25" xfId="0" applyFont="1" applyFill="1" applyBorder="1" applyAlignment="1">
      <alignment vertical="top" wrapText="1"/>
    </xf>
    <xf numFmtId="0" fontId="1" fillId="21" borderId="0" xfId="0" applyFont="1" applyFill="1" applyAlignment="1">
      <alignment wrapText="1"/>
    </xf>
    <xf numFmtId="0" fontId="25" fillId="21" borderId="0" xfId="0" applyFont="1" applyFill="1"/>
    <xf numFmtId="0" fontId="23" fillId="21" borderId="0" xfId="0" applyFont="1" applyFill="1" applyAlignment="1">
      <alignment wrapText="1"/>
    </xf>
    <xf numFmtId="0" fontId="25" fillId="10" borderId="11" xfId="0" applyFont="1" applyFill="1" applyBorder="1" applyAlignment="1">
      <alignment vertical="top" wrapText="1"/>
    </xf>
    <xf numFmtId="165" fontId="24" fillId="0" borderId="11" xfId="0" applyNumberFormat="1" applyFont="1" applyBorder="1" applyAlignment="1">
      <alignment horizontal="center" vertical="top" wrapText="1"/>
    </xf>
    <xf numFmtId="0" fontId="25" fillId="21" borderId="0" xfId="0" applyFont="1" applyFill="1" applyAlignment="1">
      <alignment vertical="top" wrapText="1"/>
    </xf>
    <xf numFmtId="0" fontId="25" fillId="21" borderId="16" xfId="0" applyFont="1" applyFill="1" applyBorder="1" applyAlignment="1">
      <alignment vertical="top" wrapText="1"/>
    </xf>
    <xf numFmtId="9" fontId="24" fillId="21" borderId="16" xfId="2" applyFont="1" applyFill="1" applyBorder="1" applyAlignment="1">
      <alignment horizontal="center" vertical="top" wrapText="1"/>
    </xf>
    <xf numFmtId="0" fontId="24" fillId="21" borderId="16" xfId="0" applyFont="1" applyFill="1" applyBorder="1" applyAlignment="1">
      <alignment vertical="top" wrapText="1"/>
    </xf>
    <xf numFmtId="165" fontId="27" fillId="9" borderId="11" xfId="0" applyNumberFormat="1" applyFont="1" applyFill="1" applyBorder="1" applyAlignment="1">
      <alignment horizontal="center" vertical="top" wrapText="1"/>
    </xf>
    <xf numFmtId="0" fontId="27" fillId="21" borderId="0" xfId="0" applyFont="1" applyFill="1" applyAlignment="1">
      <alignment vertical="top" wrapText="1"/>
    </xf>
    <xf numFmtId="9" fontId="27" fillId="21" borderId="0" xfId="2" applyFont="1" applyFill="1" applyBorder="1" applyAlignment="1">
      <alignment vertical="top" wrapText="1"/>
    </xf>
    <xf numFmtId="165" fontId="27" fillId="21" borderId="0" xfId="0" applyNumberFormat="1" applyFont="1" applyFill="1" applyAlignment="1">
      <alignment vertical="top" wrapText="1"/>
    </xf>
    <xf numFmtId="0" fontId="9" fillId="21" borderId="0" xfId="0" applyFont="1" applyFill="1" applyAlignment="1" applyProtection="1">
      <alignment vertical="center"/>
      <protection locked="0"/>
    </xf>
    <xf numFmtId="0" fontId="9" fillId="21" borderId="0" xfId="0" applyFont="1" applyFill="1" applyAlignment="1">
      <alignment vertical="center"/>
    </xf>
    <xf numFmtId="0" fontId="24" fillId="25" borderId="0" xfId="0" applyFont="1" applyFill="1" applyAlignment="1">
      <alignment vertical="top" wrapText="1"/>
    </xf>
    <xf numFmtId="0" fontId="27" fillId="25" borderId="0" xfId="0" applyFont="1" applyFill="1" applyAlignment="1">
      <alignment vertical="top" wrapText="1"/>
    </xf>
    <xf numFmtId="9" fontId="27" fillId="25" borderId="0" xfId="2" applyFont="1" applyFill="1" applyBorder="1" applyAlignment="1">
      <alignment vertical="top" wrapText="1"/>
    </xf>
    <xf numFmtId="165" fontId="27" fillId="25" borderId="0" xfId="0" applyNumberFormat="1" applyFont="1" applyFill="1" applyAlignment="1">
      <alignment vertical="top" wrapText="1"/>
    </xf>
    <xf numFmtId="165" fontId="24" fillId="25" borderId="0" xfId="0" applyNumberFormat="1" applyFont="1" applyFill="1" applyAlignment="1">
      <alignment vertical="top" wrapText="1"/>
    </xf>
    <xf numFmtId="0" fontId="103" fillId="21" borderId="0" xfId="0" applyFont="1" applyFill="1" applyAlignment="1">
      <alignment vertical="top" wrapText="1"/>
    </xf>
    <xf numFmtId="165" fontId="103" fillId="21" borderId="0" xfId="0" applyNumberFormat="1" applyFont="1" applyFill="1" applyAlignment="1">
      <alignment vertical="top" wrapText="1"/>
    </xf>
    <xf numFmtId="9" fontId="103" fillId="21" borderId="0" xfId="2" applyFont="1" applyFill="1" applyBorder="1" applyAlignment="1">
      <alignment vertical="top" wrapText="1"/>
    </xf>
    <xf numFmtId="9" fontId="27" fillId="2" borderId="1" xfId="2" applyFont="1" applyFill="1" applyBorder="1" applyAlignment="1">
      <alignment horizontal="center" vertical="top" wrapText="1"/>
    </xf>
    <xf numFmtId="0" fontId="1" fillId="0" borderId="15" xfId="0" applyFont="1" applyBorder="1" applyProtection="1">
      <protection locked="0"/>
    </xf>
    <xf numFmtId="0" fontId="24" fillId="0" borderId="15" xfId="0" applyFont="1" applyBorder="1" applyAlignment="1" applyProtection="1">
      <alignment horizontal="center" wrapText="1"/>
      <protection locked="0"/>
    </xf>
    <xf numFmtId="0" fontId="78" fillId="0" borderId="15" xfId="3" applyFont="1" applyBorder="1" applyAlignment="1" applyProtection="1">
      <alignment wrapText="1"/>
      <protection locked="0"/>
    </xf>
    <xf numFmtId="0" fontId="24" fillId="21" borderId="0" xfId="0" applyFont="1" applyFill="1" applyAlignment="1">
      <alignment vertical="top" wrapText="1"/>
    </xf>
    <xf numFmtId="9" fontId="25" fillId="21" borderId="0" xfId="2" applyFont="1" applyFill="1" applyBorder="1" applyAlignment="1">
      <alignment vertical="top" wrapText="1"/>
    </xf>
    <xf numFmtId="165" fontId="25" fillId="21" borderId="0" xfId="0" applyNumberFormat="1" applyFont="1" applyFill="1" applyAlignment="1">
      <alignment vertical="top" wrapText="1"/>
    </xf>
    <xf numFmtId="165" fontId="103" fillId="0" borderId="0" xfId="0" applyNumberFormat="1" applyFont="1" applyAlignment="1">
      <alignment vertical="top" wrapText="1"/>
    </xf>
    <xf numFmtId="0" fontId="103" fillId="0" borderId="0" xfId="0" applyFont="1" applyAlignment="1">
      <alignment vertical="top" wrapText="1"/>
    </xf>
    <xf numFmtId="0" fontId="45" fillId="0" borderId="11" xfId="0" applyFont="1" applyBorder="1" applyAlignment="1" applyProtection="1">
      <alignment horizontal="center" wrapText="1"/>
      <protection locked="0"/>
    </xf>
    <xf numFmtId="0" fontId="36" fillId="0" borderId="1" xfId="0" applyFont="1" applyBorder="1" applyAlignment="1" applyProtection="1">
      <alignment horizontal="center" wrapText="1"/>
      <protection locked="0"/>
    </xf>
    <xf numFmtId="0" fontId="35" fillId="0" borderId="13" xfId="0" applyFont="1" applyBorder="1" applyAlignment="1" applyProtection="1">
      <alignment horizontal="left" wrapText="1"/>
      <protection locked="0"/>
    </xf>
    <xf numFmtId="0" fontId="36" fillId="0" borderId="13" xfId="3" applyFont="1" applyBorder="1" applyAlignment="1" applyProtection="1">
      <alignment horizontal="left" wrapText="1"/>
      <protection locked="0"/>
    </xf>
    <xf numFmtId="0" fontId="37" fillId="0" borderId="13" xfId="0" applyFont="1" applyBorder="1" applyAlignment="1" applyProtection="1">
      <alignment horizontal="left"/>
      <protection locked="0"/>
    </xf>
    <xf numFmtId="0" fontId="37" fillId="0" borderId="13" xfId="0" applyFont="1" applyBorder="1" applyAlignment="1" applyProtection="1">
      <alignment horizontal="left" wrapText="1"/>
      <protection locked="0"/>
    </xf>
    <xf numFmtId="0" fontId="24" fillId="0" borderId="1" xfId="0" applyFont="1" applyBorder="1" applyAlignment="1" applyProtection="1">
      <alignment horizontal="center"/>
      <protection locked="0"/>
    </xf>
    <xf numFmtId="0" fontId="43" fillId="0" borderId="1" xfId="0" applyFont="1" applyBorder="1" applyAlignment="1" applyProtection="1">
      <alignment horizontal="center"/>
      <protection locked="0"/>
    </xf>
    <xf numFmtId="0" fontId="45" fillId="0" borderId="1" xfId="0" applyFont="1" applyBorder="1" applyAlignment="1" applyProtection="1">
      <alignment horizontal="center" vertical="center" wrapText="1"/>
      <protection locked="0"/>
    </xf>
    <xf numFmtId="0" fontId="43" fillId="0" borderId="1" xfId="0" applyFont="1" applyBorder="1" applyAlignment="1" applyProtection="1">
      <alignment horizontal="center" vertical="center"/>
      <protection locked="0"/>
    </xf>
    <xf numFmtId="0" fontId="106" fillId="20" borderId="79" xfId="0" applyFont="1" applyFill="1" applyBorder="1" applyAlignment="1" applyProtection="1">
      <alignment horizontal="center" vertical="center" wrapText="1"/>
      <protection locked="0"/>
    </xf>
    <xf numFmtId="0" fontId="24" fillId="0" borderId="1" xfId="0" applyFont="1" applyBorder="1" applyAlignment="1" applyProtection="1">
      <alignment horizontal="left" vertical="center" wrapText="1" indent="2"/>
      <protection locked="0"/>
    </xf>
    <xf numFmtId="0" fontId="28" fillId="0" borderId="1" xfId="0" applyFont="1" applyBorder="1" applyAlignment="1" applyProtection="1">
      <alignment horizontal="center"/>
      <protection locked="0"/>
    </xf>
    <xf numFmtId="0" fontId="43" fillId="0" borderId="79" xfId="0" applyFont="1" applyBorder="1" applyAlignment="1" applyProtection="1">
      <alignment horizontal="center"/>
      <protection locked="0"/>
    </xf>
    <xf numFmtId="0" fontId="107" fillId="20" borderId="79" xfId="0" applyFont="1" applyFill="1" applyBorder="1" applyAlignment="1" applyProtection="1">
      <alignment wrapText="1"/>
      <protection locked="0"/>
    </xf>
    <xf numFmtId="0" fontId="108" fillId="0" borderId="1" xfId="0" applyFont="1" applyBorder="1" applyAlignment="1" applyProtection="1">
      <alignment vertical="top"/>
      <protection locked="0"/>
    </xf>
    <xf numFmtId="165" fontId="108" fillId="0" borderId="1" xfId="4" applyNumberFormat="1" applyFont="1" applyBorder="1" applyAlignment="1" applyProtection="1">
      <alignment vertical="top"/>
      <protection locked="0"/>
    </xf>
    <xf numFmtId="0" fontId="108" fillId="0" borderId="1" xfId="0" applyFont="1" applyBorder="1" applyAlignment="1" applyProtection="1">
      <alignment horizontal="center" wrapText="1"/>
      <protection locked="0"/>
    </xf>
    <xf numFmtId="0" fontId="108" fillId="0" borderId="1" xfId="0" applyFont="1" applyBorder="1" applyAlignment="1" applyProtection="1">
      <alignment horizontal="center" vertical="top"/>
      <protection locked="0"/>
    </xf>
    <xf numFmtId="0" fontId="110" fillId="20" borderId="79" xfId="0" applyFont="1" applyFill="1" applyBorder="1" applyAlignment="1" applyProtection="1">
      <alignment wrapText="1"/>
      <protection locked="0"/>
    </xf>
    <xf numFmtId="0" fontId="110" fillId="0" borderId="79" xfId="0" applyFont="1" applyBorder="1" applyAlignment="1" applyProtection="1">
      <alignment horizontal="center"/>
      <protection locked="0"/>
    </xf>
    <xf numFmtId="0" fontId="110" fillId="20" borderId="79" xfId="0" applyFont="1" applyFill="1" applyBorder="1" applyAlignment="1" applyProtection="1">
      <alignment horizontal="center" wrapText="1"/>
      <protection locked="0"/>
    </xf>
    <xf numFmtId="0" fontId="107" fillId="20" borderId="79" xfId="0" applyFont="1" applyFill="1" applyBorder="1" applyAlignment="1" applyProtection="1">
      <alignment horizontal="center" wrapText="1"/>
      <protection locked="0"/>
    </xf>
    <xf numFmtId="0" fontId="43" fillId="20" borderId="79" xfId="0" applyFont="1" applyFill="1" applyBorder="1" applyAlignment="1" applyProtection="1">
      <alignment horizontal="center" wrapText="1"/>
      <protection locked="0"/>
    </xf>
    <xf numFmtId="0" fontId="43" fillId="21" borderId="1" xfId="3" applyFont="1" applyFill="1" applyBorder="1" applyAlignment="1" applyProtection="1">
      <alignment wrapText="1"/>
      <protection locked="0"/>
    </xf>
    <xf numFmtId="0" fontId="45" fillId="21" borderId="1" xfId="0" applyFont="1" applyFill="1" applyBorder="1" applyAlignment="1" applyProtection="1">
      <alignment horizontal="center" wrapText="1"/>
      <protection locked="0"/>
    </xf>
    <xf numFmtId="14" fontId="1" fillId="0" borderId="1" xfId="0" applyNumberFormat="1" applyFont="1" applyBorder="1" applyAlignment="1" applyProtection="1">
      <alignment vertical="top" wrapText="1"/>
      <protection locked="0"/>
    </xf>
    <xf numFmtId="9" fontId="1" fillId="0" borderId="11" xfId="0" applyNumberFormat="1" applyFont="1" applyBorder="1" applyAlignment="1" applyProtection="1">
      <alignment vertical="top" wrapText="1"/>
      <protection locked="0"/>
    </xf>
    <xf numFmtId="0" fontId="28" fillId="0" borderId="79" xfId="0" applyFont="1" applyBorder="1" applyAlignment="1" applyProtection="1">
      <alignment wrapText="1"/>
      <protection locked="0"/>
    </xf>
    <xf numFmtId="0" fontId="111" fillId="0" borderId="79" xfId="0" applyFont="1" applyBorder="1" applyAlignment="1" applyProtection="1">
      <alignment wrapText="1"/>
      <protection locked="0"/>
    </xf>
    <xf numFmtId="0" fontId="109" fillId="20" borderId="79" xfId="0" applyFont="1" applyFill="1" applyBorder="1" applyAlignment="1" applyProtection="1">
      <alignment horizontal="center" wrapText="1"/>
      <protection locked="0"/>
    </xf>
    <xf numFmtId="0" fontId="1" fillId="0" borderId="1" xfId="0" applyFont="1" applyBorder="1" applyAlignment="1" applyProtection="1">
      <alignment vertical="top"/>
      <protection locked="0"/>
    </xf>
    <xf numFmtId="0" fontId="1" fillId="0" borderId="1" xfId="0" applyFont="1" applyBorder="1" applyProtection="1">
      <protection locked="0"/>
    </xf>
    <xf numFmtId="0" fontId="1" fillId="0" borderId="0" xfId="0" applyFont="1" applyProtection="1">
      <protection locked="0"/>
    </xf>
    <xf numFmtId="0" fontId="1" fillId="0" borderId="0" xfId="0" applyFont="1" applyAlignment="1" applyProtection="1">
      <alignment horizontal="center"/>
      <protection locked="0"/>
    </xf>
    <xf numFmtId="0" fontId="4" fillId="4" borderId="14" xfId="0" applyFont="1" applyFill="1" applyBorder="1" applyAlignment="1" applyProtection="1">
      <alignment horizontal="center" vertical="top" wrapText="1"/>
      <protection locked="0"/>
    </xf>
    <xf numFmtId="0" fontId="45" fillId="0" borderId="1" xfId="0" applyFont="1" applyBorder="1" applyAlignment="1" applyProtection="1">
      <alignment horizontal="center" wrapText="1"/>
      <protection locked="0"/>
    </xf>
    <xf numFmtId="0" fontId="45" fillId="0" borderId="1" xfId="0" applyFont="1" applyBorder="1" applyAlignment="1" applyProtection="1">
      <alignment horizontal="left" wrapText="1"/>
      <protection locked="0"/>
    </xf>
    <xf numFmtId="0" fontId="43" fillId="0" borderId="1" xfId="3" applyFont="1" applyBorder="1" applyAlignment="1" applyProtection="1">
      <alignment wrapText="1"/>
      <protection locked="0"/>
    </xf>
    <xf numFmtId="0" fontId="1" fillId="0" borderId="1" xfId="0" applyFont="1" applyBorder="1" applyAlignment="1" applyProtection="1">
      <alignment horizontal="center" vertical="top"/>
      <protection locked="0"/>
    </xf>
    <xf numFmtId="0" fontId="24" fillId="0" borderId="1" xfId="0" applyFont="1" applyBorder="1" applyAlignment="1" applyProtection="1">
      <alignment horizontal="left" wrapText="1"/>
      <protection locked="0"/>
    </xf>
    <xf numFmtId="0" fontId="24" fillId="0" borderId="1" xfId="0" applyFont="1" applyBorder="1" applyAlignment="1" applyProtection="1">
      <alignment wrapText="1"/>
      <protection locked="0"/>
    </xf>
    <xf numFmtId="0" fontId="79" fillId="0" borderId="1" xfId="0" applyFont="1" applyBorder="1" applyAlignment="1" applyProtection="1">
      <alignment horizontal="center" wrapText="1"/>
      <protection locked="0"/>
    </xf>
    <xf numFmtId="0" fontId="28" fillId="0" borderId="1" xfId="3" applyFont="1" applyBorder="1" applyAlignment="1" applyProtection="1">
      <alignment wrapText="1"/>
      <protection locked="0"/>
    </xf>
    <xf numFmtId="0" fontId="28" fillId="0" borderId="1" xfId="0" applyFont="1" applyBorder="1" applyAlignment="1" applyProtection="1">
      <alignment horizontal="center" vertical="top"/>
      <protection locked="0"/>
    </xf>
    <xf numFmtId="0" fontId="28" fillId="0" borderId="1" xfId="0" applyFont="1" applyBorder="1" applyAlignment="1" applyProtection="1">
      <alignment vertical="top"/>
      <protection locked="0"/>
    </xf>
    <xf numFmtId="0" fontId="1" fillId="0" borderId="1" xfId="0" applyFont="1" applyBorder="1" applyAlignment="1" applyProtection="1">
      <alignment horizontal="left" wrapText="1"/>
      <protection locked="0"/>
    </xf>
    <xf numFmtId="0" fontId="1" fillId="21" borderId="1" xfId="0" applyFont="1" applyFill="1" applyBorder="1" applyAlignment="1" applyProtection="1">
      <alignment horizontal="center" wrapText="1"/>
      <protection locked="0"/>
    </xf>
    <xf numFmtId="0" fontId="1" fillId="0" borderId="1" xfId="0" applyFont="1" applyBorder="1" applyAlignment="1" applyProtection="1">
      <alignment wrapText="1"/>
      <protection locked="0"/>
    </xf>
    <xf numFmtId="0" fontId="79" fillId="0" borderId="1" xfId="0" applyFont="1" applyBorder="1" applyAlignment="1" applyProtection="1">
      <alignment horizontal="left" wrapText="1"/>
      <protection locked="0"/>
    </xf>
    <xf numFmtId="0" fontId="1" fillId="0" borderId="1" xfId="0" applyFont="1" applyBorder="1" applyAlignment="1" applyProtection="1">
      <alignment horizontal="center"/>
      <protection locked="0"/>
    </xf>
    <xf numFmtId="0" fontId="1" fillId="0" borderId="14" xfId="0" applyFont="1" applyBorder="1" applyAlignment="1" applyProtection="1">
      <alignment horizontal="left" wrapText="1"/>
      <protection locked="0"/>
    </xf>
    <xf numFmtId="0" fontId="28" fillId="0" borderId="0" xfId="0" applyFont="1" applyAlignment="1" applyProtection="1">
      <alignment horizontal="center" vertical="top"/>
      <protection locked="0"/>
    </xf>
    <xf numFmtId="0" fontId="28" fillId="0" borderId="0" xfId="0" applyFont="1" applyAlignment="1" applyProtection="1">
      <alignment vertical="top"/>
      <protection locked="0"/>
    </xf>
    <xf numFmtId="165" fontId="28" fillId="0" borderId="0" xfId="0" applyNumberFormat="1" applyFont="1" applyAlignment="1" applyProtection="1">
      <alignment vertical="top"/>
      <protection locked="0"/>
    </xf>
    <xf numFmtId="0" fontId="45" fillId="0" borderId="1" xfId="0" applyFont="1" applyBorder="1" applyAlignment="1" applyProtection="1">
      <alignment wrapText="1"/>
      <protection locked="0"/>
    </xf>
    <xf numFmtId="0" fontId="29" fillId="9" borderId="12" xfId="0" applyFont="1" applyFill="1" applyBorder="1" applyProtection="1">
      <protection locked="0"/>
    </xf>
    <xf numFmtId="165" fontId="28" fillId="0" borderId="1" xfId="11" applyNumberFormat="1" applyFont="1" applyBorder="1" applyAlignment="1" applyProtection="1">
      <alignment vertical="top"/>
      <protection locked="0"/>
    </xf>
    <xf numFmtId="0" fontId="43" fillId="0" borderId="1" xfId="0" applyFont="1" applyBorder="1" applyAlignment="1" applyProtection="1">
      <alignment horizontal="center" wrapText="1"/>
      <protection locked="0"/>
    </xf>
    <xf numFmtId="0" fontId="24" fillId="0" borderId="0" xfId="0" applyFont="1" applyAlignment="1" applyProtection="1">
      <alignment wrapText="1"/>
      <protection locked="0"/>
    </xf>
    <xf numFmtId="0" fontId="29" fillId="9" borderId="11" xfId="0" applyFont="1" applyFill="1" applyBorder="1" applyProtection="1">
      <protection locked="0"/>
    </xf>
    <xf numFmtId="0" fontId="4" fillId="11" borderId="13" xfId="0" applyFont="1" applyFill="1" applyBorder="1" applyAlignment="1" applyProtection="1">
      <alignment vertical="top" wrapText="1"/>
      <protection locked="0"/>
    </xf>
    <xf numFmtId="0" fontId="28" fillId="0" borderId="1" xfId="0" applyFont="1" applyBorder="1" applyAlignment="1" applyProtection="1">
      <alignment vertical="top" wrapText="1"/>
      <protection locked="0"/>
    </xf>
    <xf numFmtId="0" fontId="4" fillId="4" borderId="1" xfId="0" applyFont="1" applyFill="1" applyBorder="1" applyAlignment="1">
      <alignment vertical="top" wrapText="1"/>
    </xf>
    <xf numFmtId="0" fontId="1" fillId="0" borderId="1" xfId="0" applyFont="1" applyBorder="1" applyAlignment="1" applyProtection="1">
      <alignment vertical="top" wrapText="1"/>
      <protection locked="0"/>
    </xf>
    <xf numFmtId="165" fontId="1" fillId="0" borderId="1" xfId="0" applyNumberFormat="1" applyFont="1" applyBorder="1" applyAlignment="1" applyProtection="1">
      <alignment vertical="top" wrapText="1"/>
      <protection locked="0"/>
    </xf>
    <xf numFmtId="0" fontId="17" fillId="0" borderId="1" xfId="0" applyFont="1" applyBorder="1" applyAlignment="1" applyProtection="1">
      <alignment vertical="top" wrapText="1"/>
      <protection locked="0"/>
    </xf>
    <xf numFmtId="165" fontId="1" fillId="0" borderId="38" xfId="0" applyNumberFormat="1" applyFont="1" applyBorder="1" applyAlignment="1" applyProtection="1">
      <alignment vertical="top" wrapText="1"/>
      <protection locked="0"/>
    </xf>
    <xf numFmtId="165" fontId="1" fillId="0" borderId="15" xfId="0" applyNumberFormat="1" applyFont="1" applyBorder="1" applyAlignment="1" applyProtection="1">
      <alignment vertical="top" wrapText="1"/>
      <protection locked="0"/>
    </xf>
    <xf numFmtId="0" fontId="1" fillId="0" borderId="1" xfId="0" applyFont="1" applyBorder="1" applyAlignment="1" applyProtection="1">
      <alignment horizontal="center" vertical="top" wrapText="1"/>
      <protection locked="0"/>
    </xf>
    <xf numFmtId="0" fontId="0" fillId="0" borderId="0" xfId="0" applyProtection="1">
      <protection locked="0"/>
    </xf>
    <xf numFmtId="0" fontId="35" fillId="0" borderId="1" xfId="0" applyFont="1" applyBorder="1" applyAlignment="1" applyProtection="1">
      <alignment horizontal="center" wrapText="1"/>
      <protection locked="0"/>
    </xf>
    <xf numFmtId="165" fontId="35" fillId="0" borderId="1" xfId="0" applyNumberFormat="1" applyFont="1" applyBorder="1" applyAlignment="1" applyProtection="1">
      <alignment horizontal="center" wrapText="1"/>
      <protection locked="0"/>
    </xf>
    <xf numFmtId="0" fontId="1" fillId="21" borderId="1" xfId="0" applyFont="1" applyFill="1" applyBorder="1" applyAlignment="1" applyProtection="1">
      <alignment vertical="top" wrapText="1"/>
      <protection locked="0"/>
    </xf>
    <xf numFmtId="0" fontId="0" fillId="0" borderId="1" xfId="0" applyBorder="1" applyAlignment="1" applyProtection="1">
      <alignment wrapText="1"/>
      <protection locked="0"/>
    </xf>
    <xf numFmtId="165" fontId="1" fillId="0" borderId="1" xfId="0" applyNumberFormat="1" applyFont="1" applyBorder="1" applyProtection="1">
      <protection locked="0"/>
    </xf>
    <xf numFmtId="0" fontId="43" fillId="0" borderId="13" xfId="3" applyFont="1" applyBorder="1" applyAlignment="1" applyProtection="1">
      <alignment wrapText="1"/>
      <protection locked="0"/>
    </xf>
    <xf numFmtId="0" fontId="24" fillId="21" borderId="1" xfId="0" applyFont="1" applyFill="1" applyBorder="1" applyAlignment="1" applyProtection="1">
      <alignment horizontal="left" wrapText="1"/>
      <protection locked="0"/>
    </xf>
    <xf numFmtId="0" fontId="24" fillId="0" borderId="13" xfId="0" applyFont="1" applyBorder="1" applyAlignment="1" applyProtection="1">
      <alignment horizontal="left"/>
      <protection locked="0"/>
    </xf>
    <xf numFmtId="0" fontId="24" fillId="0" borderId="13" xfId="0" applyFont="1" applyBorder="1" applyAlignment="1" applyProtection="1">
      <alignment horizontal="left" wrapText="1"/>
      <protection locked="0"/>
    </xf>
    <xf numFmtId="0" fontId="1" fillId="21" borderId="0" xfId="0" applyFont="1" applyFill="1" applyProtection="1">
      <protection locked="0"/>
    </xf>
    <xf numFmtId="0" fontId="4" fillId="11" borderId="12" xfId="0" applyFont="1" applyFill="1" applyBorder="1" applyAlignment="1" applyProtection="1">
      <alignment vertical="top" wrapText="1"/>
      <protection locked="0"/>
    </xf>
    <xf numFmtId="165" fontId="28" fillId="26" borderId="1" xfId="0" applyNumberFormat="1" applyFont="1" applyFill="1" applyBorder="1" applyAlignment="1">
      <alignment vertical="top"/>
    </xf>
    <xf numFmtId="165" fontId="9" fillId="9" borderId="38" xfId="0" applyNumberFormat="1" applyFont="1" applyFill="1" applyBorder="1"/>
    <xf numFmtId="165" fontId="4" fillId="11" borderId="22" xfId="0" applyNumberFormat="1" applyFont="1" applyFill="1" applyBorder="1" applyAlignment="1">
      <alignment vertical="top" wrapText="1"/>
    </xf>
    <xf numFmtId="0" fontId="24" fillId="0" borderId="1" xfId="0" applyFont="1" applyBorder="1" applyProtection="1">
      <protection locked="0"/>
    </xf>
    <xf numFmtId="0" fontId="28" fillId="0" borderId="11" xfId="0" applyFont="1" applyBorder="1" applyAlignment="1" applyProtection="1">
      <alignment vertical="top"/>
      <protection locked="0"/>
    </xf>
    <xf numFmtId="0" fontId="28" fillId="0" borderId="1" xfId="0" applyFont="1" applyBorder="1" applyAlignment="1" applyProtection="1">
      <alignment horizontal="center" vertical="top" wrapText="1"/>
      <protection locked="0"/>
    </xf>
    <xf numFmtId="0" fontId="112" fillId="21" borderId="1" xfId="0" applyFont="1" applyFill="1" applyBorder="1" applyAlignment="1" applyProtection="1">
      <alignment vertical="top" wrapText="1"/>
      <protection locked="0"/>
    </xf>
    <xf numFmtId="0" fontId="45" fillId="0" borderId="13" xfId="0" applyFont="1" applyBorder="1" applyAlignment="1" applyProtection="1">
      <alignment horizontal="center" wrapText="1"/>
      <protection locked="0"/>
    </xf>
    <xf numFmtId="0" fontId="109" fillId="20" borderId="79" xfId="0" applyFont="1" applyFill="1" applyBorder="1" applyAlignment="1" applyProtection="1">
      <alignment wrapText="1"/>
      <protection locked="0"/>
    </xf>
    <xf numFmtId="0" fontId="45" fillId="0" borderId="1" xfId="0" applyFont="1" applyBorder="1" applyAlignment="1" applyProtection="1">
      <alignment horizontal="center" vertical="center" wrapText="1"/>
      <protection locked="0"/>
    </xf>
    <xf numFmtId="0" fontId="24" fillId="0" borderId="1" xfId="0" applyFont="1" applyBorder="1" applyAlignment="1" applyProtection="1">
      <alignment horizontal="center"/>
      <protection locked="0"/>
    </xf>
    <xf numFmtId="0" fontId="35" fillId="0" borderId="13" xfId="0" applyFont="1" applyBorder="1" applyAlignment="1" applyProtection="1">
      <alignment horizontal="left" wrapText="1"/>
      <protection locked="0"/>
    </xf>
    <xf numFmtId="0" fontId="45" fillId="0" borderId="1" xfId="0" applyFont="1" applyBorder="1" applyAlignment="1" applyProtection="1">
      <alignment horizontal="left" vertical="center" wrapText="1"/>
      <protection locked="0"/>
    </xf>
    <xf numFmtId="0" fontId="45" fillId="0" borderId="1" xfId="0" applyFont="1" applyBorder="1" applyAlignment="1" applyProtection="1">
      <alignment horizontal="center" vertical="top" wrapText="1"/>
      <protection locked="0"/>
    </xf>
    <xf numFmtId="3" fontId="45" fillId="0" borderId="13" xfId="0" applyNumberFormat="1" applyFont="1" applyBorder="1" applyAlignment="1" applyProtection="1">
      <alignment horizontal="center" wrapText="1"/>
      <protection locked="0"/>
    </xf>
    <xf numFmtId="0" fontId="1" fillId="0" borderId="1" xfId="0" applyFont="1" applyBorder="1" applyAlignment="1" applyProtection="1">
      <alignment vertical="center"/>
      <protection locked="0"/>
    </xf>
    <xf numFmtId="0" fontId="0" fillId="0" borderId="14" xfId="0" applyBorder="1" applyAlignment="1" applyProtection="1">
      <alignment wrapText="1"/>
      <protection locked="0"/>
    </xf>
    <xf numFmtId="0" fontId="43" fillId="0" borderId="1" xfId="0" applyFont="1" applyBorder="1" applyAlignment="1" applyProtection="1">
      <alignment horizontal="center"/>
      <protection locked="0"/>
    </xf>
    <xf numFmtId="0" fontId="28" fillId="0" borderId="1" xfId="0" applyFont="1" applyBorder="1" applyAlignment="1" applyProtection="1">
      <alignment horizontal="center"/>
      <protection locked="0"/>
    </xf>
    <xf numFmtId="14" fontId="1" fillId="0" borderId="1" xfId="0" applyNumberFormat="1" applyFont="1" applyBorder="1" applyAlignment="1" applyProtection="1">
      <alignment vertical="top" wrapText="1"/>
      <protection locked="0"/>
    </xf>
    <xf numFmtId="0" fontId="43" fillId="0" borderId="13" xfId="3" applyFont="1" applyBorder="1" applyAlignment="1" applyProtection="1">
      <alignment horizontal="center" wrapText="1"/>
      <protection locked="0"/>
    </xf>
    <xf numFmtId="0" fontId="114" fillId="20" borderId="79" xfId="0" applyFont="1" applyFill="1" applyBorder="1" applyAlignment="1" applyProtection="1">
      <alignment wrapText="1"/>
      <protection locked="0"/>
    </xf>
    <xf numFmtId="0" fontId="45" fillId="0" borderId="1" xfId="0" applyFont="1" applyBorder="1" applyAlignment="1" applyProtection="1">
      <alignment vertical="center" wrapText="1"/>
      <protection locked="0"/>
    </xf>
    <xf numFmtId="0" fontId="24" fillId="21" borderId="1" xfId="0" applyFont="1" applyFill="1" applyBorder="1" applyAlignment="1" applyProtection="1">
      <alignment wrapText="1"/>
      <protection locked="0"/>
    </xf>
    <xf numFmtId="0" fontId="43" fillId="0" borderId="79" xfId="0" applyFont="1" applyBorder="1" applyAlignment="1" applyProtection="1">
      <alignment wrapText="1"/>
      <protection locked="0"/>
    </xf>
    <xf numFmtId="0" fontId="43" fillId="0" borderId="1" xfId="0" applyFont="1" applyBorder="1" applyAlignment="1" applyProtection="1">
      <alignment horizontal="left" vertical="center" wrapText="1"/>
      <protection locked="0"/>
    </xf>
    <xf numFmtId="0" fontId="43" fillId="20" borderId="79" xfId="0" applyFont="1" applyFill="1" applyBorder="1" applyAlignment="1" applyProtection="1">
      <alignment horizontal="left" vertical="center" wrapText="1"/>
      <protection locked="0"/>
    </xf>
    <xf numFmtId="0" fontId="43" fillId="20" borderId="79" xfId="0" applyFont="1" applyFill="1" applyBorder="1" applyAlignment="1" applyProtection="1">
      <alignment horizontal="left" wrapText="1"/>
      <protection locked="0"/>
    </xf>
    <xf numFmtId="0" fontId="43" fillId="0" borderId="79" xfId="0" applyFont="1" applyBorder="1" applyAlignment="1" applyProtection="1">
      <alignment horizontal="left"/>
      <protection locked="0"/>
    </xf>
    <xf numFmtId="0" fontId="24" fillId="0" borderId="1" xfId="0" applyFont="1" applyBorder="1" applyAlignment="1" applyProtection="1">
      <alignment horizontal="left" vertical="top" wrapText="1"/>
      <protection locked="0"/>
    </xf>
    <xf numFmtId="0" fontId="115" fillId="0" borderId="0" xfId="0" applyFont="1" applyAlignment="1" applyProtection="1">
      <alignment horizontal="left" wrapText="1"/>
      <protection locked="0"/>
    </xf>
    <xf numFmtId="0" fontId="115" fillId="0" borderId="82" xfId="0" applyFont="1" applyBorder="1" applyAlignment="1" applyProtection="1">
      <alignment horizontal="left" wrapText="1"/>
      <protection locked="0"/>
    </xf>
    <xf numFmtId="0" fontId="115" fillId="0" borderId="81" xfId="0" applyFont="1" applyBorder="1" applyAlignment="1" applyProtection="1">
      <alignment horizontal="left" wrapText="1"/>
      <protection locked="0"/>
    </xf>
    <xf numFmtId="0" fontId="115" fillId="0" borderId="80" xfId="0" applyFont="1" applyBorder="1" applyAlignment="1" applyProtection="1">
      <alignment horizontal="left" wrapText="1"/>
      <protection locked="0"/>
    </xf>
    <xf numFmtId="0" fontId="115" fillId="20" borderId="79" xfId="0" applyFont="1" applyFill="1" applyBorder="1" applyAlignment="1" applyProtection="1">
      <alignment horizontal="left" wrapText="1"/>
      <protection locked="0"/>
    </xf>
    <xf numFmtId="0" fontId="43" fillId="0" borderId="79" xfId="0" applyFont="1" applyBorder="1" applyAlignment="1" applyProtection="1">
      <alignment horizontal="left" wrapText="1"/>
      <protection locked="0"/>
    </xf>
    <xf numFmtId="0" fontId="37" fillId="0" borderId="0" xfId="0" applyFont="1" applyAlignment="1" applyProtection="1">
      <alignment horizontal="left"/>
      <protection locked="0"/>
    </xf>
    <xf numFmtId="0" fontId="37" fillId="0" borderId="15" xfId="0" applyFont="1" applyBorder="1" applyAlignment="1" applyProtection="1">
      <alignment horizontal="left"/>
      <protection locked="0"/>
    </xf>
    <xf numFmtId="14" fontId="1" fillId="0" borderId="1" xfId="0" applyNumberFormat="1" applyFont="1" applyBorder="1" applyAlignment="1" applyProtection="1">
      <alignment horizontal="left" vertical="top" wrapText="1"/>
      <protection locked="0"/>
    </xf>
    <xf numFmtId="0" fontId="111" fillId="0" borderId="79" xfId="0" applyFont="1" applyBorder="1" applyAlignment="1" applyProtection="1">
      <alignment wrapText="1"/>
      <protection locked="0"/>
    </xf>
    <xf numFmtId="0" fontId="111" fillId="0" borderId="79" xfId="0" applyFont="1" applyBorder="1" applyProtection="1">
      <protection locked="0"/>
    </xf>
    <xf numFmtId="0" fontId="116" fillId="0" borderId="0" xfId="0" applyFont="1" applyProtection="1">
      <protection locked="0"/>
    </xf>
    <xf numFmtId="9" fontId="1" fillId="0" borderId="1" xfId="0" applyNumberFormat="1" applyFont="1" applyBorder="1" applyAlignment="1" applyProtection="1">
      <alignment vertical="top" wrapText="1"/>
      <protection locked="0"/>
    </xf>
    <xf numFmtId="0" fontId="1" fillId="0" borderId="1" xfId="0" applyFont="1" applyBorder="1" applyAlignment="1" applyProtection="1">
      <alignment horizontal="center" vertical="center" wrapText="1"/>
      <protection locked="0"/>
    </xf>
    <xf numFmtId="0" fontId="37" fillId="0" borderId="1" xfId="0" applyFont="1" applyBorder="1" applyAlignment="1" applyProtection="1">
      <alignment wrapText="1"/>
      <protection locked="0"/>
    </xf>
    <xf numFmtId="0" fontId="43" fillId="0" borderId="1" xfId="0" applyFont="1" applyBorder="1" applyAlignment="1" applyProtection="1">
      <alignment vertical="top" wrapText="1"/>
      <protection locked="0"/>
    </xf>
    <xf numFmtId="0" fontId="35" fillId="0" borderId="11" xfId="0" applyFont="1" applyBorder="1" applyAlignment="1" applyProtection="1">
      <alignment horizontal="left" wrapText="1"/>
      <protection locked="0"/>
    </xf>
    <xf numFmtId="0" fontId="117" fillId="0" borderId="0" xfId="0" applyFont="1" applyAlignment="1" applyProtection="1">
      <alignment horizontal="center"/>
      <protection locked="0"/>
    </xf>
    <xf numFmtId="0" fontId="0" fillId="0" borderId="1" xfId="0" applyBorder="1" applyProtection="1">
      <protection locked="0"/>
    </xf>
    <xf numFmtId="0" fontId="0" fillId="0" borderId="1" xfId="0" applyBorder="1" applyAlignment="1" applyProtection="1">
      <alignment shrinkToFit="1"/>
      <protection locked="0"/>
    </xf>
    <xf numFmtId="0" fontId="111" fillId="20" borderId="79" xfId="0" applyFont="1" applyFill="1" applyBorder="1" applyAlignment="1" applyProtection="1">
      <alignment wrapText="1"/>
      <protection locked="0"/>
    </xf>
    <xf numFmtId="0" fontId="111" fillId="0" borderId="79" xfId="0" applyFont="1" applyBorder="1" applyAlignment="1" applyProtection="1">
      <alignment horizontal="center"/>
      <protection locked="0"/>
    </xf>
    <xf numFmtId="0" fontId="110" fillId="0" borderId="1" xfId="0" applyFont="1" applyBorder="1" applyAlignment="1" applyProtection="1">
      <alignment horizontal="center"/>
      <protection locked="0"/>
    </xf>
    <xf numFmtId="0" fontId="24" fillId="0" borderId="1" xfId="0" applyFont="1" applyBorder="1" applyAlignment="1" applyProtection="1">
      <alignment vertical="center" wrapText="1"/>
      <protection locked="0"/>
    </xf>
    <xf numFmtId="0" fontId="111" fillId="0" borderId="79" xfId="0" applyFont="1" applyBorder="1" applyAlignment="1" applyProtection="1">
      <alignment horizontal="center" wrapText="1"/>
      <protection locked="0"/>
    </xf>
    <xf numFmtId="0" fontId="24" fillId="0" borderId="83" xfId="0" applyFont="1" applyBorder="1" applyAlignment="1" applyProtection="1">
      <alignment vertical="center" wrapText="1"/>
      <protection locked="0"/>
    </xf>
    <xf numFmtId="0" fontId="118" fillId="0" borderId="1" xfId="0" applyFont="1" applyBorder="1" applyAlignment="1" applyProtection="1">
      <alignment vertical="top" wrapText="1"/>
      <protection locked="0"/>
    </xf>
    <xf numFmtId="0" fontId="28" fillId="0" borderId="0" xfId="0" applyFont="1" applyAlignment="1" applyProtection="1">
      <alignment vertical="center" wrapText="1"/>
      <protection locked="0"/>
    </xf>
    <xf numFmtId="0" fontId="76" fillId="0" borderId="1" xfId="0" applyFont="1" applyBorder="1" applyAlignment="1" applyProtection="1">
      <alignment horizontal="center" wrapText="1"/>
      <protection locked="0"/>
    </xf>
    <xf numFmtId="0" fontId="43" fillId="0" borderId="1" xfId="3" applyFont="1" applyBorder="1" applyAlignment="1" applyProtection="1">
      <alignment horizontal="center" wrapText="1"/>
      <protection locked="0"/>
    </xf>
    <xf numFmtId="0" fontId="119" fillId="0" borderId="1" xfId="0" applyFont="1" applyBorder="1" applyAlignment="1" applyProtection="1">
      <alignment horizontal="left" wrapText="1"/>
      <protection locked="0"/>
    </xf>
    <xf numFmtId="0" fontId="43" fillId="0" borderId="1" xfId="0" applyFont="1" applyBorder="1" applyProtection="1">
      <protection locked="0"/>
    </xf>
    <xf numFmtId="0" fontId="113" fillId="21" borderId="1" xfId="0" applyFont="1" applyFill="1" applyBorder="1" applyAlignment="1" applyProtection="1">
      <alignment vertical="top" wrapText="1"/>
      <protection locked="0"/>
    </xf>
    <xf numFmtId="168" fontId="16" fillId="26" borderId="1" xfId="4" applyNumberFormat="1" applyFont="1" applyFill="1" applyBorder="1" applyAlignment="1">
      <alignment vertical="top" wrapText="1"/>
    </xf>
    <xf numFmtId="165" fontId="28" fillId="26" borderId="13" xfId="0" applyNumberFormat="1" applyFont="1" applyFill="1" applyBorder="1" applyAlignment="1">
      <alignment vertical="top"/>
    </xf>
    <xf numFmtId="165" fontId="28" fillId="0" borderId="15" xfId="4" applyNumberFormat="1" applyFont="1" applyBorder="1" applyAlignment="1" applyProtection="1">
      <alignment vertical="top"/>
      <protection locked="0"/>
    </xf>
    <xf numFmtId="0" fontId="120" fillId="4" borderId="14" xfId="0" applyFont="1" applyFill="1" applyBorder="1" applyAlignment="1" applyProtection="1">
      <alignment horizontal="center" vertical="top" wrapText="1"/>
      <protection locked="0"/>
    </xf>
    <xf numFmtId="0" fontId="28" fillId="9" borderId="11" xfId="0" applyFont="1" applyFill="1" applyBorder="1" applyProtection="1">
      <protection locked="0"/>
    </xf>
    <xf numFmtId="0" fontId="28" fillId="9" borderId="12" xfId="0" applyFont="1" applyFill="1" applyBorder="1" applyProtection="1">
      <protection locked="0"/>
    </xf>
    <xf numFmtId="165" fontId="120" fillId="9" borderId="38" xfId="0" applyNumberFormat="1" applyFont="1" applyFill="1" applyBorder="1"/>
    <xf numFmtId="0" fontId="120" fillId="11" borderId="13" xfId="0" applyFont="1" applyFill="1" applyBorder="1" applyAlignment="1" applyProtection="1">
      <alignment vertical="top" wrapText="1"/>
      <protection locked="0"/>
    </xf>
    <xf numFmtId="165" fontId="120" fillId="11" borderId="15" xfId="0" applyNumberFormat="1" applyFont="1" applyFill="1" applyBorder="1" applyAlignment="1">
      <alignment vertical="top" wrapText="1"/>
    </xf>
    <xf numFmtId="0" fontId="120" fillId="4" borderId="14" xfId="0" applyFont="1" applyFill="1" applyBorder="1" applyAlignment="1">
      <alignment vertical="top" wrapText="1"/>
    </xf>
    <xf numFmtId="0" fontId="120" fillId="4" borderId="1" xfId="0" applyFont="1" applyFill="1" applyBorder="1" applyAlignment="1">
      <alignment vertical="top" wrapText="1"/>
    </xf>
    <xf numFmtId="0" fontId="120" fillId="4" borderId="22" xfId="0" applyFont="1" applyFill="1" applyBorder="1" applyAlignment="1">
      <alignment vertical="top" wrapText="1"/>
    </xf>
    <xf numFmtId="8" fontId="28" fillId="0" borderId="1" xfId="0" applyNumberFormat="1" applyFont="1" applyBorder="1" applyAlignment="1" applyProtection="1">
      <alignment horizontal="right" vertical="center"/>
      <protection locked="0"/>
    </xf>
    <xf numFmtId="0" fontId="28" fillId="0" borderId="1" xfId="0" applyFont="1" applyBorder="1" applyProtection="1">
      <protection locked="0"/>
    </xf>
    <xf numFmtId="0" fontId="28" fillId="0" borderId="0" xfId="0" applyFont="1" applyProtection="1">
      <protection locked="0"/>
    </xf>
    <xf numFmtId="0" fontId="28" fillId="0" borderId="0" xfId="0" applyFont="1" applyAlignment="1" applyProtection="1">
      <alignment horizontal="center" wrapText="1"/>
      <protection locked="0"/>
    </xf>
    <xf numFmtId="0" fontId="28" fillId="0" borderId="1" xfId="0" applyFont="1" applyBorder="1" applyAlignment="1" applyProtection="1">
      <alignment horizontal="center" wrapText="1"/>
      <protection locked="0"/>
    </xf>
    <xf numFmtId="0" fontId="28" fillId="21" borderId="1" xfId="0" applyFont="1" applyFill="1" applyBorder="1" applyAlignment="1" applyProtection="1">
      <alignment horizontal="left" wrapText="1"/>
      <protection locked="0"/>
    </xf>
    <xf numFmtId="0" fontId="28" fillId="21" borderId="1" xfId="0" applyFont="1" applyFill="1" applyBorder="1" applyAlignment="1" applyProtection="1">
      <alignment horizontal="center" wrapText="1"/>
      <protection locked="0"/>
    </xf>
    <xf numFmtId="0" fontId="28" fillId="0" borderId="1" xfId="0" applyFont="1" applyBorder="1" applyAlignment="1" applyProtection="1">
      <alignment wrapText="1"/>
      <protection locked="0"/>
    </xf>
    <xf numFmtId="0" fontId="28" fillId="0" borderId="1" xfId="0" applyFont="1" applyBorder="1" applyAlignment="1" applyProtection="1">
      <alignment horizontal="left" wrapText="1"/>
      <protection locked="0"/>
    </xf>
    <xf numFmtId="0" fontId="111" fillId="20" borderId="79" xfId="0" applyFont="1" applyFill="1" applyBorder="1" applyAlignment="1" applyProtection="1">
      <alignment horizontal="center" wrapText="1"/>
      <protection locked="0"/>
    </xf>
    <xf numFmtId="0" fontId="28" fillId="20" borderId="79" xfId="0" applyFont="1" applyFill="1" applyBorder="1" applyAlignment="1" applyProtection="1">
      <alignment wrapText="1"/>
      <protection locked="0"/>
    </xf>
    <xf numFmtId="0" fontId="121" fillId="20" borderId="79" xfId="0" applyFont="1" applyFill="1" applyBorder="1" applyAlignment="1" applyProtection="1">
      <alignment horizontal="center" wrapText="1"/>
      <protection locked="0"/>
    </xf>
    <xf numFmtId="0" fontId="28" fillId="0" borderId="0" xfId="0" applyFont="1" applyAlignment="1" applyProtection="1">
      <alignment wrapText="1"/>
      <protection locked="0"/>
    </xf>
    <xf numFmtId="0" fontId="28" fillId="0" borderId="0" xfId="0" applyFont="1" applyAlignment="1" applyProtection="1">
      <alignment horizontal="center"/>
      <protection locked="0"/>
    </xf>
    <xf numFmtId="0" fontId="39" fillId="0" borderId="1" xfId="3" applyFont="1" applyBorder="1" applyAlignment="1" applyProtection="1">
      <alignment wrapText="1"/>
      <protection locked="0"/>
    </xf>
    <xf numFmtId="0" fontId="1" fillId="0" borderId="1" xfId="0" applyNumberFormat="1" applyFont="1" applyBorder="1" applyAlignment="1" applyProtection="1">
      <alignment horizontal="center" vertical="top"/>
      <protection locked="0"/>
    </xf>
    <xf numFmtId="0" fontId="79" fillId="0" borderId="1" xfId="0" applyNumberFormat="1" applyFont="1" applyBorder="1" applyAlignment="1" applyProtection="1">
      <alignment horizontal="center"/>
      <protection locked="0"/>
    </xf>
    <xf numFmtId="0" fontId="121" fillId="20" borderId="79" xfId="0" applyNumberFormat="1" applyFont="1" applyFill="1" applyBorder="1" applyAlignment="1" applyProtection="1">
      <alignment horizontal="center" wrapText="1"/>
      <protection locked="0"/>
    </xf>
    <xf numFmtId="0" fontId="1" fillId="0" borderId="1" xfId="0" applyFont="1" applyBorder="1" applyAlignment="1" applyProtection="1">
      <alignment horizontal="center" wrapText="1"/>
      <protection locked="0"/>
    </xf>
    <xf numFmtId="0" fontId="0" fillId="0" borderId="87" xfId="0" applyNumberFormat="1" applyFont="1" applyBorder="1" applyAlignment="1" applyProtection="1">
      <alignment horizontal="center"/>
      <protection locked="0"/>
    </xf>
    <xf numFmtId="0" fontId="0" fillId="0" borderId="0" xfId="0" applyNumberFormat="1" applyFont="1" applyAlignment="1" applyProtection="1">
      <alignment horizontal="center"/>
      <protection locked="0"/>
    </xf>
    <xf numFmtId="0" fontId="111" fillId="20" borderId="79" xfId="0" applyNumberFormat="1" applyFont="1" applyFill="1" applyBorder="1" applyAlignment="1" applyProtection="1">
      <alignment horizontal="center" wrapText="1"/>
      <protection locked="0"/>
    </xf>
    <xf numFmtId="0" fontId="111" fillId="0" borderId="79" xfId="0" applyNumberFormat="1" applyFont="1" applyBorder="1" applyAlignment="1" applyProtection="1">
      <alignment horizontal="center"/>
      <protection locked="0"/>
    </xf>
    <xf numFmtId="0" fontId="0" fillId="0" borderId="84" xfId="0" applyNumberFormat="1" applyFont="1" applyBorder="1" applyAlignment="1" applyProtection="1">
      <alignment horizontal="center"/>
      <protection locked="0"/>
    </xf>
    <xf numFmtId="0" fontId="0" fillId="0" borderId="86" xfId="0" applyNumberFormat="1" applyFont="1" applyBorder="1" applyAlignment="1" applyProtection="1">
      <alignment horizontal="center"/>
      <protection locked="0"/>
    </xf>
    <xf numFmtId="0" fontId="28" fillId="0" borderId="14" xfId="3" applyFont="1" applyBorder="1" applyAlignment="1" applyProtection="1">
      <alignment wrapText="1"/>
      <protection locked="0"/>
    </xf>
    <xf numFmtId="0" fontId="0" fillId="0" borderId="11" xfId="0" applyNumberFormat="1" applyFont="1" applyBorder="1" applyAlignment="1" applyProtection="1">
      <alignment horizontal="center"/>
      <protection locked="0"/>
    </xf>
    <xf numFmtId="0" fontId="0" fillId="0" borderId="1" xfId="0" applyNumberFormat="1" applyFont="1" applyBorder="1" applyAlignment="1" applyProtection="1">
      <alignment horizontal="center"/>
      <protection locked="0"/>
    </xf>
    <xf numFmtId="0" fontId="0" fillId="0" borderId="15" xfId="0" applyNumberFormat="1" applyFont="1" applyBorder="1" applyAlignment="1" applyProtection="1">
      <alignment horizontal="center"/>
      <protection locked="0"/>
    </xf>
    <xf numFmtId="0" fontId="0" fillId="0" borderId="85" xfId="0" applyNumberFormat="1" applyFont="1" applyBorder="1" applyAlignment="1" applyProtection="1">
      <alignment horizontal="center"/>
      <protection locked="0"/>
    </xf>
    <xf numFmtId="0" fontId="79" fillId="0" borderId="1" xfId="0" applyFont="1" applyBorder="1" applyAlignment="1" applyProtection="1">
      <alignment horizontal="center"/>
      <protection locked="0"/>
    </xf>
    <xf numFmtId="0" fontId="28" fillId="0" borderId="1" xfId="0" applyNumberFormat="1" applyFont="1" applyBorder="1" applyAlignment="1" applyProtection="1">
      <alignment horizontal="center" vertical="center"/>
      <protection locked="0"/>
    </xf>
    <xf numFmtId="0" fontId="28" fillId="20" borderId="79" xfId="0" applyNumberFormat="1" applyFont="1" applyFill="1" applyBorder="1" applyAlignment="1" applyProtection="1">
      <alignment horizontal="center" wrapText="1"/>
      <protection locked="0"/>
    </xf>
    <xf numFmtId="0" fontId="28" fillId="0" borderId="79" xfId="0" applyNumberFormat="1" applyFont="1" applyBorder="1" applyAlignment="1" applyProtection="1">
      <alignment horizontal="center"/>
      <protection locked="0"/>
    </xf>
    <xf numFmtId="0" fontId="1" fillId="0" borderId="1" xfId="0" applyNumberFormat="1" applyFont="1" applyBorder="1" applyAlignment="1" applyProtection="1">
      <alignment horizontal="center"/>
      <protection locked="0"/>
    </xf>
    <xf numFmtId="0" fontId="1" fillId="0" borderId="0" xfId="0" applyNumberFormat="1" applyFont="1" applyAlignment="1" applyProtection="1">
      <alignment horizontal="center"/>
      <protection locked="0"/>
    </xf>
    <xf numFmtId="0" fontId="79" fillId="0" borderId="1" xfId="0" applyNumberFormat="1" applyFont="1" applyBorder="1" applyAlignment="1" applyProtection="1">
      <alignment horizontal="center" vertical="center" wrapText="1"/>
      <protection locked="0"/>
    </xf>
    <xf numFmtId="0" fontId="79" fillId="0" borderId="1" xfId="0" applyFont="1" applyBorder="1" applyAlignment="1" applyProtection="1">
      <alignment vertical="center" wrapText="1"/>
      <protection locked="0"/>
    </xf>
    <xf numFmtId="0" fontId="121" fillId="20" borderId="79" xfId="0" applyNumberFormat="1" applyFont="1" applyFill="1" applyBorder="1" applyAlignment="1" applyProtection="1">
      <alignment horizontal="center" vertical="center" wrapText="1"/>
      <protection locked="0"/>
    </xf>
    <xf numFmtId="0" fontId="108" fillId="0" borderId="1" xfId="0" applyFont="1" applyBorder="1" applyAlignment="1" applyProtection="1">
      <alignment wrapText="1"/>
      <protection locked="0"/>
    </xf>
    <xf numFmtId="0" fontId="30" fillId="0" borderId="1" xfId="3" applyFont="1" applyBorder="1" applyAlignment="1" applyProtection="1">
      <alignment wrapText="1"/>
      <protection locked="0"/>
    </xf>
    <xf numFmtId="0" fontId="28" fillId="21" borderId="11" xfId="0" applyFont="1" applyFill="1" applyBorder="1" applyAlignment="1" applyProtection="1">
      <alignment horizontal="center" wrapText="1"/>
      <protection locked="0"/>
    </xf>
    <xf numFmtId="0" fontId="28" fillId="0" borderId="13" xfId="0" applyFont="1" applyBorder="1" applyAlignment="1" applyProtection="1">
      <alignment horizontal="center" wrapText="1"/>
      <protection locked="0"/>
    </xf>
    <xf numFmtId="0" fontId="108" fillId="0" borderId="15" xfId="0" applyFont="1" applyBorder="1" applyAlignment="1" applyProtection="1">
      <alignment horizontal="center"/>
      <protection locked="0"/>
    </xf>
    <xf numFmtId="0" fontId="0" fillId="0" borderId="1" xfId="0" applyBorder="1" applyAlignment="1" applyProtection="1">
      <alignment horizontal="center" vertical="center"/>
      <protection locked="0"/>
    </xf>
    <xf numFmtId="0" fontId="43" fillId="0" borderId="79" xfId="0" applyFont="1" applyBorder="1" applyAlignment="1" applyProtection="1">
      <alignment vertical="center" wrapText="1"/>
      <protection locked="0"/>
    </xf>
    <xf numFmtId="0" fontId="79" fillId="0" borderId="1" xfId="0" applyFont="1" applyBorder="1" applyAlignment="1" applyProtection="1">
      <alignment wrapText="1"/>
      <protection locked="0"/>
    </xf>
    <xf numFmtId="0" fontId="28" fillId="0" borderId="79" xfId="0" applyFont="1" applyBorder="1" applyAlignment="1" applyProtection="1">
      <alignment vertical="center" wrapText="1"/>
      <protection locked="0"/>
    </xf>
    <xf numFmtId="0" fontId="122" fillId="0" borderId="1" xfId="0" applyFont="1" applyBorder="1" applyAlignment="1" applyProtection="1">
      <alignment horizontal="left" shrinkToFit="1"/>
      <protection locked="0"/>
    </xf>
    <xf numFmtId="0" fontId="1" fillId="21" borderId="1" xfId="0" applyFont="1" applyFill="1" applyBorder="1" applyAlignment="1" applyProtection="1">
      <alignment vertical="top"/>
      <protection locked="0"/>
    </xf>
    <xf numFmtId="0" fontId="124" fillId="21" borderId="1" xfId="0" applyFont="1" applyFill="1" applyBorder="1" applyAlignment="1" applyProtection="1">
      <alignment vertical="center" shrinkToFit="1"/>
      <protection locked="0"/>
    </xf>
    <xf numFmtId="0" fontId="28" fillId="21" borderId="1" xfId="0" applyFont="1" applyFill="1" applyBorder="1" applyAlignment="1" applyProtection="1">
      <alignment horizontal="center" vertical="top"/>
      <protection locked="0"/>
    </xf>
    <xf numFmtId="165" fontId="28" fillId="21" borderId="1" xfId="4" applyNumberFormat="1" applyFont="1" applyFill="1" applyBorder="1" applyAlignment="1" applyProtection="1">
      <alignment vertical="top"/>
      <protection locked="0"/>
    </xf>
    <xf numFmtId="165" fontId="28" fillId="21" borderId="1" xfId="0" applyNumberFormat="1" applyFont="1" applyFill="1" applyBorder="1" applyAlignment="1">
      <alignment vertical="top"/>
    </xf>
    <xf numFmtId="0" fontId="1" fillId="21" borderId="0" xfId="0" applyFont="1" applyFill="1"/>
    <xf numFmtId="0" fontId="124" fillId="21" borderId="1" xfId="0" applyFont="1" applyFill="1" applyBorder="1" applyAlignment="1" applyProtection="1">
      <alignment shrinkToFit="1"/>
      <protection locked="0"/>
    </xf>
    <xf numFmtId="0" fontId="122" fillId="21" borderId="1" xfId="0" applyFont="1" applyFill="1" applyBorder="1" applyAlignment="1" applyProtection="1">
      <alignment horizontal="left" shrinkToFit="1"/>
      <protection locked="0"/>
    </xf>
    <xf numFmtId="0" fontId="122" fillId="21" borderId="11" xfId="0" applyFont="1" applyFill="1" applyBorder="1" applyAlignment="1" applyProtection="1">
      <alignment shrinkToFit="1"/>
      <protection locked="0"/>
    </xf>
    <xf numFmtId="0" fontId="0" fillId="21" borderId="15" xfId="0" applyFill="1" applyBorder="1" applyAlignment="1" applyProtection="1">
      <alignment wrapText="1" shrinkToFit="1"/>
      <protection locked="0"/>
    </xf>
    <xf numFmtId="0" fontId="122" fillId="21" borderId="1" xfId="0" applyFont="1" applyFill="1" applyBorder="1" applyAlignment="1" applyProtection="1">
      <alignment horizontal="left"/>
      <protection locked="0"/>
    </xf>
    <xf numFmtId="0" fontId="28" fillId="21" borderId="1" xfId="0" applyFont="1" applyFill="1" applyBorder="1" applyAlignment="1" applyProtection="1">
      <alignment horizontal="left" vertical="top"/>
      <protection locked="0"/>
    </xf>
    <xf numFmtId="0" fontId="122" fillId="21" borderId="11" xfId="0" applyFont="1" applyFill="1" applyBorder="1" applyAlignment="1" applyProtection="1">
      <alignment horizontal="left"/>
      <protection locked="0"/>
    </xf>
    <xf numFmtId="0" fontId="122" fillId="21" borderId="18" xfId="0" applyFont="1" applyFill="1" applyBorder="1" applyAlignment="1" applyProtection="1">
      <alignment shrinkToFit="1"/>
      <protection locked="0"/>
    </xf>
    <xf numFmtId="0" fontId="0" fillId="21" borderId="0" xfId="0" applyFill="1" applyProtection="1">
      <protection locked="0"/>
    </xf>
    <xf numFmtId="0" fontId="123" fillId="21" borderId="1" xfId="0" applyFont="1" applyFill="1" applyBorder="1" applyAlignment="1" applyProtection="1">
      <alignment horizontal="left" shrinkToFit="1"/>
      <protection locked="0"/>
    </xf>
    <xf numFmtId="0" fontId="122" fillId="21" borderId="1" xfId="0" applyFont="1" applyFill="1" applyBorder="1" applyAlignment="1" applyProtection="1">
      <alignment horizontal="left" vertical="center" shrinkToFit="1"/>
      <protection locked="0"/>
    </xf>
    <xf numFmtId="49" fontId="122" fillId="0" borderId="1" xfId="0" applyNumberFormat="1" applyFont="1" applyBorder="1" applyAlignment="1" applyProtection="1">
      <alignment horizontal="left" wrapText="1"/>
      <protection locked="0"/>
    </xf>
    <xf numFmtId="49" fontId="122" fillId="0" borderId="1" xfId="0" applyNumberFormat="1" applyFont="1" applyBorder="1" applyAlignment="1" applyProtection="1">
      <alignment horizontal="left"/>
      <protection locked="0"/>
    </xf>
    <xf numFmtId="0" fontId="114" fillId="20" borderId="79" xfId="0" applyFont="1" applyFill="1" applyBorder="1" applyAlignment="1" applyProtection="1">
      <alignment horizontal="left" wrapText="1"/>
      <protection locked="0"/>
    </xf>
    <xf numFmtId="0" fontId="109" fillId="20" borderId="79" xfId="0" applyFont="1" applyFill="1" applyBorder="1" applyAlignment="1" applyProtection="1">
      <alignment horizontal="left" wrapText="1"/>
      <protection locked="0"/>
    </xf>
    <xf numFmtId="0" fontId="125" fillId="0" borderId="0" xfId="0" applyFont="1" applyAlignment="1" applyProtection="1">
      <alignment horizontal="left"/>
      <protection locked="0"/>
    </xf>
    <xf numFmtId="0" fontId="114" fillId="0" borderId="79" xfId="0" applyFont="1" applyBorder="1" applyAlignment="1" applyProtection="1">
      <alignment horizontal="left"/>
      <protection locked="0"/>
    </xf>
    <xf numFmtId="0" fontId="1" fillId="0" borderId="1" xfId="0" applyFont="1" applyBorder="1" applyProtection="1">
      <protection locked="0"/>
    </xf>
    <xf numFmtId="0" fontId="45" fillId="0" borderId="1" xfId="0" applyFont="1" applyBorder="1" applyAlignment="1" applyProtection="1">
      <alignment horizontal="center" wrapText="1"/>
      <protection locked="0"/>
    </xf>
    <xf numFmtId="0" fontId="24" fillId="0" borderId="1" xfId="0" applyFont="1" applyBorder="1" applyAlignment="1" applyProtection="1">
      <alignment horizontal="left"/>
      <protection locked="0"/>
    </xf>
    <xf numFmtId="0" fontId="24" fillId="0" borderId="1" xfId="0" applyFont="1" applyBorder="1" applyAlignment="1" applyProtection="1">
      <alignment wrapText="1"/>
      <protection locked="0"/>
    </xf>
    <xf numFmtId="0" fontId="79" fillId="0" borderId="1" xfId="0" applyFont="1" applyBorder="1" applyAlignment="1" applyProtection="1">
      <alignment horizontal="center" wrapText="1"/>
      <protection locked="0"/>
    </xf>
    <xf numFmtId="0" fontId="28" fillId="0" borderId="1" xfId="0" applyFont="1" applyBorder="1" applyAlignment="1" applyProtection="1">
      <alignment vertical="top"/>
      <protection locked="0"/>
    </xf>
    <xf numFmtId="0" fontId="1" fillId="21" borderId="1" xfId="0" applyFont="1" applyFill="1" applyBorder="1" applyAlignment="1" applyProtection="1">
      <alignment horizontal="center" wrapText="1"/>
      <protection locked="0"/>
    </xf>
    <xf numFmtId="0" fontId="1" fillId="0" borderId="1" xfId="0" applyFont="1" applyBorder="1" applyAlignment="1" applyProtection="1">
      <alignment wrapText="1"/>
      <protection locked="0"/>
    </xf>
    <xf numFmtId="0" fontId="43" fillId="0" borderId="1" xfId="0" applyFont="1" applyBorder="1" applyAlignment="1" applyProtection="1">
      <alignment horizontal="center" wrapText="1"/>
      <protection locked="0"/>
    </xf>
    <xf numFmtId="0" fontId="24" fillId="0" borderId="0" xfId="0" applyFont="1" applyAlignment="1" applyProtection="1">
      <alignment wrapText="1"/>
      <protection locked="0"/>
    </xf>
    <xf numFmtId="0" fontId="28" fillId="0" borderId="1" xfId="0" applyFont="1" applyBorder="1" applyAlignment="1" applyProtection="1">
      <alignment vertical="top" wrapText="1"/>
      <protection locked="0"/>
    </xf>
    <xf numFmtId="0" fontId="1" fillId="0" borderId="1" xfId="0" applyFont="1" applyBorder="1" applyAlignment="1" applyProtection="1">
      <alignment vertical="top" wrapText="1"/>
      <protection locked="0"/>
    </xf>
    <xf numFmtId="0" fontId="0" fillId="0" borderId="0" xfId="0" applyProtection="1">
      <protection locked="0"/>
    </xf>
    <xf numFmtId="0" fontId="0" fillId="0" borderId="1" xfId="0" applyBorder="1" applyAlignment="1" applyProtection="1">
      <alignment wrapText="1"/>
      <protection locked="0"/>
    </xf>
    <xf numFmtId="0" fontId="28" fillId="0" borderId="1" xfId="0" applyFont="1" applyBorder="1" applyAlignment="1" applyProtection="1">
      <alignment horizontal="center" vertical="top" wrapText="1"/>
      <protection locked="0"/>
    </xf>
    <xf numFmtId="0" fontId="0" fillId="0" borderId="15" xfId="0" applyBorder="1" applyAlignment="1" applyProtection="1">
      <alignment wrapText="1" shrinkToFit="1"/>
      <protection locked="0"/>
    </xf>
    <xf numFmtId="0" fontId="28" fillId="0" borderId="1" xfId="0" applyFont="1" applyBorder="1" applyAlignment="1" applyProtection="1">
      <alignment horizontal="center"/>
      <protection locked="0"/>
    </xf>
    <xf numFmtId="14" fontId="1" fillId="0" borderId="1" xfId="0" applyNumberFormat="1" applyFont="1" applyBorder="1" applyAlignment="1" applyProtection="1">
      <alignment vertical="top" wrapText="1"/>
      <protection locked="0"/>
    </xf>
    <xf numFmtId="14" fontId="1" fillId="0" borderId="1" xfId="0" applyNumberFormat="1" applyFont="1" applyBorder="1" applyAlignment="1" applyProtection="1">
      <alignment horizontal="left" vertical="top" wrapText="1"/>
      <protection locked="0"/>
    </xf>
    <xf numFmtId="0" fontId="125" fillId="0" borderId="1" xfId="0" applyFont="1" applyBorder="1" applyAlignment="1" applyProtection="1">
      <alignment horizontal="left"/>
      <protection locked="0"/>
    </xf>
    <xf numFmtId="0" fontId="107" fillId="20" borderId="79" xfId="0" applyFont="1" applyFill="1" applyBorder="1" applyAlignment="1" applyProtection="1">
      <alignment horizontal="left" wrapText="1"/>
      <protection locked="0"/>
    </xf>
    <xf numFmtId="0" fontId="1" fillId="0" borderId="0" xfId="0" applyNumberFormat="1" applyFont="1" applyAlignment="1" applyProtection="1">
      <alignment horizontal="left"/>
      <protection locked="0"/>
    </xf>
    <xf numFmtId="0" fontId="1" fillId="0" borderId="1" xfId="0" applyNumberFormat="1" applyFont="1" applyBorder="1" applyAlignment="1" applyProtection="1">
      <alignment horizontal="left"/>
      <protection locked="0"/>
    </xf>
    <xf numFmtId="0" fontId="0" fillId="0" borderId="23" xfId="0" applyBorder="1" applyAlignment="1" applyProtection="1">
      <alignment wrapText="1"/>
      <protection locked="0"/>
    </xf>
    <xf numFmtId="0" fontId="0" fillId="0" borderId="15" xfId="0" applyBorder="1" applyProtection="1">
      <protection locked="0"/>
    </xf>
    <xf numFmtId="0" fontId="0" fillId="0" borderId="88" xfId="0" applyBorder="1" applyProtection="1">
      <protection locked="0"/>
    </xf>
    <xf numFmtId="0" fontId="0" fillId="0" borderId="11" xfId="0" applyBorder="1" applyAlignment="1" applyProtection="1">
      <alignment wrapText="1"/>
      <protection locked="0"/>
    </xf>
    <xf numFmtId="0" fontId="0" fillId="0" borderId="89" xfId="0" applyBorder="1" applyProtection="1">
      <protection locked="0"/>
    </xf>
    <xf numFmtId="0" fontId="0" fillId="0" borderId="23" xfId="0" applyBorder="1" applyProtection="1">
      <protection locked="0"/>
    </xf>
    <xf numFmtId="0" fontId="24" fillId="0" borderId="87" xfId="0" applyFont="1" applyBorder="1" applyAlignment="1" applyProtection="1">
      <alignment horizontal="center"/>
      <protection locked="0"/>
    </xf>
    <xf numFmtId="0" fontId="117" fillId="0" borderId="87" xfId="0" applyFont="1" applyBorder="1" applyAlignment="1" applyProtection="1">
      <alignment horizontal="center"/>
      <protection locked="0"/>
    </xf>
    <xf numFmtId="0" fontId="111" fillId="20" borderId="79" xfId="0" applyFont="1" applyFill="1" applyBorder="1" applyAlignment="1" applyProtection="1">
      <alignment horizontal="left" wrapText="1"/>
      <protection locked="0"/>
    </xf>
    <xf numFmtId="0" fontId="111" fillId="0" borderId="79" xfId="0" applyFont="1" applyBorder="1" applyAlignment="1" applyProtection="1">
      <alignment horizontal="left"/>
      <protection locked="0"/>
    </xf>
    <xf numFmtId="0" fontId="1" fillId="21" borderId="1" xfId="0" applyFont="1" applyFill="1" applyBorder="1" applyAlignment="1" applyProtection="1">
      <alignment horizontal="left" vertical="top"/>
      <protection locked="0"/>
    </xf>
    <xf numFmtId="49" fontId="122" fillId="0" borderId="1" xfId="0" applyNumberFormat="1" applyFont="1" applyBorder="1" applyAlignment="1">
      <alignment horizontal="left" wrapText="1"/>
    </xf>
    <xf numFmtId="0" fontId="122" fillId="0" borderId="1" xfId="0" applyFont="1" applyBorder="1" applyAlignment="1">
      <alignment horizontal="left" shrinkToFit="1"/>
    </xf>
    <xf numFmtId="49" fontId="122" fillId="0" borderId="1" xfId="0" applyNumberFormat="1" applyFont="1" applyBorder="1" applyAlignment="1">
      <alignment horizontal="left"/>
    </xf>
    <xf numFmtId="49" fontId="122" fillId="0" borderId="1" xfId="0" applyNumberFormat="1" applyFont="1" applyBorder="1" applyAlignment="1">
      <alignment horizontal="left" wrapText="1"/>
    </xf>
    <xf numFmtId="49" fontId="123" fillId="0" borderId="1" xfId="0" applyNumberFormat="1" applyFont="1" applyBorder="1" applyAlignment="1">
      <alignment horizontal="left"/>
    </xf>
    <xf numFmtId="49" fontId="123" fillId="0" borderId="1" xfId="0" applyNumberFormat="1" applyFont="1" applyBorder="1" applyAlignment="1">
      <alignment horizontal="left" wrapText="1"/>
    </xf>
    <xf numFmtId="0" fontId="0" fillId="0" borderId="0" xfId="0" applyAlignment="1" applyProtection="1">
      <alignment horizontal="left"/>
      <protection locked="0"/>
    </xf>
    <xf numFmtId="0" fontId="0" fillId="0" borderId="86" xfId="0" applyBorder="1" applyAlignment="1" applyProtection="1">
      <alignment horizontal="left"/>
      <protection locked="0"/>
    </xf>
    <xf numFmtId="49" fontId="122" fillId="0" borderId="11" xfId="0" applyNumberFormat="1" applyFont="1" applyBorder="1" applyAlignment="1" applyProtection="1">
      <alignment horizontal="left" wrapText="1"/>
      <protection locked="0"/>
    </xf>
    <xf numFmtId="0" fontId="110" fillId="0" borderId="1" xfId="0" applyFont="1" applyBorder="1" applyAlignment="1" applyProtection="1">
      <alignment horizontal="left"/>
      <protection locked="0"/>
    </xf>
    <xf numFmtId="0" fontId="0" fillId="0" borderId="79" xfId="0" applyBorder="1" applyAlignment="1" applyProtection="1">
      <alignment horizontal="left"/>
      <protection locked="0"/>
    </xf>
    <xf numFmtId="49" fontId="122" fillId="0" borderId="0" xfId="0" applyNumberFormat="1" applyFont="1" applyAlignment="1" applyProtection="1">
      <alignment horizontal="left"/>
      <protection locked="0"/>
    </xf>
    <xf numFmtId="0" fontId="0" fillId="0" borderId="1" xfId="0" applyBorder="1" applyAlignment="1" applyProtection="1">
      <alignment horizontal="left"/>
      <protection locked="0"/>
    </xf>
    <xf numFmtId="0" fontId="124" fillId="0" borderId="84" xfId="0" applyFont="1" applyBorder="1" applyAlignment="1" applyProtection="1">
      <alignment horizontal="left"/>
      <protection locked="0"/>
    </xf>
    <xf numFmtId="0" fontId="124" fillId="0" borderId="86" xfId="0" applyFont="1" applyBorder="1" applyAlignment="1" applyProtection="1">
      <alignment horizontal="left"/>
      <protection locked="0"/>
    </xf>
    <xf numFmtId="0" fontId="124" fillId="0" borderId="11" xfId="0" applyFont="1" applyBorder="1" applyAlignment="1" applyProtection="1">
      <alignment horizontal="left"/>
      <protection locked="0"/>
    </xf>
    <xf numFmtId="0" fontId="124" fillId="0" borderId="1" xfId="0" applyFont="1" applyBorder="1" applyAlignment="1" applyProtection="1">
      <alignment horizontal="left"/>
      <protection locked="0"/>
    </xf>
    <xf numFmtId="0" fontId="124" fillId="0" borderId="0" xfId="0" applyFont="1" applyAlignment="1" applyProtection="1">
      <alignment horizontal="left"/>
      <protection locked="0"/>
    </xf>
    <xf numFmtId="0" fontId="1" fillId="21" borderId="1" xfId="0" applyFont="1" applyFill="1" applyBorder="1" applyAlignment="1" applyProtection="1">
      <alignment horizontal="left"/>
      <protection locked="0"/>
    </xf>
    <xf numFmtId="49" fontId="124" fillId="0" borderId="13" xfId="0" applyNumberFormat="1" applyFont="1" applyBorder="1" applyAlignment="1" applyProtection="1">
      <alignment horizontal="left" wrapText="1"/>
      <protection locked="0"/>
    </xf>
    <xf numFmtId="49" fontId="124" fillId="0" borderId="1" xfId="0" applyNumberFormat="1" applyFont="1" applyBorder="1" applyAlignment="1" applyProtection="1">
      <alignment horizontal="left" wrapText="1"/>
      <protection locked="0"/>
    </xf>
    <xf numFmtId="0" fontId="1" fillId="0" borderId="0" xfId="0" applyFont="1" applyAlignment="1" applyProtection="1">
      <alignment wrapText="1"/>
      <protection locked="0"/>
    </xf>
    <xf numFmtId="49" fontId="123" fillId="0" borderId="1" xfId="0" applyNumberFormat="1" applyFont="1" applyBorder="1" applyAlignment="1" applyProtection="1">
      <alignment horizontal="left"/>
      <protection locked="0"/>
    </xf>
    <xf numFmtId="49" fontId="123" fillId="0" borderId="13" xfId="0" applyNumberFormat="1" applyFont="1" applyBorder="1" applyProtection="1">
      <protection locked="0"/>
    </xf>
    <xf numFmtId="0" fontId="24" fillId="21" borderId="1" xfId="0" applyFont="1" applyFill="1" applyBorder="1" applyAlignment="1" applyProtection="1">
      <alignment horizontal="left" vertical="top"/>
      <protection locked="0"/>
    </xf>
    <xf numFmtId="0" fontId="43" fillId="21" borderId="1" xfId="0" applyFont="1" applyFill="1" applyBorder="1" applyAlignment="1" applyProtection="1">
      <alignment horizontal="left" vertical="top"/>
      <protection locked="0"/>
    </xf>
    <xf numFmtId="0" fontId="111" fillId="0" borderId="79" xfId="0" applyFont="1" applyBorder="1" applyAlignment="1" applyProtection="1">
      <alignment horizontal="left" vertical="top"/>
      <protection locked="0"/>
    </xf>
    <xf numFmtId="49" fontId="123" fillId="0" borderId="1" xfId="0" applyNumberFormat="1" applyFont="1" applyBorder="1" applyAlignment="1" applyProtection="1">
      <alignment horizontal="left" wrapText="1"/>
      <protection locked="0"/>
    </xf>
    <xf numFmtId="0" fontId="28" fillId="20" borderId="79" xfId="0" applyFont="1" applyFill="1" applyBorder="1" applyAlignment="1" applyProtection="1">
      <alignment horizontal="left" wrapText="1"/>
      <protection locked="0"/>
    </xf>
    <xf numFmtId="168" fontId="1" fillId="0" borderId="1" xfId="4" applyNumberFormat="1" applyFont="1" applyBorder="1" applyAlignment="1" applyProtection="1">
      <alignment vertical="top" wrapText="1"/>
      <protection locked="0"/>
    </xf>
    <xf numFmtId="0" fontId="4" fillId="11" borderId="11" xfId="0" applyFont="1" applyFill="1" applyBorder="1" applyAlignment="1" applyProtection="1">
      <alignment vertical="top"/>
      <protection locked="0"/>
    </xf>
    <xf numFmtId="1" fontId="28" fillId="0" borderId="1" xfId="0" applyNumberFormat="1" applyFont="1" applyBorder="1" applyProtection="1">
      <protection locked="0"/>
    </xf>
    <xf numFmtId="0" fontId="1" fillId="29" borderId="1" xfId="0" applyFont="1" applyFill="1" applyBorder="1" applyAlignment="1" applyProtection="1">
      <alignment vertical="top" wrapText="1"/>
      <protection locked="0"/>
    </xf>
    <xf numFmtId="0" fontId="1" fillId="29" borderId="14" xfId="0" applyFont="1" applyFill="1" applyBorder="1" applyAlignment="1" applyProtection="1">
      <alignment vertical="top" wrapText="1"/>
      <protection locked="0"/>
    </xf>
    <xf numFmtId="0" fontId="28" fillId="21" borderId="1" xfId="0" applyFont="1" applyFill="1" applyBorder="1" applyAlignment="1" applyProtection="1">
      <alignment vertical="top" wrapText="1"/>
      <protection locked="0"/>
    </xf>
    <xf numFmtId="0" fontId="1" fillId="21" borderId="14" xfId="0" applyFont="1" applyFill="1" applyBorder="1" applyAlignment="1" applyProtection="1">
      <alignment vertical="top" wrapText="1"/>
      <protection locked="0"/>
    </xf>
    <xf numFmtId="168" fontId="1" fillId="21" borderId="1" xfId="4" applyNumberFormat="1" applyFont="1" applyFill="1" applyBorder="1" applyAlignment="1" applyProtection="1">
      <alignment vertical="top" wrapText="1"/>
      <protection locked="0"/>
    </xf>
    <xf numFmtId="0" fontId="1" fillId="21" borderId="1" xfId="0" applyFont="1" applyFill="1" applyBorder="1" applyAlignment="1" applyProtection="1">
      <alignment horizontal="center" vertical="top"/>
      <protection locked="0"/>
    </xf>
    <xf numFmtId="165" fontId="35" fillId="21" borderId="1" xfId="0" applyNumberFormat="1" applyFont="1" applyFill="1" applyBorder="1" applyAlignment="1" applyProtection="1">
      <alignment horizontal="center" wrapText="1"/>
      <protection locked="0"/>
    </xf>
    <xf numFmtId="0" fontId="28" fillId="21" borderId="79" xfId="0" applyFont="1" applyFill="1" applyBorder="1" applyAlignment="1" applyProtection="1">
      <alignment wrapText="1"/>
      <protection locked="0"/>
    </xf>
    <xf numFmtId="14" fontId="1" fillId="29" borderId="1" xfId="0" applyNumberFormat="1" applyFont="1" applyFill="1" applyBorder="1" applyAlignment="1" applyProtection="1">
      <alignment vertical="top" wrapText="1"/>
      <protection locked="0"/>
    </xf>
    <xf numFmtId="0" fontId="20" fillId="29" borderId="1" xfId="0" applyFont="1" applyFill="1" applyBorder="1" applyAlignment="1" applyProtection="1">
      <alignment vertical="top" wrapText="1"/>
      <protection locked="0"/>
    </xf>
    <xf numFmtId="0" fontId="28" fillId="0" borderId="1" xfId="0" applyFont="1" applyBorder="1" applyAlignment="1" applyProtection="1">
      <alignment vertical="center" wrapText="1"/>
      <protection locked="0"/>
    </xf>
    <xf numFmtId="165" fontId="1" fillId="21" borderId="1" xfId="0" applyNumberFormat="1" applyFont="1" applyFill="1" applyBorder="1" applyAlignment="1" applyProtection="1">
      <alignment vertical="top" wrapText="1"/>
      <protection locked="0"/>
    </xf>
    <xf numFmtId="165" fontId="16" fillId="21" borderId="23" xfId="0" applyNumberFormat="1" applyFont="1" applyFill="1" applyBorder="1" applyAlignment="1">
      <alignment vertical="top" wrapText="1"/>
    </xf>
    <xf numFmtId="0" fontId="1" fillId="21" borderId="38" xfId="0" applyFont="1" applyFill="1" applyBorder="1" applyAlignment="1" applyProtection="1">
      <alignment vertical="top" wrapText="1"/>
      <protection locked="0"/>
    </xf>
    <xf numFmtId="165" fontId="21" fillId="21" borderId="15" xfId="0" applyNumberFormat="1" applyFont="1" applyFill="1" applyBorder="1" applyAlignment="1">
      <alignment vertical="top" wrapText="1"/>
    </xf>
    <xf numFmtId="0" fontId="24" fillId="0" borderId="1" xfId="0" applyFont="1" applyBorder="1" applyAlignment="1" applyProtection="1">
      <alignment vertical="top" wrapText="1"/>
      <protection locked="0"/>
    </xf>
    <xf numFmtId="0" fontId="24" fillId="0" borderId="1" xfId="0" applyFont="1" applyBorder="1" applyAlignment="1" applyProtection="1">
      <alignment vertical="top"/>
      <protection locked="0"/>
    </xf>
    <xf numFmtId="0" fontId="24" fillId="0" borderId="1" xfId="0" applyFont="1" applyBorder="1" applyAlignment="1" applyProtection="1">
      <alignment horizontal="center" vertical="top"/>
      <protection locked="0"/>
    </xf>
    <xf numFmtId="0" fontId="116" fillId="0" borderId="1" xfId="0" applyFont="1" applyBorder="1" applyAlignment="1" applyProtection="1">
      <alignment horizontal="left" shrinkToFit="1"/>
      <protection locked="0"/>
    </xf>
    <xf numFmtId="0" fontId="69" fillId="0" borderId="72" xfId="0" applyFont="1" applyBorder="1" applyAlignment="1">
      <alignment horizontal="left" vertical="center" wrapText="1"/>
    </xf>
    <xf numFmtId="0" fontId="69" fillId="0" borderId="73" xfId="0" applyFont="1" applyBorder="1" applyAlignment="1">
      <alignment horizontal="left" vertical="center" wrapText="1"/>
    </xf>
    <xf numFmtId="0" fontId="2" fillId="7" borderId="1" xfId="0" applyFont="1" applyFill="1" applyBorder="1" applyAlignment="1">
      <alignment horizontal="left" vertical="top" wrapText="1"/>
    </xf>
    <xf numFmtId="0" fontId="2" fillId="7" borderId="28" xfId="0" applyFont="1" applyFill="1" applyBorder="1" applyAlignment="1">
      <alignment horizontal="left" vertical="top" wrapText="1"/>
    </xf>
    <xf numFmtId="0" fontId="69" fillId="0" borderId="36" xfId="0" applyFont="1" applyBorder="1" applyAlignment="1">
      <alignment horizontal="left" vertical="center" wrapText="1"/>
    </xf>
    <xf numFmtId="0" fontId="69" fillId="0" borderId="70" xfId="0" applyFont="1" applyBorder="1" applyAlignment="1">
      <alignment horizontal="left" vertical="center" wrapText="1"/>
    </xf>
    <xf numFmtId="0" fontId="69" fillId="0" borderId="31" xfId="0" applyFont="1" applyBorder="1" applyAlignment="1">
      <alignment horizontal="left" vertical="center" wrapText="1"/>
    </xf>
    <xf numFmtId="0" fontId="69" fillId="0" borderId="64" xfId="0" applyFont="1" applyBorder="1" applyAlignment="1">
      <alignment horizontal="left" vertical="center" wrapText="1"/>
    </xf>
    <xf numFmtId="0" fontId="69" fillId="0" borderId="33" xfId="0" applyFont="1" applyBorder="1" applyAlignment="1">
      <alignment horizontal="left" vertical="center" wrapText="1"/>
    </xf>
    <xf numFmtId="0" fontId="69" fillId="0" borderId="34" xfId="0" applyFont="1" applyBorder="1" applyAlignment="1">
      <alignment horizontal="left" vertical="center" wrapText="1"/>
    </xf>
    <xf numFmtId="0" fontId="69" fillId="0" borderId="65" xfId="0" applyFont="1" applyBorder="1" applyAlignment="1">
      <alignment horizontal="left" vertical="center" wrapText="1"/>
    </xf>
    <xf numFmtId="0" fontId="57" fillId="0" borderId="33" xfId="0" applyFont="1" applyBorder="1" applyAlignment="1" applyProtection="1">
      <alignment horizontal="left" vertical="center"/>
      <protection locked="0"/>
    </xf>
    <xf numFmtId="0" fontId="57" fillId="0" borderId="34" xfId="0" applyFont="1" applyBorder="1" applyAlignment="1" applyProtection="1">
      <alignment horizontal="left" vertical="center"/>
      <protection locked="0"/>
    </xf>
    <xf numFmtId="0" fontId="57" fillId="0" borderId="65" xfId="0" applyFont="1" applyBorder="1" applyAlignment="1" applyProtection="1">
      <alignment horizontal="left" vertical="center"/>
      <protection locked="0"/>
    </xf>
    <xf numFmtId="0" fontId="104" fillId="0" borderId="62" xfId="0" applyFont="1" applyBorder="1" applyAlignment="1" applyProtection="1">
      <alignment horizontal="center" vertical="center"/>
      <protection locked="0"/>
    </xf>
    <xf numFmtId="0" fontId="38" fillId="0" borderId="64" xfId="0" applyFont="1" applyBorder="1" applyAlignment="1" applyProtection="1">
      <alignment horizontal="center" vertical="center"/>
      <protection locked="0"/>
    </xf>
    <xf numFmtId="0" fontId="3" fillId="0" borderId="60" xfId="0" applyFont="1" applyBorder="1" applyAlignment="1" applyProtection="1">
      <alignment horizontal="center"/>
      <protection locked="0"/>
    </xf>
    <xf numFmtId="0" fontId="3" fillId="0" borderId="63" xfId="0" applyFont="1" applyBorder="1" applyAlignment="1" applyProtection="1">
      <alignment horizontal="center"/>
      <protection locked="0"/>
    </xf>
    <xf numFmtId="0" fontId="61" fillId="11" borderId="61" xfId="0" applyFont="1" applyFill="1" applyBorder="1" applyAlignment="1" applyProtection="1">
      <alignment horizontal="center"/>
      <protection locked="0"/>
    </xf>
    <xf numFmtId="0" fontId="3" fillId="11" borderId="61" xfId="0" applyFont="1" applyFill="1" applyBorder="1" applyAlignment="1" applyProtection="1">
      <alignment horizontal="center"/>
      <protection locked="0"/>
    </xf>
    <xf numFmtId="0" fontId="61" fillId="11" borderId="31" xfId="0" applyFont="1" applyFill="1" applyBorder="1" applyAlignment="1" applyProtection="1">
      <alignment horizontal="center"/>
      <protection locked="0"/>
    </xf>
    <xf numFmtId="1" fontId="58" fillId="21" borderId="31" xfId="0" applyNumberFormat="1" applyFont="1" applyFill="1" applyBorder="1" applyAlignment="1" applyProtection="1">
      <alignment horizontal="left" vertical="center"/>
      <protection locked="0"/>
    </xf>
    <xf numFmtId="1" fontId="58" fillId="21" borderId="64" xfId="0" applyNumberFormat="1" applyFont="1" applyFill="1" applyBorder="1" applyAlignment="1" applyProtection="1">
      <alignment horizontal="left" vertical="center"/>
      <protection locked="0"/>
    </xf>
    <xf numFmtId="0" fontId="56" fillId="0" borderId="2" xfId="0" applyFont="1" applyBorder="1" applyAlignment="1">
      <alignment horizontal="left" vertical="center" wrapText="1"/>
    </xf>
    <xf numFmtId="0" fontId="56" fillId="0" borderId="5" xfId="0" applyFont="1" applyBorder="1" applyAlignment="1">
      <alignment horizontal="left" vertical="center"/>
    </xf>
    <xf numFmtId="0" fontId="56" fillId="0" borderId="6" xfId="0" applyFont="1" applyBorder="1" applyAlignment="1">
      <alignment horizontal="left" vertical="center"/>
    </xf>
    <xf numFmtId="0" fontId="53" fillId="0" borderId="4" xfId="0" applyFont="1" applyBorder="1" applyAlignment="1">
      <alignment horizontal="left" vertical="center"/>
    </xf>
    <xf numFmtId="0" fontId="53" fillId="0" borderId="8" xfId="0" applyFont="1" applyBorder="1" applyAlignment="1">
      <alignment horizontal="left" vertical="center"/>
    </xf>
    <xf numFmtId="0" fontId="53" fillId="0" borderId="9" xfId="0" applyFont="1" applyBorder="1" applyAlignment="1">
      <alignment horizontal="left" vertical="center"/>
    </xf>
    <xf numFmtId="0" fontId="73" fillId="0" borderId="67" xfId="0" applyFont="1" applyBorder="1" applyAlignment="1">
      <alignment horizontal="left"/>
    </xf>
    <xf numFmtId="0" fontId="73" fillId="0" borderId="10" xfId="0" applyFont="1" applyBorder="1" applyAlignment="1">
      <alignment horizontal="left"/>
    </xf>
    <xf numFmtId="0" fontId="73" fillId="0" borderId="68" xfId="0" applyFont="1" applyBorder="1" applyAlignment="1">
      <alignment horizontal="left"/>
    </xf>
    <xf numFmtId="0" fontId="53" fillId="0" borderId="57" xfId="0" applyFont="1" applyBorder="1" applyAlignment="1">
      <alignment vertical="center"/>
    </xf>
    <xf numFmtId="0" fontId="53" fillId="0" borderId="43" xfId="0" applyFont="1" applyBorder="1" applyAlignment="1">
      <alignment vertical="center"/>
    </xf>
    <xf numFmtId="0" fontId="53" fillId="0" borderId="66" xfId="0" applyFont="1" applyBorder="1" applyAlignment="1">
      <alignment vertical="center"/>
    </xf>
    <xf numFmtId="165" fontId="58" fillId="21" borderId="31" xfId="0" applyNumberFormat="1" applyFont="1" applyFill="1" applyBorder="1" applyAlignment="1" applyProtection="1">
      <alignment horizontal="left" vertical="center"/>
      <protection locked="0"/>
    </xf>
    <xf numFmtId="165" fontId="58" fillId="21" borderId="64" xfId="0" applyNumberFormat="1" applyFont="1" applyFill="1" applyBorder="1" applyAlignment="1" applyProtection="1">
      <alignment horizontal="left" vertical="center"/>
      <protection locked="0"/>
    </xf>
    <xf numFmtId="0" fontId="53" fillId="0" borderId="4" xfId="0" applyFont="1" applyBorder="1" applyAlignment="1">
      <alignment horizontal="left" vertical="center" wrapText="1"/>
    </xf>
    <xf numFmtId="0" fontId="53" fillId="0" borderId="8" xfId="0" applyFont="1" applyBorder="1" applyAlignment="1">
      <alignment horizontal="left" vertical="center" wrapText="1"/>
    </xf>
    <xf numFmtId="0" fontId="53" fillId="0" borderId="9" xfId="0" applyFont="1" applyBorder="1" applyAlignment="1">
      <alignment horizontal="left" vertical="center" wrapText="1"/>
    </xf>
    <xf numFmtId="0" fontId="4" fillId="11" borderId="11" xfId="0" applyFont="1" applyFill="1" applyBorder="1" applyAlignment="1" applyProtection="1">
      <alignment horizontal="left" vertical="top" wrapText="1"/>
      <protection locked="0"/>
    </xf>
    <xf numFmtId="0" fontId="4" fillId="11" borderId="12" xfId="0" applyFont="1" applyFill="1" applyBorder="1" applyAlignment="1" applyProtection="1">
      <alignment horizontal="left" vertical="top" wrapText="1"/>
      <protection locked="0"/>
    </xf>
    <xf numFmtId="0" fontId="4" fillId="11" borderId="13" xfId="0" applyFont="1" applyFill="1" applyBorder="1" applyAlignment="1" applyProtection="1">
      <alignment horizontal="left" vertical="top" wrapText="1"/>
      <protection locked="0"/>
    </xf>
    <xf numFmtId="0" fontId="4" fillId="4" borderId="1" xfId="0" applyFont="1" applyFill="1" applyBorder="1" applyAlignment="1">
      <alignment horizontal="center" vertical="top" wrapText="1"/>
    </xf>
    <xf numFmtId="0" fontId="4" fillId="4" borderId="11" xfId="0" applyFont="1" applyFill="1" applyBorder="1" applyAlignment="1">
      <alignment horizontal="center" vertical="top" wrapText="1"/>
    </xf>
    <xf numFmtId="0" fontId="4" fillId="4" borderId="13" xfId="0" applyFont="1" applyFill="1" applyBorder="1" applyAlignment="1">
      <alignment horizontal="center" vertical="top" wrapText="1"/>
    </xf>
    <xf numFmtId="0" fontId="4" fillId="4" borderId="14" xfId="0" applyFont="1" applyFill="1" applyBorder="1" applyAlignment="1">
      <alignment horizontal="center" vertical="top" wrapText="1"/>
    </xf>
    <xf numFmtId="0" fontId="4" fillId="4" borderId="15" xfId="0" applyFont="1" applyFill="1" applyBorder="1" applyAlignment="1">
      <alignment horizontal="center" vertical="top" wrapText="1"/>
    </xf>
    <xf numFmtId="0" fontId="84" fillId="2" borderId="11" xfId="1" applyFont="1" applyFill="1" applyBorder="1" applyAlignment="1" applyProtection="1">
      <alignment horizontal="left"/>
      <protection locked="0"/>
    </xf>
    <xf numFmtId="0" fontId="84" fillId="2" borderId="12" xfId="1" applyFont="1" applyFill="1" applyBorder="1" applyAlignment="1" applyProtection="1">
      <alignment horizontal="left"/>
      <protection locked="0"/>
    </xf>
    <xf numFmtId="0" fontId="84" fillId="2" borderId="13" xfId="1" applyFont="1" applyFill="1" applyBorder="1" applyAlignment="1" applyProtection="1">
      <alignment horizontal="left"/>
      <protection locked="0"/>
    </xf>
    <xf numFmtId="0" fontId="76" fillId="24" borderId="1" xfId="1" applyFont="1" applyFill="1" applyBorder="1" applyAlignment="1" applyProtection="1">
      <alignment horizontal="center" vertical="center" wrapText="1"/>
      <protection locked="0"/>
    </xf>
    <xf numFmtId="0" fontId="76" fillId="24" borderId="1" xfId="1" applyFont="1" applyFill="1" applyBorder="1" applyAlignment="1" applyProtection="1">
      <alignment horizontal="center" vertical="center"/>
      <protection locked="0"/>
    </xf>
    <xf numFmtId="165" fontId="76" fillId="26" borderId="11" xfId="1" applyNumberFormat="1" applyFont="1" applyFill="1" applyBorder="1" applyAlignment="1" applyProtection="1">
      <alignment horizontal="right"/>
    </xf>
    <xf numFmtId="0" fontId="76" fillId="26" borderId="12" xfId="1" applyFont="1" applyFill="1" applyBorder="1" applyAlignment="1" applyProtection="1">
      <alignment horizontal="right"/>
    </xf>
    <xf numFmtId="0" fontId="76" fillId="26" borderId="13" xfId="1" applyFont="1" applyFill="1" applyBorder="1" applyAlignment="1" applyProtection="1">
      <alignment horizontal="right"/>
    </xf>
    <xf numFmtId="0" fontId="9" fillId="22" borderId="1" xfId="0" applyFont="1" applyFill="1" applyBorder="1" applyAlignment="1" applyProtection="1">
      <alignment horizontal="center" wrapText="1"/>
      <protection locked="0"/>
    </xf>
    <xf numFmtId="0" fontId="9" fillId="22" borderId="1" xfId="0" applyFont="1" applyFill="1" applyBorder="1" applyAlignment="1" applyProtection="1">
      <alignment horizontal="center"/>
      <protection locked="0"/>
    </xf>
    <xf numFmtId="0" fontId="29" fillId="9" borderId="12" xfId="0" applyFont="1" applyFill="1" applyBorder="1" applyAlignment="1" applyProtection="1">
      <alignment horizontal="center"/>
      <protection locked="0"/>
    </xf>
    <xf numFmtId="0" fontId="29" fillId="9" borderId="13" xfId="0" applyFont="1" applyFill="1" applyBorder="1" applyAlignment="1" applyProtection="1">
      <alignment horizontal="center"/>
      <protection locked="0"/>
    </xf>
    <xf numFmtId="0" fontId="4" fillId="11" borderId="12" xfId="0" applyFont="1" applyFill="1" applyBorder="1" applyAlignment="1" applyProtection="1">
      <alignment horizontal="center" vertical="top" wrapText="1"/>
      <protection locked="0"/>
    </xf>
    <xf numFmtId="0" fontId="4" fillId="11" borderId="13" xfId="0" applyFont="1" applyFill="1" applyBorder="1" applyAlignment="1" applyProtection="1">
      <alignment horizontal="center" vertical="top" wrapText="1"/>
      <protection locked="0"/>
    </xf>
    <xf numFmtId="0" fontId="9" fillId="22" borderId="1" xfId="0" applyFont="1" applyFill="1" applyBorder="1" applyAlignment="1" applyProtection="1">
      <alignment horizontal="center" vertical="center" wrapText="1"/>
      <protection locked="0"/>
    </xf>
    <xf numFmtId="0" fontId="9" fillId="22" borderId="1" xfId="0" applyFont="1" applyFill="1" applyBorder="1" applyAlignment="1" applyProtection="1">
      <alignment horizontal="center" vertical="center"/>
      <protection locked="0"/>
    </xf>
    <xf numFmtId="0" fontId="4" fillId="4" borderId="14" xfId="0" applyFont="1" applyFill="1" applyBorder="1" applyAlignment="1">
      <alignment horizontal="center" vertical="center" wrapText="1"/>
    </xf>
    <xf numFmtId="0" fontId="4" fillId="4" borderId="15" xfId="0" applyFont="1" applyFill="1" applyBorder="1" applyAlignment="1">
      <alignment horizontal="center" vertical="center" wrapText="1"/>
    </xf>
    <xf numFmtId="0" fontId="4" fillId="4" borderId="1" xfId="0" applyFont="1" applyFill="1" applyBorder="1" applyAlignment="1">
      <alignment vertical="top" wrapText="1"/>
    </xf>
    <xf numFmtId="0" fontId="9" fillId="11" borderId="11" xfId="0" applyFont="1" applyFill="1" applyBorder="1" applyAlignment="1" applyProtection="1">
      <alignment horizontal="left" vertical="top" wrapText="1"/>
      <protection locked="0"/>
    </xf>
    <xf numFmtId="0" fontId="38" fillId="11" borderId="13" xfId="0" applyFont="1" applyFill="1" applyBorder="1" applyAlignment="1" applyProtection="1">
      <alignment horizontal="left" vertical="top" wrapText="1"/>
      <protection locked="0"/>
    </xf>
    <xf numFmtId="0" fontId="4" fillId="11" borderId="1" xfId="0" applyFont="1" applyFill="1" applyBorder="1" applyAlignment="1" applyProtection="1">
      <alignment horizontal="left" vertical="top" wrapText="1"/>
      <protection locked="0"/>
    </xf>
    <xf numFmtId="0" fontId="4" fillId="4" borderId="19" xfId="0" applyFont="1" applyFill="1" applyBorder="1" applyAlignment="1">
      <alignment horizontal="center" vertical="top" wrapText="1"/>
    </xf>
    <xf numFmtId="0" fontId="4" fillId="4" borderId="25" xfId="0" applyFont="1" applyFill="1" applyBorder="1" applyAlignment="1">
      <alignment horizontal="center" vertical="top" wrapText="1"/>
    </xf>
    <xf numFmtId="0" fontId="4" fillId="4" borderId="11" xfId="0" applyFont="1" applyFill="1" applyBorder="1" applyAlignment="1">
      <alignment vertical="top" wrapText="1"/>
    </xf>
    <xf numFmtId="0" fontId="120" fillId="11" borderId="11" xfId="0" applyFont="1" applyFill="1" applyBorder="1" applyAlignment="1" applyProtection="1">
      <alignment horizontal="left" vertical="top" wrapText="1"/>
      <protection locked="0"/>
    </xf>
    <xf numFmtId="0" fontId="120" fillId="11" borderId="12" xfId="0" applyFont="1" applyFill="1" applyBorder="1" applyAlignment="1" applyProtection="1">
      <alignment horizontal="left" vertical="top" wrapText="1"/>
      <protection locked="0"/>
    </xf>
    <xf numFmtId="0" fontId="120" fillId="11" borderId="13" xfId="0" applyFont="1" applyFill="1" applyBorder="1" applyAlignment="1" applyProtection="1">
      <alignment horizontal="left" vertical="top" wrapText="1"/>
      <protection locked="0"/>
    </xf>
    <xf numFmtId="0" fontId="4" fillId="4" borderId="1" xfId="0" applyFont="1" applyFill="1" applyBorder="1" applyAlignment="1">
      <alignment horizontal="left" vertical="top" wrapText="1"/>
    </xf>
    <xf numFmtId="0" fontId="16" fillId="0" borderId="38" xfId="0" applyFont="1" applyBorder="1" applyAlignment="1" applyProtection="1">
      <alignment horizontal="left" vertical="center"/>
      <protection locked="0"/>
    </xf>
    <xf numFmtId="0" fontId="84" fillId="2" borderId="15" xfId="1" applyFont="1" applyFill="1" applyBorder="1" applyProtection="1">
      <protection locked="0"/>
    </xf>
    <xf numFmtId="0" fontId="84" fillId="2" borderId="1" xfId="1" applyFont="1" applyFill="1" applyBorder="1" applyProtection="1">
      <protection locked="0"/>
    </xf>
    <xf numFmtId="0" fontId="9" fillId="11" borderId="13" xfId="0" applyFont="1" applyFill="1" applyBorder="1" applyAlignment="1" applyProtection="1">
      <alignment horizontal="left" vertical="top" wrapText="1"/>
      <protection locked="0"/>
    </xf>
    <xf numFmtId="0" fontId="4" fillId="11" borderId="15" xfId="0" applyFont="1" applyFill="1" applyBorder="1" applyAlignment="1" applyProtection="1">
      <alignment horizontal="left" vertical="top" wrapText="1"/>
      <protection locked="0"/>
    </xf>
    <xf numFmtId="0" fontId="120" fillId="11" borderId="1" xfId="0" applyFont="1" applyFill="1" applyBorder="1" applyAlignment="1" applyProtection="1">
      <alignment horizontal="left" vertical="top" wrapText="1"/>
      <protection locked="0"/>
    </xf>
    <xf numFmtId="0" fontId="120" fillId="4" borderId="1" xfId="0" applyFont="1" applyFill="1" applyBorder="1" applyAlignment="1">
      <alignment vertical="top" wrapText="1"/>
    </xf>
    <xf numFmtId="0" fontId="9" fillId="22" borderId="14" xfId="0" applyFont="1" applyFill="1" applyBorder="1" applyAlignment="1">
      <alignment horizontal="center" vertical="top" wrapText="1"/>
    </xf>
    <xf numFmtId="0" fontId="9" fillId="22" borderId="15" xfId="0" applyFont="1" applyFill="1" applyBorder="1" applyAlignment="1">
      <alignment horizontal="center" vertical="top" wrapText="1"/>
    </xf>
    <xf numFmtId="0" fontId="4" fillId="11" borderId="11" xfId="0" applyFont="1" applyFill="1" applyBorder="1" applyAlignment="1">
      <alignment horizontal="left" vertical="top" wrapText="1"/>
    </xf>
    <xf numFmtId="0" fontId="4" fillId="11" borderId="12" xfId="0" applyFont="1" applyFill="1" applyBorder="1" applyAlignment="1">
      <alignment horizontal="left" vertical="top" wrapText="1"/>
    </xf>
    <xf numFmtId="0" fontId="4" fillId="11" borderId="13" xfId="0" applyFont="1" applyFill="1" applyBorder="1" applyAlignment="1">
      <alignment horizontal="left" vertical="top" wrapText="1"/>
    </xf>
    <xf numFmtId="0" fontId="120" fillId="4" borderId="14" xfId="0" applyFont="1" applyFill="1" applyBorder="1" applyAlignment="1">
      <alignment horizontal="center" vertical="top" wrapText="1"/>
    </xf>
    <xf numFmtId="0" fontId="120" fillId="4" borderId="15" xfId="0" applyFont="1" applyFill="1" applyBorder="1" applyAlignment="1">
      <alignment horizontal="center" vertical="top" wrapText="1"/>
    </xf>
    <xf numFmtId="0" fontId="120" fillId="4" borderId="1" xfId="0" applyFont="1" applyFill="1" applyBorder="1" applyAlignment="1">
      <alignment horizontal="center" vertical="top" wrapText="1"/>
    </xf>
    <xf numFmtId="0" fontId="120" fillId="4" borderId="11" xfId="0" applyFont="1" applyFill="1" applyBorder="1" applyAlignment="1">
      <alignment horizontal="center" vertical="top" wrapText="1"/>
    </xf>
    <xf numFmtId="0" fontId="120" fillId="4" borderId="13" xfId="0" applyFont="1" applyFill="1" applyBorder="1" applyAlignment="1">
      <alignment horizontal="center" vertical="top" wrapText="1"/>
    </xf>
    <xf numFmtId="0" fontId="4" fillId="4" borderId="18" xfId="0" applyFont="1" applyFill="1" applyBorder="1" applyAlignment="1">
      <alignment horizontal="center" vertical="top" wrapText="1"/>
    </xf>
    <xf numFmtId="0" fontId="4" fillId="4" borderId="23" xfId="0" applyFont="1" applyFill="1" applyBorder="1" applyAlignment="1">
      <alignment horizontal="center" vertical="top" wrapText="1"/>
    </xf>
    <xf numFmtId="165" fontId="16" fillId="9" borderId="38" xfId="0" applyNumberFormat="1" applyFont="1" applyFill="1" applyBorder="1" applyAlignment="1">
      <alignment horizontal="center" vertical="top" wrapText="1"/>
    </xf>
    <xf numFmtId="0" fontId="21" fillId="10" borderId="16" xfId="0" applyFont="1" applyFill="1" applyBorder="1" applyAlignment="1" applyProtection="1">
      <alignment horizontal="center" vertical="top" wrapText="1"/>
      <protection locked="0"/>
    </xf>
    <xf numFmtId="0" fontId="21" fillId="10" borderId="0" xfId="0" applyFont="1" applyFill="1" applyAlignment="1" applyProtection="1">
      <alignment horizontal="center" vertical="top" wrapText="1"/>
      <protection locked="0"/>
    </xf>
    <xf numFmtId="0" fontId="21" fillId="10" borderId="32" xfId="0" applyFont="1" applyFill="1" applyBorder="1" applyAlignment="1" applyProtection="1">
      <alignment horizontal="center" vertical="top" wrapText="1"/>
      <protection locked="0"/>
    </xf>
    <xf numFmtId="165" fontId="16" fillId="9" borderId="11" xfId="0" applyNumberFormat="1" applyFont="1" applyFill="1" applyBorder="1" applyAlignment="1">
      <alignment horizontal="center" vertical="top" wrapText="1"/>
    </xf>
    <xf numFmtId="165" fontId="16" fillId="9" borderId="12" xfId="0" applyNumberFormat="1" applyFont="1" applyFill="1" applyBorder="1" applyAlignment="1">
      <alignment horizontal="center" vertical="top" wrapText="1"/>
    </xf>
    <xf numFmtId="165" fontId="16" fillId="9" borderId="13" xfId="0" applyNumberFormat="1" applyFont="1" applyFill="1" applyBorder="1" applyAlignment="1">
      <alignment horizontal="center" vertical="top" wrapText="1"/>
    </xf>
    <xf numFmtId="0" fontId="9" fillId="5" borderId="38" xfId="0" applyFont="1" applyFill="1" applyBorder="1" applyAlignment="1" applyProtection="1">
      <alignment horizontal="center" vertical="top" wrapText="1"/>
      <protection locked="0"/>
    </xf>
    <xf numFmtId="0" fontId="9" fillId="5" borderId="39" xfId="0" applyFont="1" applyFill="1" applyBorder="1" applyAlignment="1" applyProtection="1">
      <alignment horizontal="center" vertical="top" wrapText="1"/>
      <protection locked="0"/>
    </xf>
    <xf numFmtId="0" fontId="9" fillId="5" borderId="13" xfId="0" applyFont="1" applyFill="1" applyBorder="1" applyAlignment="1" applyProtection="1">
      <alignment horizontal="center" vertical="top" wrapText="1"/>
      <protection locked="0"/>
    </xf>
    <xf numFmtId="0" fontId="4" fillId="4" borderId="18" xfId="0" applyFont="1" applyFill="1" applyBorder="1" applyAlignment="1" applyProtection="1">
      <alignment horizontal="center" vertical="top" wrapText="1"/>
      <protection locked="0"/>
    </xf>
    <xf numFmtId="0" fontId="4" fillId="4" borderId="17" xfId="0" applyFont="1" applyFill="1" applyBorder="1" applyAlignment="1" applyProtection="1">
      <alignment horizontal="center" vertical="top" wrapText="1"/>
      <protection locked="0"/>
    </xf>
    <xf numFmtId="0" fontId="4" fillId="4" borderId="19" xfId="0" applyFont="1" applyFill="1" applyBorder="1" applyAlignment="1" applyProtection="1">
      <alignment horizontal="center" vertical="top" wrapText="1"/>
      <protection locked="0"/>
    </xf>
    <xf numFmtId="0" fontId="4" fillId="4" borderId="1" xfId="0" applyFont="1" applyFill="1" applyBorder="1" applyAlignment="1" applyProtection="1">
      <alignment vertical="top" wrapText="1"/>
      <protection locked="0"/>
    </xf>
    <xf numFmtId="0" fontId="4" fillId="4" borderId="11" xfId="0" applyFont="1" applyFill="1" applyBorder="1" applyAlignment="1" applyProtection="1">
      <alignment vertical="top" wrapText="1"/>
      <protection locked="0"/>
    </xf>
    <xf numFmtId="165" fontId="16" fillId="26" borderId="11" xfId="0" applyNumberFormat="1" applyFont="1" applyFill="1" applyBorder="1" applyAlignment="1">
      <alignment horizontal="right" vertical="top" wrapText="1"/>
    </xf>
    <xf numFmtId="165" fontId="16" fillId="26" borderId="12" xfId="0" applyNumberFormat="1" applyFont="1" applyFill="1" applyBorder="1" applyAlignment="1">
      <alignment horizontal="right" vertical="top" wrapText="1"/>
    </xf>
    <xf numFmtId="165" fontId="16" fillId="26" borderId="13" xfId="0" applyNumberFormat="1" applyFont="1" applyFill="1" applyBorder="1" applyAlignment="1">
      <alignment horizontal="right" vertical="top" wrapText="1"/>
    </xf>
    <xf numFmtId="0" fontId="4" fillId="4" borderId="14" xfId="0" applyFont="1" applyFill="1" applyBorder="1" applyAlignment="1" applyProtection="1">
      <alignment horizontal="center" vertical="top" wrapText="1"/>
      <protection locked="0"/>
    </xf>
    <xf numFmtId="0" fontId="4" fillId="4" borderId="22" xfId="0" applyFont="1" applyFill="1" applyBorder="1" applyAlignment="1" applyProtection="1">
      <alignment horizontal="center" vertical="top" wrapText="1"/>
      <protection locked="0"/>
    </xf>
    <xf numFmtId="0" fontId="4" fillId="4" borderId="15" xfId="0" applyFont="1" applyFill="1" applyBorder="1" applyAlignment="1" applyProtection="1">
      <alignment horizontal="center" vertical="top" wrapText="1"/>
      <protection locked="0"/>
    </xf>
    <xf numFmtId="0" fontId="4" fillId="4" borderId="14" xfId="0" applyFont="1" applyFill="1" applyBorder="1" applyAlignment="1" applyProtection="1">
      <alignment horizontal="left" vertical="top" wrapText="1"/>
      <protection locked="0"/>
    </xf>
    <xf numFmtId="0" fontId="4" fillId="4" borderId="22" xfId="0" applyFont="1" applyFill="1" applyBorder="1" applyAlignment="1" applyProtection="1">
      <alignment horizontal="left" vertical="top" wrapText="1"/>
      <protection locked="0"/>
    </xf>
    <xf numFmtId="0" fontId="4" fillId="4" borderId="15" xfId="0" applyFont="1" applyFill="1" applyBorder="1" applyAlignment="1" applyProtection="1">
      <alignment horizontal="left" vertical="top" wrapText="1"/>
      <protection locked="0"/>
    </xf>
    <xf numFmtId="0" fontId="4" fillId="4" borderId="38" xfId="0" applyFont="1" applyFill="1" applyBorder="1" applyAlignment="1" applyProtection="1">
      <alignment horizontal="center" vertical="top" wrapText="1"/>
      <protection locked="0"/>
    </xf>
    <xf numFmtId="0" fontId="4" fillId="4" borderId="1" xfId="0" applyFont="1" applyFill="1" applyBorder="1" applyAlignment="1" applyProtection="1">
      <alignment horizontal="center" vertical="top" wrapText="1"/>
      <protection locked="0"/>
    </xf>
    <xf numFmtId="0" fontId="4" fillId="27" borderId="11" xfId="0" applyFont="1" applyFill="1" applyBorder="1" applyAlignment="1" applyProtection="1">
      <alignment horizontal="left" vertical="top" wrapText="1"/>
      <protection locked="0"/>
    </xf>
    <xf numFmtId="0" fontId="4" fillId="27" borderId="12" xfId="0" applyFont="1" applyFill="1" applyBorder="1" applyAlignment="1" applyProtection="1">
      <alignment horizontal="left" vertical="top" wrapText="1"/>
      <protection locked="0"/>
    </xf>
    <xf numFmtId="0" fontId="31" fillId="11" borderId="11" xfId="0" applyFont="1" applyFill="1" applyBorder="1" applyAlignment="1" applyProtection="1">
      <alignment horizontal="left" vertical="top" wrapText="1"/>
      <protection locked="0"/>
    </xf>
    <xf numFmtId="0" fontId="31" fillId="11" borderId="12" xfId="0" applyFont="1" applyFill="1" applyBorder="1" applyAlignment="1" applyProtection="1">
      <alignment horizontal="left" vertical="top" wrapText="1"/>
      <protection locked="0"/>
    </xf>
    <xf numFmtId="0" fontId="4" fillId="2" borderId="11" xfId="0" applyFont="1" applyFill="1" applyBorder="1" applyAlignment="1" applyProtection="1">
      <alignment horizontal="left" vertical="top" wrapText="1"/>
      <protection locked="0"/>
    </xf>
    <xf numFmtId="0" fontId="4" fillId="2" borderId="12" xfId="0" applyFont="1" applyFill="1" applyBorder="1" applyAlignment="1" applyProtection="1">
      <alignment horizontal="left" vertical="top" wrapText="1"/>
      <protection locked="0"/>
    </xf>
    <xf numFmtId="0" fontId="4" fillId="2" borderId="13" xfId="0" applyFont="1" applyFill="1" applyBorder="1" applyAlignment="1" applyProtection="1">
      <alignment horizontal="left" vertical="top" wrapText="1"/>
      <protection locked="0"/>
    </xf>
    <xf numFmtId="0" fontId="77" fillId="21" borderId="11" xfId="0" applyFont="1" applyFill="1" applyBorder="1" applyAlignment="1" applyProtection="1">
      <alignment horizontal="left" vertical="center" wrapText="1"/>
      <protection locked="0"/>
    </xf>
    <xf numFmtId="0" fontId="77" fillId="21" borderId="12" xfId="0" applyFont="1" applyFill="1" applyBorder="1" applyAlignment="1" applyProtection="1">
      <alignment horizontal="left" vertical="center" wrapText="1"/>
      <protection locked="0"/>
    </xf>
    <xf numFmtId="0" fontId="77" fillId="21" borderId="13" xfId="0" applyFont="1" applyFill="1" applyBorder="1" applyAlignment="1" applyProtection="1">
      <alignment horizontal="left" vertical="center" wrapText="1"/>
      <protection locked="0"/>
    </xf>
    <xf numFmtId="0" fontId="16" fillId="26" borderId="11" xfId="0" applyFont="1" applyFill="1" applyBorder="1" applyAlignment="1" applyProtection="1">
      <alignment horizontal="left" vertical="top" wrapText="1"/>
      <protection locked="0"/>
    </xf>
    <xf numFmtId="0" fontId="16" fillId="26" borderId="12" xfId="0" applyFont="1" applyFill="1" applyBorder="1" applyAlignment="1" applyProtection="1">
      <alignment horizontal="left" vertical="top" wrapText="1"/>
      <protection locked="0"/>
    </xf>
    <xf numFmtId="0" fontId="16" fillId="2" borderId="14" xfId="0" applyFont="1" applyFill="1" applyBorder="1" applyAlignment="1" applyProtection="1">
      <alignment horizontal="left" vertical="top" wrapText="1"/>
      <protection locked="0"/>
    </xf>
    <xf numFmtId="0" fontId="16" fillId="2" borderId="22" xfId="0" applyFont="1" applyFill="1" applyBorder="1" applyAlignment="1" applyProtection="1">
      <alignment horizontal="left" vertical="top" wrapText="1"/>
      <protection locked="0"/>
    </xf>
    <xf numFmtId="0" fontId="16" fillId="26" borderId="1" xfId="0" applyFont="1" applyFill="1" applyBorder="1" applyAlignment="1" applyProtection="1">
      <alignment horizontal="left" vertical="top" wrapText="1"/>
      <protection locked="0"/>
    </xf>
    <xf numFmtId="0" fontId="16" fillId="26" borderId="38" xfId="0" applyFont="1" applyFill="1" applyBorder="1" applyAlignment="1" applyProtection="1">
      <alignment horizontal="left" vertical="top" wrapText="1"/>
      <protection locked="0"/>
    </xf>
    <xf numFmtId="0" fontId="4" fillId="9" borderId="11" xfId="0" applyFont="1" applyFill="1" applyBorder="1" applyAlignment="1" applyProtection="1">
      <alignment horizontal="left" vertical="top" wrapText="1"/>
      <protection locked="0"/>
    </xf>
    <xf numFmtId="0" fontId="4" fillId="9" borderId="12" xfId="0" applyFont="1" applyFill="1" applyBorder="1" applyAlignment="1" applyProtection="1">
      <alignment horizontal="left" vertical="top" wrapText="1"/>
      <protection locked="0"/>
    </xf>
    <xf numFmtId="0" fontId="9" fillId="5" borderId="11" xfId="0" applyFont="1" applyFill="1" applyBorder="1" applyAlignment="1" applyProtection="1">
      <alignment horizontal="center" vertical="top" wrapText="1"/>
      <protection locked="0"/>
    </xf>
    <xf numFmtId="0" fontId="9" fillId="5" borderId="12" xfId="0" applyFont="1" applyFill="1" applyBorder="1" applyAlignment="1" applyProtection="1">
      <alignment horizontal="center" vertical="top" wrapText="1"/>
      <protection locked="0"/>
    </xf>
    <xf numFmtId="0" fontId="98" fillId="27" borderId="1" xfId="1" applyFont="1" applyFill="1" applyBorder="1" applyAlignment="1" applyProtection="1">
      <alignment vertical="top" wrapText="1"/>
      <protection locked="0"/>
    </xf>
    <xf numFmtId="0" fontId="98" fillId="9" borderId="1" xfId="1" applyFont="1" applyFill="1" applyBorder="1" applyAlignment="1" applyProtection="1">
      <alignment vertical="top" wrapText="1"/>
      <protection locked="0"/>
    </xf>
    <xf numFmtId="0" fontId="102" fillId="9" borderId="1" xfId="1" applyFont="1" applyFill="1" applyBorder="1" applyAlignment="1" applyProtection="1">
      <alignment vertical="top" wrapText="1"/>
      <protection locked="0"/>
    </xf>
    <xf numFmtId="0" fontId="6" fillId="3" borderId="4" xfId="1" applyFont="1" applyFill="1" applyBorder="1" applyAlignment="1" applyProtection="1">
      <alignment horizontal="left" vertical="top" wrapText="1"/>
      <protection locked="0"/>
    </xf>
    <xf numFmtId="0" fontId="6" fillId="3" borderId="8" xfId="1" applyFont="1" applyFill="1" applyBorder="1" applyAlignment="1" applyProtection="1">
      <alignment horizontal="left" vertical="top" wrapText="1"/>
      <protection locked="0"/>
    </xf>
    <xf numFmtId="0" fontId="6" fillId="3" borderId="9" xfId="1" applyFont="1" applyFill="1" applyBorder="1" applyAlignment="1" applyProtection="1">
      <alignment horizontal="left" vertical="top" wrapText="1"/>
      <protection locked="0"/>
    </xf>
    <xf numFmtId="0" fontId="9" fillId="5" borderId="40" xfId="0" applyFont="1" applyFill="1" applyBorder="1" applyAlignment="1" applyProtection="1">
      <alignment horizontal="center" vertical="top" wrapText="1"/>
      <protection locked="0"/>
    </xf>
    <xf numFmtId="0" fontId="9" fillId="5" borderId="41" xfId="0" applyFont="1" applyFill="1" applyBorder="1" applyAlignment="1" applyProtection="1">
      <alignment horizontal="center" vertical="top" wrapText="1"/>
      <protection locked="0"/>
    </xf>
    <xf numFmtId="0" fontId="8" fillId="3" borderId="44" xfId="0" applyFont="1" applyFill="1" applyBorder="1" applyAlignment="1" applyProtection="1">
      <alignment horizontal="left" vertical="top" wrapText="1"/>
      <protection locked="0"/>
    </xf>
    <xf numFmtId="0" fontId="8" fillId="3" borderId="45" xfId="0" applyFont="1" applyFill="1" applyBorder="1" applyAlignment="1" applyProtection="1">
      <alignment horizontal="left" vertical="top" wrapText="1"/>
      <protection locked="0"/>
    </xf>
    <xf numFmtId="0" fontId="8" fillId="3" borderId="46" xfId="0" applyFont="1" applyFill="1" applyBorder="1" applyAlignment="1" applyProtection="1">
      <alignment horizontal="left" vertical="top" wrapText="1"/>
      <protection locked="0"/>
    </xf>
    <xf numFmtId="0" fontId="4" fillId="4" borderId="14" xfId="0" applyFont="1" applyFill="1" applyBorder="1" applyAlignment="1" applyProtection="1">
      <alignment vertical="top" wrapText="1"/>
      <protection locked="0"/>
    </xf>
    <xf numFmtId="0" fontId="4" fillId="4" borderId="22" xfId="0" applyFont="1" applyFill="1" applyBorder="1" applyAlignment="1" applyProtection="1">
      <alignment vertical="top" wrapText="1"/>
      <protection locked="0"/>
    </xf>
    <xf numFmtId="0" fontId="4" fillId="4" borderId="15" xfId="0" applyFont="1" applyFill="1" applyBorder="1" applyAlignment="1" applyProtection="1">
      <alignment vertical="top" wrapText="1"/>
      <protection locked="0"/>
    </xf>
    <xf numFmtId="165" fontId="16" fillId="26" borderId="1" xfId="0" applyNumberFormat="1" applyFont="1" applyFill="1" applyBorder="1" applyAlignment="1">
      <alignment horizontal="right" vertical="top" wrapText="1"/>
    </xf>
    <xf numFmtId="0" fontId="4" fillId="4" borderId="11" xfId="0" applyFont="1" applyFill="1" applyBorder="1" applyAlignment="1" applyProtection="1">
      <alignment horizontal="center" vertical="top" wrapText="1"/>
      <protection locked="0"/>
    </xf>
    <xf numFmtId="0" fontId="4" fillId="4" borderId="12" xfId="0" applyFont="1" applyFill="1" applyBorder="1" applyAlignment="1" applyProtection="1">
      <alignment horizontal="center" vertical="top" wrapText="1"/>
      <protection locked="0"/>
    </xf>
    <xf numFmtId="0" fontId="4" fillId="4" borderId="13" xfId="0" applyFont="1" applyFill="1" applyBorder="1" applyAlignment="1" applyProtection="1">
      <alignment horizontal="center" vertical="top" wrapText="1"/>
      <protection locked="0"/>
    </xf>
    <xf numFmtId="0" fontId="97" fillId="3" borderId="1" xfId="0" applyFont="1" applyFill="1" applyBorder="1" applyAlignment="1" applyProtection="1">
      <alignment horizontal="center" vertical="center"/>
      <protection locked="0"/>
    </xf>
    <xf numFmtId="0" fontId="42" fillId="19" borderId="1" xfId="0" applyFont="1" applyFill="1" applyBorder="1" applyAlignment="1" applyProtection="1">
      <alignment horizontal="center" vertical="center"/>
      <protection locked="0"/>
    </xf>
    <xf numFmtId="0" fontId="42" fillId="19" borderId="1" xfId="0" applyFont="1" applyFill="1" applyBorder="1" applyAlignment="1" applyProtection="1">
      <alignment horizontal="center"/>
      <protection locked="0"/>
    </xf>
    <xf numFmtId="0" fontId="42" fillId="19" borderId="1" xfId="0" applyFont="1" applyFill="1" applyBorder="1" applyAlignment="1" applyProtection="1">
      <alignment horizontal="center" vertical="center" wrapText="1"/>
      <protection locked="0"/>
    </xf>
    <xf numFmtId="0" fontId="29" fillId="2" borderId="11" xfId="1" applyFont="1" applyFill="1" applyBorder="1" applyAlignment="1" applyProtection="1">
      <alignment horizontal="left"/>
    </xf>
    <xf numFmtId="0" fontId="29" fillId="2" borderId="12" xfId="1" applyFont="1" applyFill="1" applyBorder="1" applyAlignment="1" applyProtection="1">
      <alignment horizontal="left"/>
    </xf>
    <xf numFmtId="0" fontId="29" fillId="2" borderId="13" xfId="1" applyFont="1" applyFill="1" applyBorder="1" applyAlignment="1" applyProtection="1">
      <alignment horizontal="left"/>
    </xf>
    <xf numFmtId="0" fontId="83" fillId="0" borderId="11" xfId="0" applyFont="1" applyBorder="1" applyAlignment="1" applyProtection="1">
      <alignment horizontal="left" wrapText="1"/>
      <protection locked="0"/>
    </xf>
    <xf numFmtId="0" fontId="83" fillId="0" borderId="13" xfId="0" applyFont="1" applyBorder="1" applyAlignment="1" applyProtection="1">
      <alignment horizontal="left" wrapText="1"/>
      <protection locked="0"/>
    </xf>
    <xf numFmtId="0" fontId="4" fillId="4" borderId="18" xfId="0" applyFont="1" applyFill="1" applyBorder="1" applyAlignment="1" applyProtection="1">
      <alignment horizontal="left" vertical="top" wrapText="1"/>
      <protection locked="0"/>
    </xf>
    <xf numFmtId="0" fontId="4" fillId="4" borderId="19" xfId="0" applyFont="1" applyFill="1" applyBorder="1" applyAlignment="1" applyProtection="1">
      <alignment horizontal="left" vertical="top" wrapText="1"/>
      <protection locked="0"/>
    </xf>
    <xf numFmtId="0" fontId="4" fillId="4" borderId="23" xfId="0" applyFont="1" applyFill="1" applyBorder="1" applyAlignment="1" applyProtection="1">
      <alignment horizontal="left" vertical="top" wrapText="1"/>
      <protection locked="0"/>
    </xf>
    <xf numFmtId="0" fontId="4" fillId="4" borderId="25" xfId="0" applyFont="1" applyFill="1" applyBorder="1" applyAlignment="1" applyProtection="1">
      <alignment horizontal="left" vertical="top" wrapText="1"/>
      <protection locked="0"/>
    </xf>
    <xf numFmtId="0" fontId="35" fillId="0" borderId="11" xfId="0" applyFont="1" applyBorder="1" applyAlignment="1" applyProtection="1">
      <alignment horizontal="center" wrapText="1"/>
      <protection locked="0"/>
    </xf>
    <xf numFmtId="0" fontId="35" fillId="0" borderId="13" xfId="0" applyFont="1" applyBorder="1" applyAlignment="1" applyProtection="1">
      <alignment horizontal="center" wrapText="1"/>
      <protection locked="0"/>
    </xf>
    <xf numFmtId="0" fontId="16" fillId="0" borderId="11" xfId="0" applyFont="1" applyBorder="1" applyAlignment="1">
      <alignment horizontal="left"/>
    </xf>
    <xf numFmtId="0" fontId="16" fillId="0" borderId="12" xfId="0" applyFont="1" applyBorder="1" applyAlignment="1">
      <alignment horizontal="left"/>
    </xf>
    <xf numFmtId="0" fontId="16" fillId="0" borderId="13" xfId="0" applyFont="1" applyBorder="1" applyAlignment="1">
      <alignment horizontal="left"/>
    </xf>
    <xf numFmtId="0" fontId="84" fillId="2" borderId="11" xfId="1" applyFont="1" applyFill="1" applyBorder="1" applyAlignment="1" applyProtection="1">
      <alignment horizontal="left"/>
    </xf>
    <xf numFmtId="0" fontId="84" fillId="2" borderId="12" xfId="1" applyFont="1" applyFill="1" applyBorder="1" applyAlignment="1" applyProtection="1">
      <alignment horizontal="left"/>
    </xf>
    <xf numFmtId="0" fontId="84" fillId="2" borderId="13" xfId="1" applyFont="1" applyFill="1" applyBorder="1" applyAlignment="1" applyProtection="1">
      <alignment horizontal="left"/>
    </xf>
    <xf numFmtId="0" fontId="35" fillId="0" borderId="11" xfId="0" applyFont="1" applyBorder="1" applyAlignment="1" applyProtection="1">
      <alignment horizontal="left" wrapText="1"/>
      <protection locked="0"/>
    </xf>
    <xf numFmtId="0" fontId="35" fillId="0" borderId="13" xfId="0" applyFont="1" applyBorder="1" applyAlignment="1" applyProtection="1">
      <alignment horizontal="left" wrapText="1"/>
      <protection locked="0"/>
    </xf>
    <xf numFmtId="0" fontId="42" fillId="4" borderId="14" xfId="0" applyFont="1" applyFill="1" applyBorder="1" applyAlignment="1" applyProtection="1">
      <alignment horizontal="center" vertical="center" wrapText="1"/>
      <protection locked="0"/>
    </xf>
    <xf numFmtId="0" fontId="42" fillId="4" borderId="1" xfId="0" applyFont="1" applyFill="1" applyBorder="1" applyAlignment="1" applyProtection="1">
      <alignment horizontal="center" vertical="center" wrapText="1"/>
      <protection locked="0"/>
    </xf>
    <xf numFmtId="0" fontId="84" fillId="2" borderId="11" xfId="1" applyFont="1" applyFill="1" applyBorder="1" applyProtection="1"/>
    <xf numFmtId="0" fontId="84" fillId="2" borderId="12" xfId="1" applyFont="1" applyFill="1" applyBorder="1" applyProtection="1"/>
    <xf numFmtId="0" fontId="84" fillId="2" borderId="13" xfId="1" applyFont="1" applyFill="1" applyBorder="1" applyProtection="1"/>
    <xf numFmtId="0" fontId="84" fillId="2" borderId="1" xfId="1" applyFont="1" applyFill="1" applyBorder="1" applyProtection="1"/>
    <xf numFmtId="0" fontId="4" fillId="11" borderId="11" xfId="0" applyFont="1" applyFill="1" applyBorder="1" applyAlignment="1" applyProtection="1">
      <alignment vertical="top" wrapText="1"/>
      <protection locked="0"/>
    </xf>
    <xf numFmtId="0" fontId="4" fillId="11" borderId="12" xfId="0" applyFont="1" applyFill="1" applyBorder="1" applyAlignment="1" applyProtection="1">
      <alignment vertical="top" wrapText="1"/>
      <protection locked="0"/>
    </xf>
    <xf numFmtId="0" fontId="4" fillId="11" borderId="13" xfId="0" applyFont="1" applyFill="1" applyBorder="1" applyAlignment="1" applyProtection="1">
      <alignment vertical="top" wrapText="1"/>
      <protection locked="0"/>
    </xf>
    <xf numFmtId="0" fontId="4" fillId="4" borderId="25" xfId="0" applyFont="1" applyFill="1" applyBorder="1" applyAlignment="1" applyProtection="1">
      <alignment horizontal="center" vertical="top" wrapText="1"/>
      <protection locked="0"/>
    </xf>
    <xf numFmtId="0" fontId="4" fillId="4" borderId="1" xfId="0" applyFont="1" applyFill="1" applyBorder="1" applyAlignment="1" applyProtection="1">
      <alignment horizontal="right" vertical="top" wrapText="1"/>
      <protection locked="0"/>
    </xf>
    <xf numFmtId="0" fontId="9" fillId="12" borderId="11" xfId="0" applyFont="1" applyFill="1" applyBorder="1" applyAlignment="1" applyProtection="1">
      <alignment horizontal="center"/>
      <protection locked="0"/>
    </xf>
    <xf numFmtId="0" fontId="9" fillId="12" borderId="13" xfId="0" applyFont="1" applyFill="1" applyBorder="1" applyAlignment="1" applyProtection="1">
      <alignment horizontal="center"/>
      <protection locked="0"/>
    </xf>
    <xf numFmtId="0" fontId="4" fillId="5" borderId="11" xfId="0" applyFont="1" applyFill="1" applyBorder="1" applyAlignment="1" applyProtection="1">
      <alignment horizontal="left" vertical="top"/>
      <protection locked="0"/>
    </xf>
    <xf numFmtId="0" fontId="4" fillId="5" borderId="12" xfId="0" applyFont="1" applyFill="1" applyBorder="1" applyAlignment="1" applyProtection="1">
      <alignment horizontal="left" vertical="top"/>
      <protection locked="0"/>
    </xf>
    <xf numFmtId="0" fontId="4" fillId="5" borderId="13" xfId="0" applyFont="1" applyFill="1" applyBorder="1" applyAlignment="1" applyProtection="1">
      <alignment horizontal="left" vertical="top"/>
      <protection locked="0"/>
    </xf>
    <xf numFmtId="0" fontId="76" fillId="7" borderId="11" xfId="0" applyFont="1" applyFill="1" applyBorder="1" applyAlignment="1" applyProtection="1">
      <alignment horizontal="center" wrapText="1"/>
      <protection locked="0"/>
    </xf>
    <xf numFmtId="0" fontId="27" fillId="7" borderId="13" xfId="0" applyFont="1" applyFill="1" applyBorder="1" applyAlignment="1" applyProtection="1">
      <alignment horizontal="center"/>
      <protection locked="0"/>
    </xf>
    <xf numFmtId="0" fontId="25" fillId="10" borderId="11" xfId="0" applyFont="1" applyFill="1" applyBorder="1" applyAlignment="1" applyProtection="1">
      <alignment horizontal="left" vertical="center"/>
      <protection locked="0"/>
    </xf>
    <xf numFmtId="0" fontId="42" fillId="10" borderId="12" xfId="0" applyFont="1" applyFill="1" applyBorder="1" applyAlignment="1" applyProtection="1">
      <alignment horizontal="left" vertical="center"/>
      <protection locked="0"/>
    </xf>
    <xf numFmtId="0" fontId="42" fillId="10" borderId="13" xfId="0" applyFont="1" applyFill="1" applyBorder="1" applyAlignment="1" applyProtection="1">
      <alignment horizontal="left" vertical="center"/>
      <protection locked="0"/>
    </xf>
    <xf numFmtId="165" fontId="25" fillId="10" borderId="11" xfId="0" applyNumberFormat="1" applyFont="1" applyFill="1" applyBorder="1" applyAlignment="1">
      <alignment horizontal="center" vertical="center"/>
    </xf>
    <xf numFmtId="165" fontId="25" fillId="10" borderId="13" xfId="0" applyNumberFormat="1" applyFont="1" applyFill="1" applyBorder="1" applyAlignment="1">
      <alignment horizontal="center" vertical="center"/>
    </xf>
    <xf numFmtId="0" fontId="42" fillId="4" borderId="1" xfId="0" applyFont="1" applyFill="1" applyBorder="1" applyAlignment="1" applyProtection="1">
      <alignment horizontal="center" vertical="top" wrapText="1"/>
      <protection locked="0"/>
    </xf>
    <xf numFmtId="165" fontId="42" fillId="2" borderId="11" xfId="0" applyNumberFormat="1" applyFont="1" applyFill="1" applyBorder="1" applyAlignment="1">
      <alignment horizontal="center" vertical="top"/>
    </xf>
    <xf numFmtId="165" fontId="42" fillId="2" borderId="13" xfId="0" applyNumberFormat="1" applyFont="1" applyFill="1" applyBorder="1" applyAlignment="1">
      <alignment horizontal="center" vertical="top"/>
    </xf>
    <xf numFmtId="0" fontId="9" fillId="9" borderId="1" xfId="1" applyFont="1" applyFill="1" applyBorder="1" applyProtection="1">
      <protection locked="0"/>
    </xf>
    <xf numFmtId="0" fontId="16" fillId="0" borderId="11" xfId="0" applyFont="1" applyBorder="1" applyAlignment="1" applyProtection="1">
      <alignment horizontal="left" vertical="center"/>
      <protection locked="0"/>
    </xf>
    <xf numFmtId="0" fontId="16" fillId="0" borderId="12" xfId="0" applyFont="1" applyBorder="1" applyAlignment="1" applyProtection="1">
      <alignment horizontal="left" vertical="center"/>
      <protection locked="0"/>
    </xf>
    <xf numFmtId="0" fontId="16" fillId="0" borderId="13" xfId="0" applyFont="1" applyBorder="1" applyAlignment="1" applyProtection="1">
      <alignment horizontal="left" vertical="center"/>
      <protection locked="0"/>
    </xf>
    <xf numFmtId="0" fontId="25" fillId="10" borderId="0" xfId="1" applyFont="1" applyFill="1" applyBorder="1" applyAlignment="1" applyProtection="1">
      <alignment horizontal="left" vertical="center"/>
      <protection locked="0"/>
    </xf>
    <xf numFmtId="0" fontId="25" fillId="10" borderId="11" xfId="1" applyFont="1" applyFill="1" applyBorder="1" applyAlignment="1" applyProtection="1">
      <alignment horizontal="left" vertical="center"/>
      <protection locked="0"/>
    </xf>
    <xf numFmtId="0" fontId="76" fillId="10" borderId="12" xfId="1" applyFont="1" applyFill="1" applyBorder="1" applyAlignment="1" applyProtection="1">
      <alignment horizontal="left" vertical="center"/>
      <protection locked="0"/>
    </xf>
    <xf numFmtId="0" fontId="76" fillId="10" borderId="13" xfId="1" applyFont="1" applyFill="1" applyBorder="1" applyAlignment="1" applyProtection="1">
      <alignment horizontal="left" vertical="center"/>
      <protection locked="0"/>
    </xf>
    <xf numFmtId="0" fontId="9" fillId="5" borderId="11" xfId="0" applyFont="1" applyFill="1" applyBorder="1" applyAlignment="1">
      <alignment horizontal="center" vertical="top" wrapText="1"/>
    </xf>
    <xf numFmtId="0" fontId="9" fillId="5" borderId="13" xfId="0" applyFont="1" applyFill="1" applyBorder="1" applyAlignment="1">
      <alignment horizontal="center" vertical="top" wrapText="1"/>
    </xf>
    <xf numFmtId="0" fontId="4" fillId="4" borderId="12" xfId="0" applyFont="1" applyFill="1" applyBorder="1" applyAlignment="1">
      <alignment horizontal="center" vertical="top" wrapText="1"/>
    </xf>
    <xf numFmtId="165" fontId="16" fillId="26" borderId="38" xfId="0" applyNumberFormat="1" applyFont="1" applyFill="1" applyBorder="1" applyAlignment="1">
      <alignment horizontal="right" vertical="top" wrapText="1"/>
    </xf>
    <xf numFmtId="0" fontId="9" fillId="5" borderId="12" xfId="0" applyFont="1" applyFill="1" applyBorder="1" applyAlignment="1">
      <alignment horizontal="center" vertical="top" wrapText="1"/>
    </xf>
    <xf numFmtId="0" fontId="4" fillId="22" borderId="18" xfId="0" applyFont="1" applyFill="1" applyBorder="1" applyAlignment="1">
      <alignment horizontal="center" vertical="top" wrapText="1"/>
    </xf>
    <xf numFmtId="0" fontId="4" fillId="22" borderId="19" xfId="0" applyFont="1" applyFill="1" applyBorder="1" applyAlignment="1">
      <alignment horizontal="center" vertical="top" wrapText="1"/>
    </xf>
    <xf numFmtId="0" fontId="4" fillId="22" borderId="16" xfId="0" applyFont="1" applyFill="1" applyBorder="1" applyAlignment="1">
      <alignment horizontal="center" vertical="top" wrapText="1"/>
    </xf>
    <xf numFmtId="0" fontId="4" fillId="22" borderId="32" xfId="0" applyFont="1" applyFill="1" applyBorder="1" applyAlignment="1">
      <alignment horizontal="center" vertical="top" wrapText="1"/>
    </xf>
    <xf numFmtId="0" fontId="4" fillId="22" borderId="23" xfId="0" applyFont="1" applyFill="1" applyBorder="1" applyAlignment="1">
      <alignment horizontal="center" vertical="top" wrapText="1"/>
    </xf>
    <xf numFmtId="0" fontId="4" fillId="22" borderId="25" xfId="0" applyFont="1" applyFill="1" applyBorder="1" applyAlignment="1">
      <alignment horizontal="center" vertical="top" wrapText="1"/>
    </xf>
    <xf numFmtId="0" fontId="45" fillId="0" borderId="11" xfId="0" applyFont="1" applyBorder="1" applyAlignment="1" applyProtection="1">
      <alignment horizontal="center" wrapText="1"/>
      <protection locked="0"/>
    </xf>
    <xf numFmtId="0" fontId="45" fillId="0" borderId="13" xfId="0" applyFont="1" applyBorder="1" applyAlignment="1" applyProtection="1">
      <alignment horizontal="center" wrapText="1"/>
      <protection locked="0"/>
    </xf>
    <xf numFmtId="0" fontId="4" fillId="4" borderId="14" xfId="0" applyFont="1" applyFill="1" applyBorder="1" applyAlignment="1">
      <alignment vertical="top" wrapText="1"/>
    </xf>
    <xf numFmtId="0" fontId="4" fillId="4" borderId="22" xfId="0" applyFont="1" applyFill="1" applyBorder="1" applyAlignment="1">
      <alignment vertical="top" wrapText="1"/>
    </xf>
    <xf numFmtId="0" fontId="4" fillId="4" borderId="15" xfId="0" applyFont="1" applyFill="1" applyBorder="1" applyAlignment="1">
      <alignment vertical="top" wrapText="1"/>
    </xf>
    <xf numFmtId="0" fontId="4" fillId="4" borderId="22" xfId="0" applyFont="1" applyFill="1" applyBorder="1" applyAlignment="1">
      <alignment horizontal="center" vertical="top" wrapText="1"/>
    </xf>
    <xf numFmtId="0" fontId="1" fillId="26" borderId="1" xfId="0" applyFont="1" applyFill="1" applyBorder="1" applyAlignment="1" applyProtection="1">
      <alignment horizontal="center" vertical="top" wrapText="1"/>
      <protection locked="0"/>
    </xf>
    <xf numFmtId="0" fontId="4" fillId="2" borderId="11" xfId="0" applyFont="1" applyFill="1" applyBorder="1" applyAlignment="1">
      <alignment horizontal="left" vertical="top" wrapText="1"/>
    </xf>
    <xf numFmtId="0" fontId="4" fillId="2" borderId="12" xfId="0" applyFont="1" applyFill="1" applyBorder="1" applyAlignment="1">
      <alignment horizontal="left" vertical="top" wrapText="1"/>
    </xf>
    <xf numFmtId="0" fontId="4" fillId="4" borderId="17" xfId="0" applyFont="1" applyFill="1" applyBorder="1" applyAlignment="1">
      <alignment horizontal="center" vertical="top" wrapText="1"/>
    </xf>
    <xf numFmtId="0" fontId="4" fillId="4" borderId="16" xfId="0" applyFont="1" applyFill="1" applyBorder="1" applyAlignment="1">
      <alignment horizontal="center" vertical="top" wrapText="1"/>
    </xf>
    <xf numFmtId="0" fontId="4" fillId="4" borderId="0" xfId="0" applyFont="1" applyFill="1" applyAlignment="1">
      <alignment horizontal="center" vertical="top" wrapText="1"/>
    </xf>
    <xf numFmtId="0" fontId="4" fillId="4" borderId="32" xfId="0" applyFont="1" applyFill="1" applyBorder="1" applyAlignment="1">
      <alignment horizontal="center" vertical="top" wrapText="1"/>
    </xf>
    <xf numFmtId="0" fontId="4" fillId="4" borderId="10" xfId="0" applyFont="1" applyFill="1" applyBorder="1" applyAlignment="1">
      <alignment horizontal="center" vertical="top" wrapText="1"/>
    </xf>
    <xf numFmtId="165" fontId="16" fillId="26" borderId="11" xfId="0" applyNumberFormat="1" applyFont="1" applyFill="1" applyBorder="1" applyAlignment="1">
      <alignment horizontal="center" vertical="top" wrapText="1"/>
    </xf>
    <xf numFmtId="165" fontId="16" fillId="26" borderId="12" xfId="0" applyNumberFormat="1" applyFont="1" applyFill="1" applyBorder="1" applyAlignment="1">
      <alignment horizontal="center" vertical="top" wrapText="1"/>
    </xf>
    <xf numFmtId="165" fontId="16" fillId="26" borderId="13" xfId="0" applyNumberFormat="1" applyFont="1" applyFill="1" applyBorder="1" applyAlignment="1">
      <alignment horizontal="center" vertical="top" wrapText="1"/>
    </xf>
    <xf numFmtId="165" fontId="16" fillId="26" borderId="1" xfId="0" applyNumberFormat="1" applyFont="1" applyFill="1" applyBorder="1" applyAlignment="1">
      <alignment horizontal="center" vertical="top" wrapText="1"/>
    </xf>
    <xf numFmtId="0" fontId="16" fillId="2" borderId="1" xfId="0" applyFont="1" applyFill="1" applyBorder="1" applyAlignment="1">
      <alignment horizontal="left" vertical="center" wrapText="1"/>
    </xf>
    <xf numFmtId="0" fontId="4" fillId="4" borderId="18" xfId="0" applyFont="1" applyFill="1" applyBorder="1" applyAlignment="1">
      <alignment horizontal="left" vertical="top" wrapText="1"/>
    </xf>
    <xf numFmtId="0" fontId="4" fillId="4" borderId="17" xfId="0" applyFont="1" applyFill="1" applyBorder="1" applyAlignment="1">
      <alignment horizontal="left" vertical="top" wrapText="1"/>
    </xf>
    <xf numFmtId="0" fontId="4" fillId="4" borderId="19" xfId="0" applyFont="1" applyFill="1" applyBorder="1" applyAlignment="1">
      <alignment horizontal="left" vertical="top" wrapText="1"/>
    </xf>
    <xf numFmtId="0" fontId="4" fillId="4" borderId="16" xfId="0" applyFont="1" applyFill="1" applyBorder="1" applyAlignment="1">
      <alignment horizontal="left" vertical="top" wrapText="1"/>
    </xf>
    <xf numFmtId="0" fontId="4" fillId="4" borderId="0" xfId="0" applyFont="1" applyFill="1" applyAlignment="1">
      <alignment horizontal="left" vertical="top" wrapText="1"/>
    </xf>
    <xf numFmtId="0" fontId="4" fillId="4" borderId="32" xfId="0" applyFont="1" applyFill="1" applyBorder="1" applyAlignment="1">
      <alignment horizontal="left" vertical="top" wrapText="1"/>
    </xf>
    <xf numFmtId="0" fontId="4" fillId="4" borderId="23" xfId="0" applyFont="1" applyFill="1" applyBorder="1" applyAlignment="1">
      <alignment horizontal="left" vertical="top" wrapText="1"/>
    </xf>
    <xf numFmtId="0" fontId="4" fillId="4" borderId="10" xfId="0" applyFont="1" applyFill="1" applyBorder="1" applyAlignment="1">
      <alignment horizontal="left" vertical="top" wrapText="1"/>
    </xf>
    <xf numFmtId="0" fontId="4" fillId="4" borderId="25" xfId="0" applyFont="1" applyFill="1" applyBorder="1" applyAlignment="1">
      <alignment horizontal="left" vertical="top" wrapText="1"/>
    </xf>
    <xf numFmtId="0" fontId="16" fillId="2" borderId="11" xfId="0" applyFont="1" applyFill="1" applyBorder="1" applyAlignment="1">
      <alignment horizontal="left" vertical="center" wrapText="1"/>
    </xf>
    <xf numFmtId="0" fontId="16" fillId="2" borderId="12" xfId="0" applyFont="1" applyFill="1" applyBorder="1" applyAlignment="1">
      <alignment horizontal="left" vertical="center" wrapText="1"/>
    </xf>
    <xf numFmtId="0" fontId="16" fillId="2" borderId="13" xfId="0" applyFont="1" applyFill="1" applyBorder="1" applyAlignment="1">
      <alignment horizontal="left" vertical="center" wrapText="1"/>
    </xf>
    <xf numFmtId="0" fontId="16" fillId="26" borderId="13" xfId="0" applyFont="1" applyFill="1" applyBorder="1" applyAlignment="1" applyProtection="1">
      <alignment horizontal="left" vertical="top" wrapText="1"/>
      <protection locked="0"/>
    </xf>
    <xf numFmtId="0" fontId="4" fillId="9" borderId="1" xfId="0" applyFont="1" applyFill="1" applyBorder="1" applyAlignment="1">
      <alignment horizontal="left" vertical="top" wrapText="1"/>
    </xf>
    <xf numFmtId="0" fontId="29" fillId="27" borderId="1" xfId="1" applyFont="1" applyFill="1" applyBorder="1" applyAlignment="1" applyProtection="1">
      <alignment horizontal="left" vertical="top" wrapText="1"/>
    </xf>
    <xf numFmtId="0" fontId="29" fillId="27" borderId="1" xfId="1" applyFont="1" applyFill="1" applyBorder="1" applyAlignment="1" applyProtection="1">
      <alignment vertical="top" wrapText="1"/>
    </xf>
    <xf numFmtId="0" fontId="84" fillId="2" borderId="1" xfId="1" applyFont="1" applyFill="1" applyBorder="1" applyAlignment="1" applyProtection="1">
      <alignment horizontal="left" vertical="top" wrapText="1"/>
    </xf>
    <xf numFmtId="0" fontId="84" fillId="9" borderId="1" xfId="1" applyFont="1" applyFill="1" applyBorder="1" applyAlignment="1" applyProtection="1">
      <alignment horizontal="left" vertical="top" wrapText="1"/>
    </xf>
    <xf numFmtId="0" fontId="4" fillId="9" borderId="11" xfId="0" applyFont="1" applyFill="1" applyBorder="1" applyAlignment="1">
      <alignment horizontal="left" vertical="top" wrapText="1"/>
    </xf>
    <xf numFmtId="0" fontId="4" fillId="9" borderId="12" xfId="0" applyFont="1" applyFill="1" applyBorder="1" applyAlignment="1">
      <alignment horizontal="left" vertical="top" wrapText="1"/>
    </xf>
    <xf numFmtId="0" fontId="4" fillId="9" borderId="13" xfId="0" applyFont="1" applyFill="1" applyBorder="1" applyAlignment="1">
      <alignment horizontal="left" vertical="top" wrapText="1"/>
    </xf>
    <xf numFmtId="0" fontId="9" fillId="2" borderId="15" xfId="1" applyFont="1" applyFill="1" applyBorder="1" applyAlignment="1" applyProtection="1">
      <alignment horizontal="left" vertical="top" wrapText="1"/>
    </xf>
    <xf numFmtId="0" fontId="29" fillId="2" borderId="15" xfId="1" applyFont="1" applyFill="1" applyBorder="1" applyAlignment="1" applyProtection="1">
      <alignment horizontal="left" vertical="top" wrapText="1"/>
    </xf>
    <xf numFmtId="165" fontId="1" fillId="26" borderId="11" xfId="0" applyNumberFormat="1" applyFont="1" applyFill="1" applyBorder="1" applyAlignment="1">
      <alignment horizontal="right" vertical="top" wrapText="1"/>
    </xf>
    <xf numFmtId="165" fontId="1" fillId="26" borderId="13" xfId="0" applyNumberFormat="1" applyFont="1" applyFill="1" applyBorder="1" applyAlignment="1">
      <alignment horizontal="right" vertical="top" wrapText="1"/>
    </xf>
    <xf numFmtId="0" fontId="4" fillId="22" borderId="14" xfId="0" applyFont="1" applyFill="1" applyBorder="1" applyAlignment="1">
      <alignment vertical="top" wrapText="1"/>
    </xf>
    <xf numFmtId="0" fontId="4" fillId="22" borderId="22" xfId="0" applyFont="1" applyFill="1" applyBorder="1" applyAlignment="1">
      <alignment vertical="top" wrapText="1"/>
    </xf>
    <xf numFmtId="0" fontId="4" fillId="22" borderId="15" xfId="0" applyFont="1" applyFill="1" applyBorder="1" applyAlignment="1">
      <alignment vertical="top" wrapText="1"/>
    </xf>
    <xf numFmtId="0" fontId="9" fillId="5" borderId="1" xfId="0" applyFont="1" applyFill="1" applyBorder="1" applyAlignment="1">
      <alignment horizontal="center" vertical="top" wrapText="1"/>
    </xf>
    <xf numFmtId="0" fontId="4" fillId="27" borderId="11" xfId="0" applyFont="1" applyFill="1" applyBorder="1" applyAlignment="1">
      <alignment horizontal="left" vertical="top" wrapText="1"/>
    </xf>
    <xf numFmtId="0" fontId="4" fillId="27" borderId="12" xfId="0" applyFont="1" applyFill="1" applyBorder="1" applyAlignment="1">
      <alignment horizontal="left" vertical="top" wrapText="1"/>
    </xf>
    <xf numFmtId="0" fontId="4" fillId="27" borderId="13" xfId="0" applyFont="1" applyFill="1" applyBorder="1" applyAlignment="1">
      <alignment horizontal="left" vertical="top" wrapText="1"/>
    </xf>
    <xf numFmtId="0" fontId="4" fillId="22" borderId="14" xfId="0" applyFont="1" applyFill="1" applyBorder="1" applyAlignment="1">
      <alignment horizontal="center" vertical="top" wrapText="1"/>
    </xf>
    <xf numFmtId="0" fontId="4" fillId="22" borderId="22" xfId="0" applyFont="1" applyFill="1" applyBorder="1" applyAlignment="1">
      <alignment horizontal="center" vertical="top" wrapText="1"/>
    </xf>
    <xf numFmtId="0" fontId="4" fillId="22" borderId="15" xfId="0" applyFont="1" applyFill="1" applyBorder="1" applyAlignment="1">
      <alignment horizontal="center" vertical="top" wrapText="1"/>
    </xf>
    <xf numFmtId="0" fontId="4" fillId="27" borderId="11" xfId="0" applyFont="1" applyFill="1" applyBorder="1" applyAlignment="1">
      <alignment vertical="top" wrapText="1"/>
    </xf>
    <xf numFmtId="0" fontId="4" fillId="27" borderId="12" xfId="0" applyFont="1" applyFill="1" applyBorder="1" applyAlignment="1">
      <alignment vertical="top" wrapText="1"/>
    </xf>
    <xf numFmtId="0" fontId="4" fillId="27" borderId="13" xfId="0" applyFont="1" applyFill="1" applyBorder="1" applyAlignment="1">
      <alignment vertical="top" wrapText="1"/>
    </xf>
    <xf numFmtId="0" fontId="16" fillId="0" borderId="38" xfId="0" applyFont="1" applyBorder="1" applyAlignment="1">
      <alignment horizontal="left" vertical="top" wrapText="1"/>
    </xf>
    <xf numFmtId="0" fontId="4" fillId="2" borderId="13" xfId="0" applyFont="1" applyFill="1" applyBorder="1" applyAlignment="1">
      <alignment horizontal="left" vertical="top" wrapText="1"/>
    </xf>
    <xf numFmtId="0" fontId="21" fillId="10" borderId="11" xfId="0" applyFont="1" applyFill="1" applyBorder="1" applyAlignment="1">
      <alignment horizontal="center" vertical="center" wrapText="1"/>
    </xf>
    <xf numFmtId="0" fontId="21" fillId="10" borderId="13" xfId="0" applyFont="1" applyFill="1" applyBorder="1" applyAlignment="1">
      <alignment horizontal="center" vertical="center" wrapText="1"/>
    </xf>
    <xf numFmtId="0" fontId="21" fillId="10" borderId="12" xfId="0" applyFont="1" applyFill="1" applyBorder="1" applyAlignment="1">
      <alignment horizontal="center" vertical="center" wrapText="1"/>
    </xf>
    <xf numFmtId="0" fontId="4" fillId="2" borderId="11" xfId="0" applyFont="1" applyFill="1" applyBorder="1" applyAlignment="1">
      <alignment vertical="top" wrapText="1"/>
    </xf>
    <xf numFmtId="0" fontId="4" fillId="2" borderId="12" xfId="0" applyFont="1" applyFill="1" applyBorder="1" applyAlignment="1">
      <alignment vertical="top" wrapText="1"/>
    </xf>
    <xf numFmtId="0" fontId="4" fillId="2" borderId="13" xfId="0" applyFont="1" applyFill="1" applyBorder="1" applyAlignment="1">
      <alignment vertical="top" wrapText="1"/>
    </xf>
    <xf numFmtId="0" fontId="8" fillId="3" borderId="4" xfId="0" applyFont="1" applyFill="1" applyBorder="1" applyAlignment="1" applyProtection="1">
      <alignment horizontal="left" vertical="center" wrapText="1"/>
      <protection locked="0"/>
    </xf>
    <xf numFmtId="0" fontId="8" fillId="3" borderId="8" xfId="0" applyFont="1" applyFill="1" applyBorder="1" applyAlignment="1" applyProtection="1">
      <alignment horizontal="left" vertical="center" wrapText="1"/>
      <protection locked="0"/>
    </xf>
    <xf numFmtId="0" fontId="8" fillId="3" borderId="9" xfId="0" applyFont="1" applyFill="1" applyBorder="1" applyAlignment="1" applyProtection="1">
      <alignment horizontal="left" vertical="center" wrapText="1"/>
      <protection locked="0"/>
    </xf>
    <xf numFmtId="0" fontId="29" fillId="2" borderId="11" xfId="1" applyFont="1" applyFill="1" applyBorder="1" applyAlignment="1" applyProtection="1">
      <alignment horizontal="left" vertical="center" wrapText="1"/>
    </xf>
    <xf numFmtId="0" fontId="29" fillId="2" borderId="12" xfId="1" applyFont="1" applyFill="1" applyBorder="1" applyAlignment="1" applyProtection="1">
      <alignment horizontal="left" vertical="center" wrapText="1"/>
    </xf>
    <xf numFmtId="0" fontId="29" fillId="2" borderId="13" xfId="1" applyFont="1" applyFill="1" applyBorder="1" applyAlignment="1" applyProtection="1">
      <alignment horizontal="left" vertical="center" wrapText="1"/>
    </xf>
    <xf numFmtId="0" fontId="29" fillId="2" borderId="11" xfId="1" applyFont="1" applyFill="1" applyBorder="1" applyAlignment="1" applyProtection="1">
      <alignment vertical="center" wrapText="1"/>
    </xf>
    <xf numFmtId="0" fontId="29" fillId="2" borderId="12" xfId="1" applyFont="1" applyFill="1" applyBorder="1" applyAlignment="1" applyProtection="1">
      <alignment vertical="center" wrapText="1"/>
    </xf>
    <xf numFmtId="0" fontId="29" fillId="2" borderId="13" xfId="1" applyFont="1" applyFill="1" applyBorder="1" applyAlignment="1" applyProtection="1">
      <alignment vertical="center" wrapText="1"/>
    </xf>
    <xf numFmtId="0" fontId="29" fillId="9" borderId="11" xfId="1" applyFont="1" applyFill="1" applyBorder="1" applyAlignment="1" applyProtection="1">
      <alignment horizontal="left" vertical="center" wrapText="1"/>
    </xf>
    <xf numFmtId="0" fontId="29" fillId="9" borderId="12" xfId="1" applyFont="1" applyFill="1" applyBorder="1" applyAlignment="1" applyProtection="1">
      <alignment horizontal="left" vertical="center" wrapText="1"/>
    </xf>
    <xf numFmtId="0" fontId="29" fillId="9" borderId="13" xfId="1" applyFont="1" applyFill="1" applyBorder="1" applyAlignment="1" applyProtection="1">
      <alignment horizontal="left" vertical="center" wrapText="1"/>
    </xf>
    <xf numFmtId="0" fontId="16" fillId="21" borderId="1" xfId="0" applyFont="1" applyFill="1" applyBorder="1" applyAlignment="1">
      <alignment horizontal="left" wrapText="1"/>
    </xf>
    <xf numFmtId="0" fontId="4" fillId="2" borderId="11" xfId="0" applyFont="1" applyFill="1" applyBorder="1" applyAlignment="1">
      <alignment horizontal="left" vertical="center" wrapText="1"/>
    </xf>
    <xf numFmtId="0" fontId="4" fillId="2" borderId="12" xfId="0" applyFont="1" applyFill="1" applyBorder="1" applyAlignment="1">
      <alignment horizontal="left" vertical="center" wrapText="1"/>
    </xf>
    <xf numFmtId="0" fontId="4" fillId="2" borderId="13" xfId="0" applyFont="1" applyFill="1" applyBorder="1" applyAlignment="1">
      <alignment horizontal="left" vertical="center" wrapText="1"/>
    </xf>
    <xf numFmtId="165" fontId="16" fillId="26" borderId="11" xfId="0" applyNumberFormat="1" applyFont="1" applyFill="1" applyBorder="1" applyAlignment="1">
      <alignment vertical="top" wrapText="1"/>
    </xf>
    <xf numFmtId="165" fontId="16" fillId="26" borderId="12" xfId="0" applyNumberFormat="1" applyFont="1" applyFill="1" applyBorder="1" applyAlignment="1">
      <alignment vertical="top" wrapText="1"/>
    </xf>
    <xf numFmtId="165" fontId="16" fillId="26" borderId="13" xfId="0" applyNumberFormat="1" applyFont="1" applyFill="1" applyBorder="1" applyAlignment="1">
      <alignment vertical="top" wrapText="1"/>
    </xf>
    <xf numFmtId="0" fontId="9" fillId="2" borderId="11" xfId="0" applyFont="1" applyFill="1" applyBorder="1" applyAlignment="1" applyProtection="1">
      <alignment horizontal="left" vertical="top" wrapText="1"/>
      <protection locked="0"/>
    </xf>
    <xf numFmtId="0" fontId="9" fillId="2" borderId="12" xfId="0" applyFont="1" applyFill="1" applyBorder="1" applyAlignment="1" applyProtection="1">
      <alignment horizontal="left" vertical="top" wrapText="1"/>
      <protection locked="0"/>
    </xf>
    <xf numFmtId="0" fontId="9" fillId="2" borderId="13" xfId="0" applyFont="1" applyFill="1" applyBorder="1" applyAlignment="1" applyProtection="1">
      <alignment horizontal="left" vertical="top" wrapText="1"/>
      <protection locked="0"/>
    </xf>
    <xf numFmtId="0" fontId="20" fillId="0" borderId="20" xfId="0" applyFont="1" applyBorder="1" applyAlignment="1" applyProtection="1">
      <alignment wrapText="1"/>
      <protection locked="0"/>
    </xf>
    <xf numFmtId="0" fontId="20" fillId="0" borderId="21" xfId="0" applyFont="1" applyBorder="1" applyAlignment="1" applyProtection="1">
      <alignment wrapText="1"/>
      <protection locked="0"/>
    </xf>
    <xf numFmtId="0" fontId="21" fillId="3" borderId="1" xfId="0" applyFont="1" applyFill="1" applyBorder="1" applyAlignment="1" applyProtection="1">
      <alignment horizontal="center" vertical="center" wrapText="1"/>
      <protection locked="0"/>
    </xf>
    <xf numFmtId="0" fontId="14" fillId="0" borderId="1" xfId="0" applyFont="1" applyBorder="1" applyAlignment="1">
      <alignment horizontal="left" vertical="center"/>
    </xf>
    <xf numFmtId="0" fontId="12" fillId="3" borderId="1" xfId="0" applyFont="1" applyFill="1" applyBorder="1" applyAlignment="1">
      <alignment horizontal="left" vertical="center"/>
    </xf>
    <xf numFmtId="0" fontId="12" fillId="3" borderId="16" xfId="0" applyFont="1" applyFill="1" applyBorder="1" applyAlignment="1">
      <alignment horizontal="left" vertical="center"/>
    </xf>
    <xf numFmtId="0" fontId="12" fillId="3" borderId="0" xfId="0" applyFont="1" applyFill="1" applyAlignment="1">
      <alignment horizontal="left" vertical="center"/>
    </xf>
    <xf numFmtId="0" fontId="14" fillId="0" borderId="1" xfId="0" applyFont="1" applyBorder="1" applyAlignment="1">
      <alignment horizontal="left" vertical="center" wrapText="1"/>
    </xf>
    <xf numFmtId="0" fontId="25" fillId="21" borderId="0" xfId="0" applyFont="1" applyFill="1" applyAlignment="1">
      <alignment horizontal="center" vertical="top" wrapText="1"/>
    </xf>
    <xf numFmtId="165" fontId="27" fillId="12" borderId="77" xfId="0" applyNumberFormat="1" applyFont="1" applyFill="1" applyBorder="1" applyAlignment="1">
      <alignment horizontal="center" vertical="top" wrapText="1"/>
    </xf>
    <xf numFmtId="165" fontId="27" fillId="12" borderId="78" xfId="0" applyNumberFormat="1" applyFont="1" applyFill="1" applyBorder="1" applyAlignment="1">
      <alignment horizontal="center" vertical="top" wrapText="1"/>
    </xf>
    <xf numFmtId="0" fontId="41" fillId="0" borderId="10" xfId="0" applyFont="1" applyBorder="1" applyAlignment="1">
      <alignment vertical="top" wrapText="1"/>
    </xf>
    <xf numFmtId="0" fontId="41" fillId="0" borderId="0" xfId="0" applyFont="1" applyAlignment="1">
      <alignment vertical="top" wrapText="1"/>
    </xf>
    <xf numFmtId="0" fontId="41" fillId="0" borderId="10" xfId="0" applyFont="1" applyBorder="1" applyAlignment="1">
      <alignment horizontal="left" vertical="top" wrapText="1"/>
    </xf>
    <xf numFmtId="165" fontId="27" fillId="0" borderId="75" xfId="0" applyNumberFormat="1" applyFont="1" applyBorder="1" applyAlignment="1">
      <alignment horizontal="center" vertical="top" wrapText="1"/>
    </xf>
    <xf numFmtId="165" fontId="27" fillId="0" borderId="76" xfId="0" applyNumberFormat="1" applyFont="1" applyBorder="1" applyAlignment="1">
      <alignment horizontal="center" vertical="top" wrapText="1"/>
    </xf>
    <xf numFmtId="165" fontId="27" fillId="0" borderId="11" xfId="0" applyNumberFormat="1" applyFont="1" applyBorder="1" applyAlignment="1">
      <alignment horizontal="center" vertical="top" wrapText="1"/>
    </xf>
    <xf numFmtId="165" fontId="27" fillId="0" borderId="74" xfId="0" applyNumberFormat="1" applyFont="1" applyBorder="1" applyAlignment="1">
      <alignment horizontal="center" vertical="top" wrapText="1"/>
    </xf>
    <xf numFmtId="0" fontId="1" fillId="0" borderId="53" xfId="0" applyFont="1" applyBorder="1" applyAlignment="1">
      <alignment horizontal="left" vertical="top" wrapText="1"/>
    </xf>
    <xf numFmtId="0" fontId="1" fillId="0" borderId="54" xfId="0" applyFont="1" applyBorder="1" applyAlignment="1">
      <alignment horizontal="left" vertical="top" wrapText="1"/>
    </xf>
    <xf numFmtId="0" fontId="1" fillId="0" borderId="51" xfId="0" applyFont="1" applyBorder="1" applyAlignment="1">
      <alignment horizontal="left" vertical="top" wrapText="1"/>
    </xf>
    <xf numFmtId="0" fontId="1" fillId="0" borderId="14" xfId="0" applyFont="1" applyBorder="1" applyAlignment="1">
      <alignment horizontal="left" vertical="top" wrapText="1"/>
    </xf>
    <xf numFmtId="0" fontId="1" fillId="0" borderId="22" xfId="0" applyFont="1" applyBorder="1" applyAlignment="1">
      <alignment horizontal="left" vertical="top" wrapText="1"/>
    </xf>
    <xf numFmtId="0" fontId="1" fillId="0" borderId="43" xfId="0" applyFont="1" applyBorder="1" applyAlignment="1">
      <alignment horizontal="left" vertical="top" wrapText="1"/>
    </xf>
    <xf numFmtId="0" fontId="1" fillId="0" borderId="15" xfId="0" applyFont="1" applyBorder="1" applyAlignment="1">
      <alignment horizontal="left" vertical="top" wrapText="1"/>
    </xf>
    <xf numFmtId="0" fontId="87" fillId="0" borderId="53" xfId="0" applyFont="1" applyBorder="1" applyAlignment="1">
      <alignment horizontal="left" vertical="top" wrapText="1"/>
    </xf>
    <xf numFmtId="0" fontId="87" fillId="0" borderId="54" xfId="0" applyFont="1" applyBorder="1" applyAlignment="1">
      <alignment horizontal="left" vertical="top" wrapText="1"/>
    </xf>
    <xf numFmtId="0" fontId="87" fillId="0" borderId="51" xfId="0" applyFont="1" applyBorder="1" applyAlignment="1">
      <alignment horizontal="left" vertical="top" wrapText="1"/>
    </xf>
    <xf numFmtId="0" fontId="16" fillId="9" borderId="58" xfId="0" applyFont="1" applyFill="1" applyBorder="1" applyAlignment="1">
      <alignment horizontal="left" vertical="top" wrapText="1"/>
    </xf>
    <xf numFmtId="0" fontId="16" fillId="9" borderId="56" xfId="0" applyFont="1" applyFill="1" applyBorder="1" applyAlignment="1">
      <alignment horizontal="left" vertical="top" wrapText="1"/>
    </xf>
    <xf numFmtId="0" fontId="16" fillId="9" borderId="50" xfId="0" applyFont="1" applyFill="1" applyBorder="1" applyAlignment="1">
      <alignment horizontal="left" vertical="top" wrapText="1"/>
    </xf>
    <xf numFmtId="0" fontId="1" fillId="0" borderId="59" xfId="0" applyFont="1" applyBorder="1" applyAlignment="1">
      <alignment horizontal="left" vertical="top" wrapText="1"/>
    </xf>
    <xf numFmtId="0" fontId="1" fillId="0" borderId="52" xfId="0" applyFont="1" applyBorder="1" applyAlignment="1">
      <alignment horizontal="left" vertical="top" wrapText="1"/>
    </xf>
    <xf numFmtId="0" fontId="16" fillId="9" borderId="55" xfId="0" applyFont="1" applyFill="1" applyBorder="1" applyAlignment="1">
      <alignment horizontal="left" vertical="top" wrapText="1"/>
    </xf>
    <xf numFmtId="0" fontId="16" fillId="9" borderId="57" xfId="0" applyFont="1" applyFill="1" applyBorder="1" applyAlignment="1">
      <alignment horizontal="left" vertical="top" wrapText="1"/>
    </xf>
  </cellXfs>
  <cellStyles count="12">
    <cellStyle name="Comma" xfId="4" builtinId="3"/>
    <cellStyle name="Comma 2" xfId="8" xr:uid="{00000000-0005-0000-0000-000001000000}"/>
    <cellStyle name="Comma 3" xfId="6" xr:uid="{00000000-0005-0000-0000-000002000000}"/>
    <cellStyle name="Comma 4" xfId="11" xr:uid="{8879A791-9B01-4340-B303-E4787A13C19C}"/>
    <cellStyle name="Excel_BuiltIn_Output 1" xfId="10" xr:uid="{00000000-0005-0000-0000-000003000000}"/>
    <cellStyle name="Hyperlink" xfId="1" builtinId="8"/>
    <cellStyle name="Normal" xfId="0" builtinId="0"/>
    <cellStyle name="Normal 2" xfId="3" xr:uid="{00000000-0005-0000-0000-000006000000}"/>
    <cellStyle name="Normal 2 2" xfId="7" xr:uid="{00000000-0005-0000-0000-000007000000}"/>
    <cellStyle name="Normal 3" xfId="5" xr:uid="{00000000-0005-0000-0000-000008000000}"/>
    <cellStyle name="Normal 4" xfId="9" xr:uid="{00000000-0005-0000-0000-000009000000}"/>
    <cellStyle name="Percent" xfId="2" builtinId="5"/>
  </cellStyles>
  <dxfs count="4">
    <dxf>
      <font>
        <b val="0"/>
        <i val="0"/>
        <color theme="0"/>
      </font>
      <fill>
        <patternFill>
          <bgColor theme="9" tint="-0.499984740745262"/>
        </patternFill>
      </fill>
    </dxf>
    <dxf>
      <font>
        <color auto="1"/>
      </font>
      <fill>
        <patternFill>
          <bgColor rgb="FFFFFF00"/>
        </patternFill>
      </fill>
    </dxf>
    <dxf>
      <font>
        <color auto="1"/>
      </font>
      <fill>
        <patternFill>
          <bgColor rgb="FFFF0000"/>
        </patternFill>
      </fill>
    </dxf>
    <dxf>
      <font>
        <color theme="1"/>
      </font>
      <fill>
        <patternFill>
          <bgColor theme="2" tint="-0.24994659260841701"/>
        </patternFill>
      </fill>
    </dxf>
  </dxfs>
  <tableStyles count="0" defaultTableStyle="TableStyleMedium2" defaultPivotStyle="PivotStyleLight16"/>
  <colors>
    <mruColors>
      <color rgb="FF833C0C"/>
      <color rgb="FFFCE4D6"/>
      <color rgb="FFECDEF6"/>
      <color rgb="FFB88C00"/>
      <color rgb="FFFF7C80"/>
      <color rgb="FFCC9B00"/>
      <color rgb="FFEFF6FB"/>
      <color rgb="FFE4D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41677247055733"/>
          <c:y val="8.1371592478087881E-2"/>
          <c:w val="0.6191821724092641"/>
          <c:h val="0.91655133685906087"/>
        </c:manualLayout>
      </c:layout>
      <c:pieChart>
        <c:varyColors val="1"/>
        <c:ser>
          <c:idx val="0"/>
          <c:order val="0"/>
          <c:explosion val="1"/>
          <c:dPt>
            <c:idx val="0"/>
            <c:bubble3D val="0"/>
            <c:explosion val="3"/>
            <c:spPr>
              <a:solidFill>
                <a:schemeClr val="accent2">
                  <a:lumMod val="7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7152-46D8-B8A0-E492D4588417}"/>
              </c:ext>
            </c:extLst>
          </c:dPt>
          <c:dPt>
            <c:idx val="1"/>
            <c:bubble3D val="0"/>
            <c:spPr>
              <a:solidFill>
                <a:schemeClr val="accent2">
                  <a:lumMod val="20000"/>
                  <a:lumOff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152-46D8-B8A0-E492D4588417}"/>
              </c:ext>
            </c:extLst>
          </c:dPt>
          <c:dPt>
            <c:idx val="2"/>
            <c:bubble3D val="0"/>
            <c:explosion val="6"/>
            <c:spPr>
              <a:solidFill>
                <a:schemeClr val="accent2">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152-46D8-B8A0-E492D4588417}"/>
              </c:ext>
            </c:extLst>
          </c:dPt>
          <c:dLbls>
            <c:dLbl>
              <c:idx val="0"/>
              <c:layout>
                <c:manualLayout>
                  <c:x val="-0.22208165487207412"/>
                  <c:y val="0.26252812704181328"/>
                </c:manualLayout>
              </c:layout>
              <c:dLblPos val="bestFit"/>
              <c:showLegendKey val="0"/>
              <c:showVal val="1"/>
              <c:showCatName val="0"/>
              <c:showSerName val="0"/>
              <c:showPercent val="1"/>
              <c:showBubbleSize val="0"/>
              <c:extLst>
                <c:ext xmlns:c15="http://schemas.microsoft.com/office/drawing/2012/chart" uri="{CE6537A1-D6FC-4f65-9D91-7224C49458BB}">
                  <c15:layout>
                    <c:manualLayout>
                      <c:w val="0.27139422972237343"/>
                      <c:h val="0.14716287286892343"/>
                    </c:manualLayout>
                  </c15:layout>
                </c:ext>
                <c:ext xmlns:c16="http://schemas.microsoft.com/office/drawing/2014/chart" uri="{C3380CC4-5D6E-409C-BE32-E72D297353CC}">
                  <c16:uniqueId val="{00000002-7152-46D8-B8A0-E492D4588417}"/>
                </c:ext>
              </c:extLst>
            </c:dLbl>
            <c:dLbl>
              <c:idx val="1"/>
              <c:layout>
                <c:manualLayout>
                  <c:x val="-0.10258831423664175"/>
                  <c:y val="-0.10514238025090207"/>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NG"/>
                </a:p>
              </c:txPr>
              <c:dLblPos val="bestFit"/>
              <c:showLegendKey val="0"/>
              <c:showVal val="1"/>
              <c:showCatName val="0"/>
              <c:showSerName val="0"/>
              <c:showPercent val="1"/>
              <c:showBubbleSize val="0"/>
              <c:extLst>
                <c:ext xmlns:c15="http://schemas.microsoft.com/office/drawing/2012/chart" uri="{CE6537A1-D6FC-4f65-9D91-7224C49458BB}">
                  <c15:layout>
                    <c:manualLayout>
                      <c:w val="0.26327802585442472"/>
                      <c:h val="0.19509572151298302"/>
                    </c:manualLayout>
                  </c15:layout>
                </c:ext>
                <c:ext xmlns:c16="http://schemas.microsoft.com/office/drawing/2014/chart" uri="{C3380CC4-5D6E-409C-BE32-E72D297353CC}">
                  <c16:uniqueId val="{00000003-7152-46D8-B8A0-E492D4588417}"/>
                </c:ext>
              </c:extLst>
            </c:dLbl>
            <c:dLbl>
              <c:idx val="2"/>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lt1"/>
                      </a:solidFill>
                      <a:latin typeface="Segoe UI" panose="020B0502040204020203" pitchFamily="34" charset="0"/>
                      <a:ea typeface="+mn-ea"/>
                      <a:cs typeface="Segoe UI" panose="020B0502040204020203" pitchFamily="34" charset="0"/>
                    </a:defRPr>
                  </a:pPr>
                  <a:endParaRPr lang="en-NG"/>
                </a:p>
              </c:txPr>
              <c:dLblPos val="ctr"/>
              <c:showLegendKey val="0"/>
              <c:showVal val="1"/>
              <c:showCatName val="0"/>
              <c:showSerName val="0"/>
              <c:showPercent val="1"/>
              <c:showBubbleSize val="0"/>
              <c:extLst>
                <c:ext xmlns:c15="http://schemas.microsoft.com/office/drawing/2012/chart" uri="{CE6537A1-D6FC-4f65-9D91-7224C49458BB}">
                  <c15:layout>
                    <c:manualLayout>
                      <c:w val="0.26601005195212712"/>
                      <c:h val="0.19509572151298302"/>
                    </c:manualLayout>
                  </c15:layout>
                </c:ext>
                <c:ext xmlns:c16="http://schemas.microsoft.com/office/drawing/2014/chart" uri="{C3380CC4-5D6E-409C-BE32-E72D297353CC}">
                  <c16:uniqueId val="{00000001-7152-46D8-B8A0-E492D4588417}"/>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Segoe UI" panose="020B0502040204020203" pitchFamily="34" charset="0"/>
                    <a:ea typeface="+mn-ea"/>
                    <a:cs typeface="Segoe UI" panose="020B0502040204020203" pitchFamily="34" charset="0"/>
                  </a:defRPr>
                </a:pPr>
                <a:endParaRPr lang="en-NG"/>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'Total budget summary'!$B$89:$B$91</c:f>
              <c:strCache>
                <c:ptCount val="3"/>
                <c:pt idx="0">
                  <c:v>Pillar 1</c:v>
                </c:pt>
                <c:pt idx="1">
                  <c:v>Pillar 2</c:v>
                </c:pt>
                <c:pt idx="2">
                  <c:v>Pillar 3</c:v>
                </c:pt>
              </c:strCache>
            </c:strRef>
          </c:cat>
          <c:val>
            <c:numRef>
              <c:f>'Total budget summary'!$C$89:$C$91</c:f>
              <c:numCache>
                <c:formatCode>"₦"#,##0.00</c:formatCode>
                <c:ptCount val="3"/>
                <c:pt idx="0">
                  <c:v>5106312838.5009594</c:v>
                </c:pt>
                <c:pt idx="1">
                  <c:v>2602778914.2016792</c:v>
                </c:pt>
                <c:pt idx="2">
                  <c:v>388692416.21695399</c:v>
                </c:pt>
              </c:numCache>
            </c:numRef>
          </c:val>
          <c:extLst>
            <c:ext xmlns:c16="http://schemas.microsoft.com/office/drawing/2014/chart" uri="{C3380CC4-5D6E-409C-BE32-E72D297353CC}">
              <c16:uniqueId val="{00000000-7152-46D8-B8A0-E492D4588417}"/>
            </c:ext>
          </c:extLst>
        </c:ser>
        <c:ser>
          <c:idx val="1"/>
          <c:order val="1"/>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FA0F-48BF-9B1E-AD934368B69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FA0F-48BF-9B1E-AD934368B69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FA0F-48BF-9B1E-AD934368B69E}"/>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NG"/>
              </a:p>
            </c:txPr>
            <c:dLblPos val="ct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'Total budget summary'!$B$89:$B$91</c:f>
              <c:strCache>
                <c:ptCount val="3"/>
                <c:pt idx="0">
                  <c:v>Pillar 1</c:v>
                </c:pt>
                <c:pt idx="1">
                  <c:v>Pillar 2</c:v>
                </c:pt>
                <c:pt idx="2">
                  <c:v>Pillar 3</c:v>
                </c:pt>
              </c:strCache>
            </c:strRef>
          </c:cat>
          <c:val>
            <c:numRef>
              <c:f>'Total budget summary'!$D$89:$D$91</c:f>
              <c:numCache>
                <c:formatCode>0%</c:formatCode>
                <c:ptCount val="3"/>
                <c:pt idx="0">
                  <c:v>0.63058149389800844</c:v>
                </c:pt>
                <c:pt idx="1">
                  <c:v>0.32141865724101437</c:v>
                </c:pt>
                <c:pt idx="2">
                  <c:v>4.7999848860977162E-2</c:v>
                </c:pt>
              </c:numCache>
            </c:numRef>
          </c:val>
          <c:extLst>
            <c:ext xmlns:c16="http://schemas.microsoft.com/office/drawing/2014/chart" uri="{C3380CC4-5D6E-409C-BE32-E72D297353CC}">
              <c16:uniqueId val="{00000004-7152-46D8-B8A0-E492D4588417}"/>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8291640656334579"/>
          <c:y val="0.74140622113396037"/>
          <c:w val="0.15147827980402831"/>
          <c:h val="0.21334973033546051"/>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100" b="0" i="0" u="none" strike="noStrike" kern="1200" baseline="0">
              <a:solidFill>
                <a:schemeClr val="dk1">
                  <a:lumMod val="75000"/>
                  <a:lumOff val="25000"/>
                </a:schemeClr>
              </a:solidFill>
              <a:latin typeface="Segoe UI" panose="020B0502040204020203" pitchFamily="34" charset="0"/>
              <a:ea typeface="+mn-ea"/>
              <a:cs typeface="Segoe UI" panose="020B0502040204020203" pitchFamily="34" charset="0"/>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US" sz="1200" b="1">
                <a:latin typeface="Segoe UI" panose="020B0502040204020203" pitchFamily="34" charset="0"/>
                <a:cs typeface="Segoe UI" panose="020B0502040204020203" pitchFamily="34" charset="0"/>
              </a:rPr>
              <a:t>Distribution of Action plan total amount by pillars</a:t>
            </a:r>
          </a:p>
        </c:rich>
      </c:tx>
      <c:layout>
        <c:manualLayout>
          <c:xMode val="edge"/>
          <c:yMode val="edge"/>
          <c:x val="1.3423625476320086E-2"/>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NG"/>
        </a:p>
      </c:txPr>
    </c:title>
    <c:autoTitleDeleted val="0"/>
    <c:plotArea>
      <c:layout>
        <c:manualLayout>
          <c:layoutTarget val="inner"/>
          <c:xMode val="edge"/>
          <c:yMode val="edge"/>
          <c:x val="0.20976940664126292"/>
          <c:y val="9.3112164055855554E-2"/>
          <c:w val="0.56358040089682293"/>
          <c:h val="0.88082104471094669"/>
        </c:manualLayout>
      </c:layout>
      <c:pieChart>
        <c:varyColors val="1"/>
        <c:dLbls>
          <c:dLblPos val="ctr"/>
          <c:showLegendKey val="0"/>
          <c:showVal val="1"/>
          <c:showCatName val="0"/>
          <c:showSerName val="0"/>
          <c:showPercent val="0"/>
          <c:showBubbleSize val="0"/>
          <c:showLeaderLines val="0"/>
        </c:dLbls>
        <c:firstSliceAng val="0"/>
      </c:pieChart>
      <c:spPr>
        <a:noFill/>
        <a:ln>
          <a:noFill/>
        </a:ln>
        <a:effectLst/>
      </c:spPr>
    </c:plotArea>
    <c:legend>
      <c:legendPos val="b"/>
      <c:layout>
        <c:manualLayout>
          <c:xMode val="edge"/>
          <c:yMode val="edge"/>
          <c:x val="0.62147065868263474"/>
          <c:y val="0.9046124532487998"/>
          <c:w val="0.34621448013064782"/>
          <c:h val="7.111657677848684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740121051232257E-2"/>
          <c:y val="7.5857150963362582E-2"/>
          <c:w val="0.96856827907703857"/>
          <c:h val="0.69841672255296805"/>
        </c:manualLayout>
      </c:layout>
      <c:barChart>
        <c:barDir val="col"/>
        <c:grouping val="clustered"/>
        <c:varyColors val="0"/>
        <c:ser>
          <c:idx val="0"/>
          <c:order val="0"/>
          <c:tx>
            <c:strRef>
              <c:f>'Total budget summary'!$C$69</c:f>
              <c:strCache>
                <c:ptCount val="1"/>
                <c:pt idx="0">
                  <c:v>ECCDE</c:v>
                </c:pt>
              </c:strCache>
            </c:strRef>
          </c:tx>
          <c:spPr>
            <a:solidFill>
              <a:srgbClr val="833C0C"/>
            </a:solidFill>
            <a:ln>
              <a:noFill/>
            </a:ln>
            <a:effectLst>
              <a:outerShdw blurRad="254000" sx="102000" sy="102000" algn="ctr"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Segoe UI" panose="020B0502040204020203" pitchFamily="34" charset="0"/>
                    <a:ea typeface="+mn-ea"/>
                    <a:cs typeface="Segoe UI" panose="020B0502040204020203" pitchFamily="34" charset="0"/>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'Total budget summary'!$B$70:$B$75</c:f>
              <c:strCache>
                <c:ptCount val="6"/>
                <c:pt idx="0">
                  <c:v>No of new classrooms </c:v>
                </c:pt>
                <c:pt idx="1">
                  <c:v>No of new playrooms/Laboratories</c:v>
                </c:pt>
                <c:pt idx="2">
                  <c:v>No of new library</c:v>
                </c:pt>
                <c:pt idx="3">
                  <c:v>No of toilets</c:v>
                </c:pt>
                <c:pt idx="4">
                  <c:v>No of  new offices/stores</c:v>
                </c:pt>
                <c:pt idx="5">
                  <c:v>No of fences constructed </c:v>
                </c:pt>
              </c:strCache>
            </c:strRef>
          </c:cat>
          <c:val>
            <c:numRef>
              <c:f>'Total budget summary'!$C$70:$C$75</c:f>
              <c:numCache>
                <c:formatCode>General</c:formatCode>
                <c:ptCount val="6"/>
                <c:pt idx="0">
                  <c:v>3</c:v>
                </c:pt>
                <c:pt idx="1">
                  <c:v>0</c:v>
                </c:pt>
                <c:pt idx="2">
                  <c:v>0</c:v>
                </c:pt>
                <c:pt idx="3">
                  <c:v>18</c:v>
                </c:pt>
                <c:pt idx="4">
                  <c:v>2</c:v>
                </c:pt>
                <c:pt idx="5">
                  <c:v>3</c:v>
                </c:pt>
              </c:numCache>
            </c:numRef>
          </c:val>
          <c:extLst>
            <c:ext xmlns:c16="http://schemas.microsoft.com/office/drawing/2014/chart" uri="{C3380CC4-5D6E-409C-BE32-E72D297353CC}">
              <c16:uniqueId val="{00000000-7152-46D8-B8A0-E492D4588417}"/>
            </c:ext>
          </c:extLst>
        </c:ser>
        <c:ser>
          <c:idx val="1"/>
          <c:order val="1"/>
          <c:tx>
            <c:strRef>
              <c:f>'Total budget summary'!$D$69</c:f>
              <c:strCache>
                <c:ptCount val="1"/>
                <c:pt idx="0">
                  <c:v>Primary</c:v>
                </c:pt>
              </c:strCache>
            </c:strRef>
          </c:tx>
          <c:spPr>
            <a:solidFill>
              <a:schemeClr val="accent2"/>
            </a:solidFill>
            <a:ln>
              <a:noFill/>
            </a:ln>
            <a:effectLst>
              <a:outerShdw blurRad="254000" sx="102000" sy="102000" algn="ctr"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Segoe UI" panose="020B0502040204020203" pitchFamily="34" charset="0"/>
                    <a:ea typeface="+mn-ea"/>
                    <a:cs typeface="Segoe UI" panose="020B0502040204020203" pitchFamily="34" charset="0"/>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'Total budget summary'!$B$70:$B$75</c:f>
              <c:strCache>
                <c:ptCount val="6"/>
                <c:pt idx="0">
                  <c:v>No of new classrooms </c:v>
                </c:pt>
                <c:pt idx="1">
                  <c:v>No of new playrooms/Laboratories</c:v>
                </c:pt>
                <c:pt idx="2">
                  <c:v>No of new library</c:v>
                </c:pt>
                <c:pt idx="3">
                  <c:v>No of toilets</c:v>
                </c:pt>
                <c:pt idx="4">
                  <c:v>No of  new offices/stores</c:v>
                </c:pt>
                <c:pt idx="5">
                  <c:v>No of fences constructed </c:v>
                </c:pt>
              </c:strCache>
            </c:strRef>
          </c:cat>
          <c:val>
            <c:numRef>
              <c:f>'Total budget summary'!$D$70:$D$75</c:f>
              <c:numCache>
                <c:formatCode>General</c:formatCode>
                <c:ptCount val="6"/>
                <c:pt idx="0">
                  <c:v>0</c:v>
                </c:pt>
                <c:pt idx="1">
                  <c:v>0</c:v>
                </c:pt>
                <c:pt idx="2">
                  <c:v>0</c:v>
                </c:pt>
                <c:pt idx="3">
                  <c:v>12</c:v>
                </c:pt>
                <c:pt idx="4">
                  <c:v>0</c:v>
                </c:pt>
                <c:pt idx="5">
                  <c:v>2</c:v>
                </c:pt>
              </c:numCache>
            </c:numRef>
          </c:val>
          <c:extLst>
            <c:ext xmlns:c16="http://schemas.microsoft.com/office/drawing/2014/chart" uri="{C3380CC4-5D6E-409C-BE32-E72D297353CC}">
              <c16:uniqueId val="{0000000C-BF1C-4D70-A051-59BD469BF913}"/>
            </c:ext>
          </c:extLst>
        </c:ser>
        <c:ser>
          <c:idx val="2"/>
          <c:order val="2"/>
          <c:tx>
            <c:strRef>
              <c:f>'Total budget summary'!$E$69</c:f>
              <c:strCache>
                <c:ptCount val="1"/>
                <c:pt idx="0">
                  <c:v>JSS</c:v>
                </c:pt>
              </c:strCache>
            </c:strRef>
          </c:tx>
          <c:spPr>
            <a:solidFill>
              <a:srgbClr val="FCE4D6"/>
            </a:solidFill>
            <a:ln>
              <a:noFill/>
            </a:ln>
            <a:effectLst>
              <a:outerShdw blurRad="254000" sx="102000" sy="102000" algn="ctr"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'Total budget summary'!$B$70:$B$75</c:f>
              <c:strCache>
                <c:ptCount val="6"/>
                <c:pt idx="0">
                  <c:v>No of new classrooms </c:v>
                </c:pt>
                <c:pt idx="1">
                  <c:v>No of new playrooms/Laboratories</c:v>
                </c:pt>
                <c:pt idx="2">
                  <c:v>No of new library</c:v>
                </c:pt>
                <c:pt idx="3">
                  <c:v>No of toilets</c:v>
                </c:pt>
                <c:pt idx="4">
                  <c:v>No of  new offices/stores</c:v>
                </c:pt>
                <c:pt idx="5">
                  <c:v>No of fences constructed </c:v>
                </c:pt>
              </c:strCache>
            </c:strRef>
          </c:cat>
          <c:val>
            <c:numRef>
              <c:f>'Total budget summary'!$E$70:$E$75</c:f>
              <c:numCache>
                <c:formatCode>General</c:formatCode>
                <c:ptCount val="6"/>
                <c:pt idx="0">
                  <c:v>3</c:v>
                </c:pt>
                <c:pt idx="1">
                  <c:v>0</c:v>
                </c:pt>
                <c:pt idx="2">
                  <c:v>0</c:v>
                </c:pt>
                <c:pt idx="3">
                  <c:v>18</c:v>
                </c:pt>
                <c:pt idx="4">
                  <c:v>2</c:v>
                </c:pt>
                <c:pt idx="5">
                  <c:v>3</c:v>
                </c:pt>
              </c:numCache>
            </c:numRef>
          </c:val>
          <c:extLst>
            <c:ext xmlns:c16="http://schemas.microsoft.com/office/drawing/2014/chart" uri="{C3380CC4-5D6E-409C-BE32-E72D297353CC}">
              <c16:uniqueId val="{0000000D-BF1C-4D70-A051-59BD469BF913}"/>
            </c:ext>
          </c:extLst>
        </c:ser>
        <c:dLbls>
          <c:showLegendKey val="0"/>
          <c:showVal val="0"/>
          <c:showCatName val="0"/>
          <c:showSerName val="0"/>
          <c:showPercent val="0"/>
          <c:showBubbleSize val="0"/>
        </c:dLbls>
        <c:gapWidth val="100"/>
        <c:axId val="739627023"/>
        <c:axId val="591347119"/>
      </c:barChart>
      <c:catAx>
        <c:axId val="739627023"/>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Segoe UI" panose="020B0502040204020203" pitchFamily="34" charset="0"/>
                <a:ea typeface="+mn-ea"/>
                <a:cs typeface="Segoe UI" panose="020B0502040204020203" pitchFamily="34" charset="0"/>
              </a:defRPr>
            </a:pPr>
            <a:endParaRPr lang="en-NG"/>
          </a:p>
        </c:txPr>
        <c:crossAx val="591347119"/>
        <c:crosses val="autoZero"/>
        <c:auto val="1"/>
        <c:lblAlgn val="ctr"/>
        <c:lblOffset val="100"/>
        <c:noMultiLvlLbl val="0"/>
      </c:catAx>
      <c:valAx>
        <c:axId val="591347119"/>
        <c:scaling>
          <c:orientation val="minMax"/>
        </c:scaling>
        <c:delete val="1"/>
        <c:axPos val="l"/>
        <c:numFmt formatCode="General" sourceLinked="1"/>
        <c:majorTickMark val="out"/>
        <c:minorTickMark val="none"/>
        <c:tickLblPos val="nextTo"/>
        <c:crossAx val="739627023"/>
        <c:crosses val="autoZero"/>
        <c:crossBetween val="between"/>
      </c:valAx>
      <c:spPr>
        <a:noFill/>
        <a:ln>
          <a:noFill/>
        </a:ln>
        <a:effectLst/>
      </c:spPr>
    </c:plotArea>
    <c:legend>
      <c:legendPos val="r"/>
      <c:layout>
        <c:manualLayout>
          <c:xMode val="edge"/>
          <c:yMode val="edge"/>
          <c:x val="0.29812806743578302"/>
          <c:y val="0.89684787986563397"/>
          <c:w val="0.31696127823694448"/>
          <c:h val="9.9564003890416614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100" b="0" i="0" u="none" strike="noStrike" kern="1200" baseline="0">
              <a:solidFill>
                <a:schemeClr val="dk1">
                  <a:lumMod val="75000"/>
                  <a:lumOff val="25000"/>
                </a:schemeClr>
              </a:solidFill>
              <a:latin typeface="Segoe UI" panose="020B0502040204020203" pitchFamily="34" charset="0"/>
              <a:ea typeface="+mn-ea"/>
              <a:cs typeface="Segoe UI" panose="020B0502040204020203" pitchFamily="34" charset="0"/>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3396256081250281E-2"/>
          <c:y val="7.5857150963362582E-2"/>
          <c:w val="0.96257335028984314"/>
          <c:h val="0.69841672255296805"/>
        </c:manualLayout>
      </c:layout>
      <c:barChart>
        <c:barDir val="col"/>
        <c:grouping val="clustered"/>
        <c:varyColors val="0"/>
        <c:ser>
          <c:idx val="0"/>
          <c:order val="0"/>
          <c:tx>
            <c:strRef>
              <c:f>'Total budget summary'!$C$77</c:f>
              <c:strCache>
                <c:ptCount val="1"/>
                <c:pt idx="0">
                  <c:v>ECCDE</c:v>
                </c:pt>
              </c:strCache>
            </c:strRef>
          </c:tx>
          <c:spPr>
            <a:solidFill>
              <a:srgbClr val="833C0C"/>
            </a:solidFill>
            <a:ln>
              <a:noFill/>
            </a:ln>
            <a:effectLst>
              <a:outerShdw blurRad="254000" sx="102000" sy="102000" algn="ctr"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lt1"/>
                    </a:solidFill>
                    <a:latin typeface="Segoe UI" panose="020B0502040204020203" pitchFamily="34" charset="0"/>
                    <a:ea typeface="+mn-ea"/>
                    <a:cs typeface="Segoe UI" panose="020B0502040204020203" pitchFamily="34" charset="0"/>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'Total budget summary'!$B$78:$B$82</c:f>
              <c:strCache>
                <c:ptCount val="5"/>
                <c:pt idx="0">
                  <c:v>No of classrooms renovated</c:v>
                </c:pt>
                <c:pt idx="1">
                  <c:v>No of playrooms/labs renovated</c:v>
                </c:pt>
                <c:pt idx="2">
                  <c:v>No of library renovated</c:v>
                </c:pt>
                <c:pt idx="3">
                  <c:v>No of toilets renovated</c:v>
                </c:pt>
                <c:pt idx="4">
                  <c:v>No of offices/stores renovated </c:v>
                </c:pt>
              </c:strCache>
            </c:strRef>
          </c:cat>
          <c:val>
            <c:numRef>
              <c:f>'Total budget summary'!$C$78:$C$82</c:f>
              <c:numCache>
                <c:formatCode>General</c:formatCode>
                <c:ptCount val="5"/>
                <c:pt idx="0">
                  <c:v>12</c:v>
                </c:pt>
                <c:pt idx="1">
                  <c:v>0</c:v>
                </c:pt>
                <c:pt idx="2">
                  <c:v>0</c:v>
                </c:pt>
                <c:pt idx="3">
                  <c:v>6</c:v>
                </c:pt>
                <c:pt idx="4">
                  <c:v>4</c:v>
                </c:pt>
              </c:numCache>
            </c:numRef>
          </c:val>
          <c:extLst>
            <c:ext xmlns:c16="http://schemas.microsoft.com/office/drawing/2014/chart" uri="{C3380CC4-5D6E-409C-BE32-E72D297353CC}">
              <c16:uniqueId val="{00000000-7152-46D8-B8A0-E492D4588417}"/>
            </c:ext>
          </c:extLst>
        </c:ser>
        <c:ser>
          <c:idx val="1"/>
          <c:order val="1"/>
          <c:tx>
            <c:strRef>
              <c:f>'Total budget summary'!$D$77</c:f>
              <c:strCache>
                <c:ptCount val="1"/>
                <c:pt idx="0">
                  <c:v>Primary</c:v>
                </c:pt>
              </c:strCache>
            </c:strRef>
          </c:tx>
          <c:spPr>
            <a:solidFill>
              <a:schemeClr val="accent2"/>
            </a:solidFill>
            <a:ln>
              <a:noFill/>
            </a:ln>
            <a:effectLst>
              <a:outerShdw blurRad="254000" sx="102000" sy="102000" algn="ctr"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lt1"/>
                    </a:solidFill>
                    <a:latin typeface="Segoe UI" panose="020B0502040204020203" pitchFamily="34" charset="0"/>
                    <a:ea typeface="+mn-ea"/>
                    <a:cs typeface="Segoe UI" panose="020B0502040204020203" pitchFamily="34" charset="0"/>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'Total budget summary'!$B$78:$B$82</c:f>
              <c:strCache>
                <c:ptCount val="5"/>
                <c:pt idx="0">
                  <c:v>No of classrooms renovated</c:v>
                </c:pt>
                <c:pt idx="1">
                  <c:v>No of playrooms/labs renovated</c:v>
                </c:pt>
                <c:pt idx="2">
                  <c:v>No of library renovated</c:v>
                </c:pt>
                <c:pt idx="3">
                  <c:v>No of toilets renovated</c:v>
                </c:pt>
                <c:pt idx="4">
                  <c:v>No of offices/stores renovated </c:v>
                </c:pt>
              </c:strCache>
            </c:strRef>
          </c:cat>
          <c:val>
            <c:numRef>
              <c:f>'Total budget summary'!$D$78:$D$82</c:f>
              <c:numCache>
                <c:formatCode>General</c:formatCode>
                <c:ptCount val="5"/>
                <c:pt idx="0">
                  <c:v>37</c:v>
                </c:pt>
                <c:pt idx="1">
                  <c:v>1</c:v>
                </c:pt>
                <c:pt idx="2">
                  <c:v>0</c:v>
                </c:pt>
                <c:pt idx="3">
                  <c:v>14</c:v>
                </c:pt>
                <c:pt idx="4">
                  <c:v>12</c:v>
                </c:pt>
              </c:numCache>
            </c:numRef>
          </c:val>
          <c:extLst>
            <c:ext xmlns:c16="http://schemas.microsoft.com/office/drawing/2014/chart" uri="{C3380CC4-5D6E-409C-BE32-E72D297353CC}">
              <c16:uniqueId val="{00000000-600C-4BB3-B3B7-567C11147E00}"/>
            </c:ext>
          </c:extLst>
        </c:ser>
        <c:ser>
          <c:idx val="2"/>
          <c:order val="2"/>
          <c:tx>
            <c:strRef>
              <c:f>'Total budget summary'!$E$77</c:f>
              <c:strCache>
                <c:ptCount val="1"/>
                <c:pt idx="0">
                  <c:v>JSS</c:v>
                </c:pt>
              </c:strCache>
            </c:strRef>
          </c:tx>
          <c:spPr>
            <a:solidFill>
              <a:srgbClr val="FCE4D6"/>
            </a:solidFill>
            <a:ln>
              <a:noFill/>
            </a:ln>
            <a:effectLst>
              <a:outerShdw blurRad="254000" sx="102000" sy="102000" algn="ctr"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'Total budget summary'!$B$78:$B$82</c:f>
              <c:strCache>
                <c:ptCount val="5"/>
                <c:pt idx="0">
                  <c:v>No of classrooms renovated</c:v>
                </c:pt>
                <c:pt idx="1">
                  <c:v>No of playrooms/labs renovated</c:v>
                </c:pt>
                <c:pt idx="2">
                  <c:v>No of library renovated</c:v>
                </c:pt>
                <c:pt idx="3">
                  <c:v>No of toilets renovated</c:v>
                </c:pt>
                <c:pt idx="4">
                  <c:v>No of offices/stores renovated </c:v>
                </c:pt>
              </c:strCache>
            </c:strRef>
          </c:cat>
          <c:val>
            <c:numRef>
              <c:f>'Total budget summary'!$E$78:$E$82</c:f>
              <c:numCache>
                <c:formatCode>General</c:formatCode>
                <c:ptCount val="5"/>
                <c:pt idx="0">
                  <c:v>30</c:v>
                </c:pt>
                <c:pt idx="1">
                  <c:v>2</c:v>
                </c:pt>
                <c:pt idx="2">
                  <c:v>1</c:v>
                </c:pt>
                <c:pt idx="3">
                  <c:v>4</c:v>
                </c:pt>
                <c:pt idx="4">
                  <c:v>10</c:v>
                </c:pt>
              </c:numCache>
            </c:numRef>
          </c:val>
          <c:extLst>
            <c:ext xmlns:c16="http://schemas.microsoft.com/office/drawing/2014/chart" uri="{C3380CC4-5D6E-409C-BE32-E72D297353CC}">
              <c16:uniqueId val="{00000001-600C-4BB3-B3B7-567C11147E00}"/>
            </c:ext>
          </c:extLst>
        </c:ser>
        <c:dLbls>
          <c:dLblPos val="ctr"/>
          <c:showLegendKey val="0"/>
          <c:showVal val="1"/>
          <c:showCatName val="0"/>
          <c:showSerName val="0"/>
          <c:showPercent val="0"/>
          <c:showBubbleSize val="0"/>
        </c:dLbls>
        <c:gapWidth val="100"/>
        <c:axId val="739627023"/>
        <c:axId val="591347119"/>
      </c:barChart>
      <c:catAx>
        <c:axId val="739627023"/>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100" b="0" i="0" u="none" strike="noStrike" kern="1200" cap="all" baseline="0">
                <a:solidFill>
                  <a:schemeClr val="dk1">
                    <a:lumMod val="75000"/>
                    <a:lumOff val="25000"/>
                  </a:schemeClr>
                </a:solidFill>
                <a:latin typeface="Segoe UI" panose="020B0502040204020203" pitchFamily="34" charset="0"/>
                <a:ea typeface="+mn-ea"/>
                <a:cs typeface="Segoe UI" panose="020B0502040204020203" pitchFamily="34" charset="0"/>
              </a:defRPr>
            </a:pPr>
            <a:endParaRPr lang="en-NG"/>
          </a:p>
        </c:txPr>
        <c:crossAx val="591347119"/>
        <c:crosses val="autoZero"/>
        <c:auto val="1"/>
        <c:lblAlgn val="ctr"/>
        <c:lblOffset val="100"/>
        <c:noMultiLvlLbl val="0"/>
      </c:catAx>
      <c:valAx>
        <c:axId val="591347119"/>
        <c:scaling>
          <c:orientation val="minMax"/>
        </c:scaling>
        <c:delete val="1"/>
        <c:axPos val="l"/>
        <c:numFmt formatCode="General" sourceLinked="1"/>
        <c:majorTickMark val="out"/>
        <c:minorTickMark val="none"/>
        <c:tickLblPos val="nextTo"/>
        <c:crossAx val="739627023"/>
        <c:crosses val="autoZero"/>
        <c:crossBetween val="between"/>
      </c:valAx>
      <c:spPr>
        <a:noFill/>
        <a:ln>
          <a:noFill/>
        </a:ln>
        <a:effectLst/>
      </c:spPr>
    </c:plotArea>
    <c:legend>
      <c:legendPos val="r"/>
      <c:layout>
        <c:manualLayout>
          <c:xMode val="edge"/>
          <c:yMode val="edge"/>
          <c:x val="0.41154698595329359"/>
          <c:y val="0.89684752628568443"/>
          <c:w val="0.13745457030497693"/>
          <c:h val="0.10315247371431557"/>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100" b="0" i="0" u="none" strike="noStrike" kern="1200" baseline="0">
              <a:solidFill>
                <a:schemeClr val="dk1">
                  <a:lumMod val="75000"/>
                  <a:lumOff val="25000"/>
                </a:schemeClr>
              </a:solidFill>
              <a:latin typeface="Segoe UI" panose="020B0502040204020203" pitchFamily="34" charset="0"/>
              <a:ea typeface="+mn-ea"/>
              <a:cs typeface="Segoe UI" panose="020B0502040204020203" pitchFamily="34" charset="0"/>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976940664126292"/>
          <c:y val="9.3112164055855554E-2"/>
          <c:w val="0.56358040089682293"/>
          <c:h val="0.88082104471094669"/>
        </c:manualLayout>
      </c:layout>
      <c:doughnutChart>
        <c:varyColors val="1"/>
        <c:ser>
          <c:idx val="0"/>
          <c:order val="0"/>
          <c:dPt>
            <c:idx val="0"/>
            <c:bubble3D val="0"/>
            <c:spPr>
              <a:solidFill>
                <a:schemeClr val="accent2">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7152-46D8-B8A0-E492D4588417}"/>
              </c:ext>
            </c:extLst>
          </c:dPt>
          <c:dPt>
            <c:idx val="1"/>
            <c:bubble3D val="0"/>
            <c:spPr>
              <a:solidFill>
                <a:schemeClr val="accent2">
                  <a:lumMod val="7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152-46D8-B8A0-E492D4588417}"/>
              </c:ext>
            </c:extLst>
          </c:dPt>
          <c:dPt>
            <c:idx val="2"/>
            <c:bubble3D val="0"/>
            <c:spPr>
              <a:solidFill>
                <a:schemeClr val="accent2">
                  <a:lumMod val="20000"/>
                  <a:lumOff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152-46D8-B8A0-E492D4588417}"/>
              </c:ext>
            </c:extLst>
          </c:dPt>
          <c:dLbls>
            <c:dLbl>
              <c:idx val="1"/>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NG"/>
                </a:p>
              </c:txPr>
              <c:showLegendKey val="0"/>
              <c:showVal val="1"/>
              <c:showCatName val="0"/>
              <c:showSerName val="0"/>
              <c:showPercent val="0"/>
              <c:showBubbleSize val="0"/>
              <c:extLst>
                <c:ext xmlns:c16="http://schemas.microsoft.com/office/drawing/2014/chart" uri="{C3380CC4-5D6E-409C-BE32-E72D297353CC}">
                  <c16:uniqueId val="{00000003-7152-46D8-B8A0-E492D4588417}"/>
                </c:ext>
              </c:extLst>
            </c:dLbl>
            <c:dLbl>
              <c:idx val="2"/>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NG"/>
                </a:p>
              </c:txPr>
              <c:showLegendKey val="0"/>
              <c:showVal val="1"/>
              <c:showCatName val="0"/>
              <c:showSerName val="0"/>
              <c:showPercent val="0"/>
              <c:showBubbleSize val="0"/>
              <c:extLst>
                <c:ext xmlns:c16="http://schemas.microsoft.com/office/drawing/2014/chart" uri="{C3380CC4-5D6E-409C-BE32-E72D297353CC}">
                  <c16:uniqueId val="{00000001-7152-46D8-B8A0-E492D4588417}"/>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Segoe UI" panose="020B0502040204020203" pitchFamily="34" charset="0"/>
                    <a:ea typeface="+mn-ea"/>
                    <a:cs typeface="Segoe UI" panose="020B0502040204020203" pitchFamily="34" charset="0"/>
                  </a:defRPr>
                </a:pPr>
                <a:endParaRPr lang="en-NG"/>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'Total budget summary'!$B$95:$B$97</c:f>
              <c:strCache>
                <c:ptCount val="3"/>
                <c:pt idx="0">
                  <c:v>ECCDE</c:v>
                </c:pt>
                <c:pt idx="1">
                  <c:v>Primary</c:v>
                </c:pt>
                <c:pt idx="2">
                  <c:v>JSS</c:v>
                </c:pt>
              </c:strCache>
            </c:strRef>
          </c:cat>
          <c:val>
            <c:numRef>
              <c:f>'Total budget summary'!$C$95:$C$97</c:f>
              <c:numCache>
                <c:formatCode>General</c:formatCode>
                <c:ptCount val="3"/>
                <c:pt idx="0">
                  <c:v>60</c:v>
                </c:pt>
                <c:pt idx="1">
                  <c:v>740</c:v>
                </c:pt>
                <c:pt idx="2">
                  <c:v>2315</c:v>
                </c:pt>
              </c:numCache>
            </c:numRef>
          </c:val>
          <c:extLst>
            <c:ext xmlns:c16="http://schemas.microsoft.com/office/drawing/2014/chart" uri="{C3380CC4-5D6E-409C-BE32-E72D297353CC}">
              <c16:uniqueId val="{00000000-7152-46D8-B8A0-E492D4588417}"/>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8291640656334579"/>
          <c:y val="0.71986281432164745"/>
          <c:w val="0.15782561545984569"/>
          <c:h val="0.28013718567835255"/>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100" b="0" i="0" u="none" strike="noStrike" kern="1200" baseline="0">
              <a:solidFill>
                <a:schemeClr val="dk1">
                  <a:lumMod val="75000"/>
                  <a:lumOff val="25000"/>
                </a:schemeClr>
              </a:solidFill>
              <a:latin typeface="Segoe UI" panose="020B0502040204020203" pitchFamily="34" charset="0"/>
              <a:ea typeface="+mn-ea"/>
              <a:cs typeface="Segoe UI" panose="020B0502040204020203" pitchFamily="34" charset="0"/>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976940664126292"/>
          <c:y val="9.3112164055855554E-2"/>
          <c:w val="0.56358040089682293"/>
          <c:h val="0.88082104471094669"/>
        </c:manualLayout>
      </c:layout>
      <c:doughnutChart>
        <c:varyColors val="1"/>
        <c:ser>
          <c:idx val="0"/>
          <c:order val="0"/>
          <c:dPt>
            <c:idx val="0"/>
            <c:bubble3D val="0"/>
            <c:spPr>
              <a:solidFill>
                <a:schemeClr val="accent2">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7152-46D8-B8A0-E492D4588417}"/>
              </c:ext>
            </c:extLst>
          </c:dPt>
          <c:dPt>
            <c:idx val="1"/>
            <c:bubble3D val="0"/>
            <c:spPr>
              <a:solidFill>
                <a:schemeClr val="accent2">
                  <a:lumMod val="7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152-46D8-B8A0-E492D4588417}"/>
              </c:ext>
            </c:extLst>
          </c:dPt>
          <c:dPt>
            <c:idx val="2"/>
            <c:bubble3D val="0"/>
            <c:spPr>
              <a:solidFill>
                <a:schemeClr val="accent2">
                  <a:lumMod val="20000"/>
                  <a:lumOff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152-46D8-B8A0-E492D4588417}"/>
              </c:ext>
            </c:extLst>
          </c:dPt>
          <c:dLbls>
            <c:dLbl>
              <c:idx val="1"/>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NG"/>
                </a:p>
              </c:txPr>
              <c:showLegendKey val="0"/>
              <c:showVal val="1"/>
              <c:showCatName val="0"/>
              <c:showSerName val="0"/>
              <c:showPercent val="0"/>
              <c:showBubbleSize val="0"/>
              <c:extLst>
                <c:ext xmlns:c16="http://schemas.microsoft.com/office/drawing/2014/chart" uri="{C3380CC4-5D6E-409C-BE32-E72D297353CC}">
                  <c16:uniqueId val="{00000003-7152-46D8-B8A0-E492D4588417}"/>
                </c:ext>
              </c:extLst>
            </c:dLbl>
            <c:dLbl>
              <c:idx val="2"/>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NG"/>
                </a:p>
              </c:txPr>
              <c:showLegendKey val="0"/>
              <c:showVal val="1"/>
              <c:showCatName val="0"/>
              <c:showSerName val="0"/>
              <c:showPercent val="0"/>
              <c:showBubbleSize val="0"/>
              <c:extLst>
                <c:ext xmlns:c16="http://schemas.microsoft.com/office/drawing/2014/chart" uri="{C3380CC4-5D6E-409C-BE32-E72D297353CC}">
                  <c16:uniqueId val="{00000001-7152-46D8-B8A0-E492D4588417}"/>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Segoe UI" panose="020B0502040204020203" pitchFamily="34" charset="0"/>
                    <a:ea typeface="+mn-ea"/>
                    <a:cs typeface="Segoe UI" panose="020B0502040204020203" pitchFamily="34" charset="0"/>
                  </a:defRPr>
                </a:pPr>
                <a:endParaRPr lang="en-NG"/>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'Total budget summary'!$B$100:$B$102</c:f>
              <c:strCache>
                <c:ptCount val="3"/>
                <c:pt idx="0">
                  <c:v>ECCDE</c:v>
                </c:pt>
                <c:pt idx="1">
                  <c:v>Primary</c:v>
                </c:pt>
                <c:pt idx="2">
                  <c:v>JSS</c:v>
                </c:pt>
              </c:strCache>
            </c:strRef>
          </c:cat>
          <c:val>
            <c:numRef>
              <c:f>'Total budget summary'!$C$100:$C$102</c:f>
              <c:numCache>
                <c:formatCode>General</c:formatCode>
                <c:ptCount val="3"/>
                <c:pt idx="0">
                  <c:v>4</c:v>
                </c:pt>
                <c:pt idx="1">
                  <c:v>2</c:v>
                </c:pt>
                <c:pt idx="2">
                  <c:v>4</c:v>
                </c:pt>
              </c:numCache>
            </c:numRef>
          </c:val>
          <c:extLst>
            <c:ext xmlns:c16="http://schemas.microsoft.com/office/drawing/2014/chart" uri="{C3380CC4-5D6E-409C-BE32-E72D297353CC}">
              <c16:uniqueId val="{00000000-7152-46D8-B8A0-E492D4588417}"/>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8291640656334579"/>
          <c:y val="0.71986281432164745"/>
          <c:w val="0.15782561545984569"/>
          <c:h val="0.28013718567835255"/>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100" b="0" i="0" u="none" strike="noStrike" kern="1200" baseline="0">
              <a:solidFill>
                <a:schemeClr val="dk1">
                  <a:lumMod val="75000"/>
                  <a:lumOff val="25000"/>
                </a:schemeClr>
              </a:solidFill>
              <a:latin typeface="Segoe UI" panose="020B0502040204020203" pitchFamily="34" charset="0"/>
              <a:ea typeface="+mn-ea"/>
              <a:cs typeface="Segoe UI" panose="020B0502040204020203" pitchFamily="34" charset="0"/>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976940664126292"/>
          <c:y val="9.3112164055855554E-2"/>
          <c:w val="0.56358040089682293"/>
          <c:h val="0.88082104471094669"/>
        </c:manualLayout>
      </c:layout>
      <c:doughnutChart>
        <c:varyColors val="1"/>
        <c:ser>
          <c:idx val="0"/>
          <c:order val="0"/>
          <c:dPt>
            <c:idx val="0"/>
            <c:bubble3D val="0"/>
            <c:spPr>
              <a:solidFill>
                <a:schemeClr val="accent2">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7152-46D8-B8A0-E492D4588417}"/>
              </c:ext>
            </c:extLst>
          </c:dPt>
          <c:dPt>
            <c:idx val="1"/>
            <c:bubble3D val="0"/>
            <c:spPr>
              <a:solidFill>
                <a:schemeClr val="accent2">
                  <a:lumMod val="7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152-46D8-B8A0-E492D4588417}"/>
              </c:ext>
            </c:extLst>
          </c:dPt>
          <c:dPt>
            <c:idx val="2"/>
            <c:bubble3D val="0"/>
            <c:spPr>
              <a:solidFill>
                <a:schemeClr val="accent2">
                  <a:lumMod val="20000"/>
                  <a:lumOff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152-46D8-B8A0-E492D4588417}"/>
              </c:ext>
            </c:extLst>
          </c:dPt>
          <c:dLbls>
            <c:dLbl>
              <c:idx val="1"/>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NG"/>
                </a:p>
              </c:txPr>
              <c:showLegendKey val="0"/>
              <c:showVal val="1"/>
              <c:showCatName val="0"/>
              <c:showSerName val="0"/>
              <c:showPercent val="0"/>
              <c:showBubbleSize val="0"/>
              <c:extLst>
                <c:ext xmlns:c16="http://schemas.microsoft.com/office/drawing/2014/chart" uri="{C3380CC4-5D6E-409C-BE32-E72D297353CC}">
                  <c16:uniqueId val="{00000003-7152-46D8-B8A0-E492D4588417}"/>
                </c:ext>
              </c:extLst>
            </c:dLbl>
            <c:dLbl>
              <c:idx val="2"/>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NG"/>
                </a:p>
              </c:txPr>
              <c:showLegendKey val="0"/>
              <c:showVal val="1"/>
              <c:showCatName val="0"/>
              <c:showSerName val="0"/>
              <c:showPercent val="0"/>
              <c:showBubbleSize val="0"/>
              <c:extLst>
                <c:ext xmlns:c16="http://schemas.microsoft.com/office/drawing/2014/chart" uri="{C3380CC4-5D6E-409C-BE32-E72D297353CC}">
                  <c16:uniqueId val="{00000001-7152-46D8-B8A0-E492D4588417}"/>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Segoe UI" panose="020B0502040204020203" pitchFamily="34" charset="0"/>
                    <a:ea typeface="+mn-ea"/>
                    <a:cs typeface="Segoe UI" panose="020B0502040204020203" pitchFamily="34" charset="0"/>
                  </a:defRPr>
                </a:pPr>
                <a:endParaRPr lang="en-NG"/>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'Total budget summary'!$B$106:$B$108</c:f>
              <c:strCache>
                <c:ptCount val="3"/>
                <c:pt idx="0">
                  <c:v>ECCDE</c:v>
                </c:pt>
                <c:pt idx="1">
                  <c:v>Primary</c:v>
                </c:pt>
                <c:pt idx="2">
                  <c:v>JSS</c:v>
                </c:pt>
              </c:strCache>
            </c:strRef>
          </c:cat>
          <c:val>
            <c:numRef>
              <c:f>'Total budget summary'!$C$106:$C$108</c:f>
              <c:numCache>
                <c:formatCode>General</c:formatCode>
                <c:ptCount val="3"/>
                <c:pt idx="0">
                  <c:v>0</c:v>
                </c:pt>
                <c:pt idx="1">
                  <c:v>21955</c:v>
                </c:pt>
                <c:pt idx="2">
                  <c:v>0</c:v>
                </c:pt>
              </c:numCache>
            </c:numRef>
          </c:val>
          <c:extLst>
            <c:ext xmlns:c16="http://schemas.microsoft.com/office/drawing/2014/chart" uri="{C3380CC4-5D6E-409C-BE32-E72D297353CC}">
              <c16:uniqueId val="{00000000-7152-46D8-B8A0-E492D4588417}"/>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8291640656334579"/>
          <c:y val="0.71986281432164745"/>
          <c:w val="0.15782561545984569"/>
          <c:h val="0.28013718567835255"/>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100" b="0" i="0" u="none" strike="noStrike" kern="1200" baseline="0">
              <a:solidFill>
                <a:schemeClr val="dk1">
                  <a:lumMod val="75000"/>
                  <a:lumOff val="25000"/>
                </a:schemeClr>
              </a:solidFill>
              <a:latin typeface="Segoe UI" panose="020B0502040204020203" pitchFamily="34" charset="0"/>
              <a:ea typeface="+mn-ea"/>
              <a:cs typeface="Segoe UI" panose="020B0502040204020203" pitchFamily="34" charset="0"/>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2012509</xdr:colOff>
      <xdr:row>1</xdr:row>
      <xdr:rowOff>119349</xdr:rowOff>
    </xdr:from>
    <xdr:to>
      <xdr:col>1</xdr:col>
      <xdr:colOff>3603639</xdr:colOff>
      <xdr:row>2</xdr:row>
      <xdr:rowOff>518816</xdr:rowOff>
    </xdr:to>
    <xdr:pic>
      <xdr:nvPicPr>
        <xdr:cNvPr id="3" name="Picture 2" descr="A white horse with a red eagle on a black background&#10;&#10;AI-generated content may be incorrect.">
          <a:extLst>
            <a:ext uri="{FF2B5EF4-FFF2-40B4-BE49-F238E27FC236}">
              <a16:creationId xmlns:a16="http://schemas.microsoft.com/office/drawing/2014/main" id="{93147E0F-441B-4BC8-AC08-514DF3D001E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25124" y="324503"/>
          <a:ext cx="1591130" cy="1112621"/>
        </a:xfrm>
        <a:prstGeom prst="rect">
          <a:avLst/>
        </a:prstGeom>
      </xdr:spPr>
    </xdr:pic>
    <xdr:clientData/>
  </xdr:twoCellAnchor>
  <xdr:twoCellAnchor editAs="oneCell">
    <xdr:from>
      <xdr:col>10</xdr:col>
      <xdr:colOff>1865312</xdr:colOff>
      <xdr:row>1</xdr:row>
      <xdr:rowOff>39684</xdr:rowOff>
    </xdr:from>
    <xdr:to>
      <xdr:col>10</xdr:col>
      <xdr:colOff>4722811</xdr:colOff>
      <xdr:row>2</xdr:row>
      <xdr:rowOff>1213376</xdr:rowOff>
    </xdr:to>
    <xdr:pic>
      <xdr:nvPicPr>
        <xdr:cNvPr id="5" name="Picture 4">
          <a:extLst>
            <a:ext uri="{FF2B5EF4-FFF2-40B4-BE49-F238E27FC236}">
              <a16:creationId xmlns:a16="http://schemas.microsoft.com/office/drawing/2014/main" id="{3ABE9AFB-3418-4543-8EAC-99B3961014C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140208" y="264580"/>
          <a:ext cx="2857499" cy="24040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16710</xdr:colOff>
      <xdr:row>1</xdr:row>
      <xdr:rowOff>95248</xdr:rowOff>
    </xdr:from>
    <xdr:to>
      <xdr:col>29</xdr:col>
      <xdr:colOff>516610</xdr:colOff>
      <xdr:row>57</xdr:row>
      <xdr:rowOff>33421</xdr:rowOff>
    </xdr:to>
    <xdr:sp macro="" textlink="">
      <xdr:nvSpPr>
        <xdr:cNvPr id="2" name="Rectangle 1">
          <a:extLst>
            <a:ext uri="{FF2B5EF4-FFF2-40B4-BE49-F238E27FC236}">
              <a16:creationId xmlns:a16="http://schemas.microsoft.com/office/drawing/2014/main" id="{9B9E5E50-3920-80DA-8E0F-826AB784FF02}"/>
            </a:ext>
          </a:extLst>
        </xdr:cNvPr>
        <xdr:cNvSpPr/>
      </xdr:nvSpPr>
      <xdr:spPr>
        <a:xfrm>
          <a:off x="15139736" y="329195"/>
          <a:ext cx="16174374" cy="18085805"/>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5</xdr:col>
      <xdr:colOff>456197</xdr:colOff>
      <xdr:row>2</xdr:row>
      <xdr:rowOff>339788</xdr:rowOff>
    </xdr:from>
    <xdr:to>
      <xdr:col>12</xdr:col>
      <xdr:colOff>183816</xdr:colOff>
      <xdr:row>10</xdr:row>
      <xdr:rowOff>317506</xdr:rowOff>
    </xdr:to>
    <xdr:sp macro="" textlink="">
      <xdr:nvSpPr>
        <xdr:cNvPr id="4" name="Rectangle 3">
          <a:extLst>
            <a:ext uri="{FF2B5EF4-FFF2-40B4-BE49-F238E27FC236}">
              <a16:creationId xmlns:a16="http://schemas.microsoft.com/office/drawing/2014/main" id="{B5C86D93-8916-09E5-40AC-8A3C4AACAC7A}"/>
            </a:ext>
          </a:extLst>
        </xdr:cNvPr>
        <xdr:cNvSpPr/>
      </xdr:nvSpPr>
      <xdr:spPr>
        <a:xfrm>
          <a:off x="15579223" y="790972"/>
          <a:ext cx="4841040" cy="2567850"/>
        </a:xfrm>
        <a:prstGeom prst="rect">
          <a:avLst/>
        </a:prstGeom>
        <a:solidFill>
          <a:srgbClr val="833C0C"/>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13</xdr:col>
      <xdr:colOff>16711</xdr:colOff>
      <xdr:row>2</xdr:row>
      <xdr:rowOff>323077</xdr:rowOff>
    </xdr:from>
    <xdr:to>
      <xdr:col>20</xdr:col>
      <xdr:colOff>447618</xdr:colOff>
      <xdr:row>10</xdr:row>
      <xdr:rowOff>300795</xdr:rowOff>
    </xdr:to>
    <xdr:sp macro="" textlink="">
      <xdr:nvSpPr>
        <xdr:cNvPr id="5" name="Rectangle 4">
          <a:extLst>
            <a:ext uri="{FF2B5EF4-FFF2-40B4-BE49-F238E27FC236}">
              <a16:creationId xmlns:a16="http://schemas.microsoft.com/office/drawing/2014/main" id="{D424DA25-DC48-5C37-5C7F-183F58970A0F}"/>
            </a:ext>
          </a:extLst>
        </xdr:cNvPr>
        <xdr:cNvSpPr/>
      </xdr:nvSpPr>
      <xdr:spPr>
        <a:xfrm>
          <a:off x="20854737" y="774261"/>
          <a:ext cx="4976170" cy="2567850"/>
        </a:xfrm>
        <a:prstGeom prst="rect">
          <a:avLst/>
        </a:prstGeom>
        <a:solidFill>
          <a:srgbClr val="833C0C"/>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14</xdr:col>
      <xdr:colOff>196451</xdr:colOff>
      <xdr:row>2</xdr:row>
      <xdr:rowOff>348963</xdr:rowOff>
    </xdr:from>
    <xdr:to>
      <xdr:col>20</xdr:col>
      <xdr:colOff>391027</xdr:colOff>
      <xdr:row>5</xdr:row>
      <xdr:rowOff>225118</xdr:rowOff>
    </xdr:to>
    <xdr:sp macro="" textlink="$D$47">
      <xdr:nvSpPr>
        <xdr:cNvPr id="6" name="TextBox 5">
          <a:extLst>
            <a:ext uri="{FF2B5EF4-FFF2-40B4-BE49-F238E27FC236}">
              <a16:creationId xmlns:a16="http://schemas.microsoft.com/office/drawing/2014/main" id="{40609768-3564-F5A9-81E9-5D5E41040E74}"/>
            </a:ext>
          </a:extLst>
        </xdr:cNvPr>
        <xdr:cNvSpPr txBox="1"/>
      </xdr:nvSpPr>
      <xdr:spPr>
        <a:xfrm>
          <a:off x="21636056" y="800147"/>
          <a:ext cx="4138260" cy="7283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fld id="{CD80835F-E1C3-4807-9016-D85E057B8700}" type="TxLink">
            <a:rPr lang="en-US" sz="3300" b="1" i="0" u="none" strike="noStrike">
              <a:solidFill>
                <a:schemeClr val="bg1"/>
              </a:solidFill>
              <a:latin typeface="Segoe UI"/>
              <a:cs typeface="Segoe UI"/>
            </a:rPr>
            <a:pPr algn="r"/>
            <a:t>₦7,109,285,168.92</a:t>
          </a:fld>
          <a:endParaRPr lang="en-NG" sz="3300">
            <a:solidFill>
              <a:schemeClr val="bg1"/>
            </a:solidFill>
          </a:endParaRPr>
        </a:p>
      </xdr:txBody>
    </xdr:sp>
    <xdr:clientData/>
  </xdr:twoCellAnchor>
  <xdr:twoCellAnchor>
    <xdr:from>
      <xdr:col>15</xdr:col>
      <xdr:colOff>0</xdr:colOff>
      <xdr:row>5</xdr:row>
      <xdr:rowOff>244232</xdr:rowOff>
    </xdr:from>
    <xdr:to>
      <xdr:col>20</xdr:col>
      <xdr:colOff>374318</xdr:colOff>
      <xdr:row>9</xdr:row>
      <xdr:rowOff>2</xdr:rowOff>
    </xdr:to>
    <xdr:sp macro="" textlink="">
      <xdr:nvSpPr>
        <xdr:cNvPr id="13" name="TextBox 12">
          <a:extLst>
            <a:ext uri="{FF2B5EF4-FFF2-40B4-BE49-F238E27FC236}">
              <a16:creationId xmlns:a16="http://schemas.microsoft.com/office/drawing/2014/main" id="{75C8866F-B94E-EEE6-D1F7-1277E6B5371A}"/>
            </a:ext>
          </a:extLst>
        </xdr:cNvPr>
        <xdr:cNvSpPr txBox="1"/>
      </xdr:nvSpPr>
      <xdr:spPr>
        <a:xfrm>
          <a:off x="22078462" y="1587501"/>
          <a:ext cx="3720279" cy="830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r>
            <a:rPr lang="en-US" sz="2000" b="0" i="1" u="none" strike="noStrike">
              <a:solidFill>
                <a:schemeClr val="bg1"/>
              </a:solidFill>
              <a:latin typeface="Segoe UI"/>
              <a:cs typeface="Segoe UI"/>
            </a:rPr>
            <a:t>Total</a:t>
          </a:r>
          <a:r>
            <a:rPr lang="en-US" sz="2000" b="0" i="1" u="none" strike="noStrike" baseline="0">
              <a:solidFill>
                <a:schemeClr val="bg1"/>
              </a:solidFill>
              <a:latin typeface="Segoe UI"/>
              <a:cs typeface="Segoe UI"/>
            </a:rPr>
            <a:t> amount allocated in Action Plan</a:t>
          </a:r>
          <a:endParaRPr lang="en-US" sz="2000" b="0" i="1" u="none" strike="noStrike">
            <a:solidFill>
              <a:schemeClr val="bg1"/>
            </a:solidFill>
            <a:latin typeface="Segoe UI"/>
            <a:cs typeface="Segoe UI"/>
          </a:endParaRPr>
        </a:p>
      </xdr:txBody>
    </xdr:sp>
    <xdr:clientData/>
  </xdr:twoCellAnchor>
  <xdr:twoCellAnchor>
    <xdr:from>
      <xdr:col>5</xdr:col>
      <xdr:colOff>843914</xdr:colOff>
      <xdr:row>3</xdr:row>
      <xdr:rowOff>16710</xdr:rowOff>
    </xdr:from>
    <xdr:to>
      <xdr:col>11</xdr:col>
      <xdr:colOff>501875</xdr:colOff>
      <xdr:row>5</xdr:row>
      <xdr:rowOff>206375</xdr:rowOff>
    </xdr:to>
    <xdr:sp macro="" textlink="$C$2">
      <xdr:nvSpPr>
        <xdr:cNvPr id="15" name="TextBox 14">
          <a:extLst>
            <a:ext uri="{FF2B5EF4-FFF2-40B4-BE49-F238E27FC236}">
              <a16:creationId xmlns:a16="http://schemas.microsoft.com/office/drawing/2014/main" id="{B80BC657-2EAF-7429-8A62-BE7B29780DB4}"/>
            </a:ext>
          </a:extLst>
        </xdr:cNvPr>
        <xdr:cNvSpPr txBox="1"/>
      </xdr:nvSpPr>
      <xdr:spPr>
        <a:xfrm>
          <a:off x="13607414" y="858085"/>
          <a:ext cx="4166461" cy="6659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r"/>
          <a:fld id="{1E2F1EA7-3D70-4A1C-B57E-E26A58445692}" type="TxLink">
            <a:rPr lang="en-US" sz="3300" b="1" i="0" u="none" strike="noStrike">
              <a:solidFill>
                <a:schemeClr val="bg1"/>
              </a:solidFill>
              <a:latin typeface="Segoe UI"/>
              <a:ea typeface="+mn-ea"/>
              <a:cs typeface="Segoe UI"/>
            </a:rPr>
            <a:pPr marL="0" indent="0" algn="r"/>
            <a:t>₦7,109,285,168.92</a:t>
          </a:fld>
          <a:endParaRPr lang="en-NG" sz="3300" b="1" i="0" u="none" strike="noStrike">
            <a:solidFill>
              <a:schemeClr val="bg1"/>
            </a:solidFill>
            <a:latin typeface="Segoe UI"/>
            <a:ea typeface="+mn-ea"/>
            <a:cs typeface="Segoe UI"/>
          </a:endParaRPr>
        </a:p>
      </xdr:txBody>
    </xdr:sp>
    <xdr:clientData/>
  </xdr:twoCellAnchor>
  <xdr:twoCellAnchor>
    <xdr:from>
      <xdr:col>5</xdr:col>
      <xdr:colOff>1058333</xdr:colOff>
      <xdr:row>6</xdr:row>
      <xdr:rowOff>42706</xdr:rowOff>
    </xdr:from>
    <xdr:to>
      <xdr:col>11</xdr:col>
      <xdr:colOff>437444</xdr:colOff>
      <xdr:row>7</xdr:row>
      <xdr:rowOff>239889</xdr:rowOff>
    </xdr:to>
    <xdr:sp macro="" textlink="">
      <xdr:nvSpPr>
        <xdr:cNvPr id="16" name="TextBox 15">
          <a:extLst>
            <a:ext uri="{FF2B5EF4-FFF2-40B4-BE49-F238E27FC236}">
              <a16:creationId xmlns:a16="http://schemas.microsoft.com/office/drawing/2014/main" id="{65C84CD8-453D-9800-DD96-A3DDBF15982E}"/>
            </a:ext>
          </a:extLst>
        </xdr:cNvPr>
        <xdr:cNvSpPr txBox="1"/>
      </xdr:nvSpPr>
      <xdr:spPr>
        <a:xfrm>
          <a:off x="16185444" y="1651373"/>
          <a:ext cx="3908778" cy="4794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r>
            <a:rPr lang="en-US" sz="2000" b="0" i="1" u="none" strike="noStrike">
              <a:solidFill>
                <a:schemeClr val="bg1"/>
              </a:solidFill>
              <a:latin typeface="Segoe UI"/>
              <a:cs typeface="Segoe UI"/>
            </a:rPr>
            <a:t>Total</a:t>
          </a:r>
          <a:r>
            <a:rPr lang="en-US" sz="2000" b="0" i="1" u="none" strike="noStrike" baseline="0">
              <a:solidFill>
                <a:schemeClr val="bg1"/>
              </a:solidFill>
              <a:latin typeface="Segoe UI"/>
              <a:cs typeface="Segoe UI"/>
            </a:rPr>
            <a:t> Matching grants accessed</a:t>
          </a:r>
          <a:endParaRPr lang="en-US" sz="2000" b="0" i="1" u="none" strike="noStrike">
            <a:solidFill>
              <a:schemeClr val="bg1"/>
            </a:solidFill>
            <a:latin typeface="Segoe UI"/>
            <a:cs typeface="Segoe UI"/>
          </a:endParaRPr>
        </a:p>
      </xdr:txBody>
    </xdr:sp>
    <xdr:clientData/>
  </xdr:twoCellAnchor>
  <xdr:twoCellAnchor>
    <xdr:from>
      <xdr:col>21</xdr:col>
      <xdr:colOff>260498</xdr:colOff>
      <xdr:row>2</xdr:row>
      <xdr:rowOff>85940</xdr:rowOff>
    </xdr:from>
    <xdr:to>
      <xdr:col>29</xdr:col>
      <xdr:colOff>292100</xdr:colOff>
      <xdr:row>11</xdr:row>
      <xdr:rowOff>292100</xdr:rowOff>
    </xdr:to>
    <xdr:sp macro="" textlink="">
      <xdr:nvSpPr>
        <xdr:cNvPr id="17" name="Rectangle 16">
          <a:extLst>
            <a:ext uri="{FF2B5EF4-FFF2-40B4-BE49-F238E27FC236}">
              <a16:creationId xmlns:a16="http://schemas.microsoft.com/office/drawing/2014/main" id="{C994407B-2C42-2532-CE90-9524CD48B4CA}"/>
            </a:ext>
          </a:extLst>
        </xdr:cNvPr>
        <xdr:cNvSpPr/>
      </xdr:nvSpPr>
      <xdr:spPr>
        <a:xfrm>
          <a:off x="26346298" y="555840"/>
          <a:ext cx="4908402" cy="3228760"/>
        </a:xfrm>
        <a:prstGeom prst="rect">
          <a:avLst/>
        </a:prstGeom>
        <a:solidFill>
          <a:schemeClr val="bg1">
            <a:lumMod val="9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21</xdr:col>
      <xdr:colOff>336268</xdr:colOff>
      <xdr:row>2</xdr:row>
      <xdr:rowOff>165122</xdr:rowOff>
    </xdr:from>
    <xdr:to>
      <xdr:col>29</xdr:col>
      <xdr:colOff>27668</xdr:colOff>
      <xdr:row>11</xdr:row>
      <xdr:rowOff>228599</xdr:rowOff>
    </xdr:to>
    <xdr:graphicFrame macro="">
      <xdr:nvGraphicFramePr>
        <xdr:cNvPr id="18" name="Chart 17">
          <a:extLst>
            <a:ext uri="{FF2B5EF4-FFF2-40B4-BE49-F238E27FC236}">
              <a16:creationId xmlns:a16="http://schemas.microsoft.com/office/drawing/2014/main" id="{621C60E0-E146-2707-E992-AA36DA4806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562840</xdr:colOff>
      <xdr:row>8</xdr:row>
      <xdr:rowOff>215254</xdr:rowOff>
    </xdr:from>
    <xdr:to>
      <xdr:col>24</xdr:col>
      <xdr:colOff>21526</xdr:colOff>
      <xdr:row>14</xdr:row>
      <xdr:rowOff>398219</xdr:rowOff>
    </xdr:to>
    <xdr:graphicFrame macro="">
      <xdr:nvGraphicFramePr>
        <xdr:cNvPr id="20" name="Chart 19">
          <a:extLst>
            <a:ext uri="{FF2B5EF4-FFF2-40B4-BE49-F238E27FC236}">
              <a16:creationId xmlns:a16="http://schemas.microsoft.com/office/drawing/2014/main" id="{CBCD3C7E-3B6A-BC0D-A572-1DAD27AE87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505649</xdr:colOff>
      <xdr:row>14</xdr:row>
      <xdr:rowOff>88025</xdr:rowOff>
    </xdr:from>
    <xdr:to>
      <xdr:col>29</xdr:col>
      <xdr:colOff>127000</xdr:colOff>
      <xdr:row>21</xdr:row>
      <xdr:rowOff>331312</xdr:rowOff>
    </xdr:to>
    <xdr:sp macro="" textlink="">
      <xdr:nvSpPr>
        <xdr:cNvPr id="21" name="Rectangle 20">
          <a:extLst>
            <a:ext uri="{FF2B5EF4-FFF2-40B4-BE49-F238E27FC236}">
              <a16:creationId xmlns:a16="http://schemas.microsoft.com/office/drawing/2014/main" id="{CDCF00B6-634A-56DE-7E22-6163967417A1}"/>
            </a:ext>
          </a:extLst>
        </xdr:cNvPr>
        <xdr:cNvSpPr/>
      </xdr:nvSpPr>
      <xdr:spPr>
        <a:xfrm>
          <a:off x="15628675" y="5034341"/>
          <a:ext cx="15295825" cy="3084076"/>
        </a:xfrm>
        <a:prstGeom prst="rect">
          <a:avLst/>
        </a:prstGeom>
        <a:solidFill>
          <a:schemeClr val="bg1">
            <a:lumMod val="9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5</xdr:col>
      <xdr:colOff>751974</xdr:colOff>
      <xdr:row>14</xdr:row>
      <xdr:rowOff>176278</xdr:rowOff>
    </xdr:from>
    <xdr:to>
      <xdr:col>28</xdr:col>
      <xdr:colOff>334211</xdr:colOff>
      <xdr:row>21</xdr:row>
      <xdr:rowOff>312244</xdr:rowOff>
    </xdr:to>
    <xdr:graphicFrame macro="">
      <xdr:nvGraphicFramePr>
        <xdr:cNvPr id="22" name="Chart 21">
          <a:extLst>
            <a:ext uri="{FF2B5EF4-FFF2-40B4-BE49-F238E27FC236}">
              <a16:creationId xmlns:a16="http://schemas.microsoft.com/office/drawing/2014/main" id="{4F4672DB-5928-710E-DD4D-EB5A73DDC7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375882</xdr:colOff>
      <xdr:row>2</xdr:row>
      <xdr:rowOff>106504</xdr:rowOff>
    </xdr:from>
    <xdr:to>
      <xdr:col>28</xdr:col>
      <xdr:colOff>512828</xdr:colOff>
      <xdr:row>2</xdr:row>
      <xdr:rowOff>358753</xdr:rowOff>
    </xdr:to>
    <xdr:sp macro="" textlink="">
      <xdr:nvSpPr>
        <xdr:cNvPr id="24" name="TextBox 23">
          <a:extLst>
            <a:ext uri="{FF2B5EF4-FFF2-40B4-BE49-F238E27FC236}">
              <a16:creationId xmlns:a16="http://schemas.microsoft.com/office/drawing/2014/main" id="{3D901417-64FA-C241-54D4-3832829D9A7E}"/>
            </a:ext>
          </a:extLst>
        </xdr:cNvPr>
        <xdr:cNvSpPr txBox="1"/>
      </xdr:nvSpPr>
      <xdr:spPr>
        <a:xfrm>
          <a:off x="26461682" y="576404"/>
          <a:ext cx="4404146" cy="252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r>
            <a:rPr lang="en-US" sz="1300" b="1" i="1" u="none" strike="noStrike">
              <a:solidFill>
                <a:schemeClr val="tx1"/>
              </a:solidFill>
              <a:latin typeface="Segoe UI"/>
              <a:cs typeface="Segoe UI"/>
            </a:rPr>
            <a:t>Distribution of Action plan total amount by pillars</a:t>
          </a:r>
        </a:p>
      </xdr:txBody>
    </xdr:sp>
    <xdr:clientData/>
  </xdr:twoCellAnchor>
  <xdr:twoCellAnchor>
    <xdr:from>
      <xdr:col>5</xdr:col>
      <xdr:colOff>578556</xdr:colOff>
      <xdr:row>14</xdr:row>
      <xdr:rowOff>121288</xdr:rowOff>
    </xdr:from>
    <xdr:to>
      <xdr:col>12</xdr:col>
      <xdr:colOff>280473</xdr:colOff>
      <xdr:row>14</xdr:row>
      <xdr:rowOff>378090</xdr:rowOff>
    </xdr:to>
    <xdr:sp macro="" textlink="">
      <xdr:nvSpPr>
        <xdr:cNvPr id="25" name="TextBox 24">
          <a:extLst>
            <a:ext uri="{FF2B5EF4-FFF2-40B4-BE49-F238E27FC236}">
              <a16:creationId xmlns:a16="http://schemas.microsoft.com/office/drawing/2014/main" id="{AAA1A227-B608-8600-66ED-E264FFA66DC1}"/>
            </a:ext>
          </a:extLst>
        </xdr:cNvPr>
        <xdr:cNvSpPr txBox="1"/>
      </xdr:nvSpPr>
      <xdr:spPr>
        <a:xfrm>
          <a:off x="15701582" y="5067604"/>
          <a:ext cx="4815338" cy="2568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r>
            <a:rPr lang="en-US" sz="1300" b="1" i="1" u="none" strike="noStrike">
              <a:solidFill>
                <a:schemeClr val="tx1"/>
              </a:solidFill>
              <a:latin typeface="Segoe UI"/>
              <a:cs typeface="Segoe UI"/>
            </a:rPr>
            <a:t>New Construction expected</a:t>
          </a:r>
          <a:r>
            <a:rPr lang="en-US" sz="1300" b="1" i="1" u="none" strike="noStrike" baseline="0">
              <a:solidFill>
                <a:schemeClr val="tx1"/>
              </a:solidFill>
              <a:latin typeface="Segoe UI"/>
              <a:cs typeface="Segoe UI"/>
            </a:rPr>
            <a:t> deliverables</a:t>
          </a:r>
          <a:endParaRPr lang="en-US" sz="1300" b="1" i="1" u="none" strike="noStrike">
            <a:solidFill>
              <a:schemeClr val="tx1"/>
            </a:solidFill>
            <a:latin typeface="Segoe UI"/>
            <a:cs typeface="Segoe UI"/>
          </a:endParaRPr>
        </a:p>
      </xdr:txBody>
    </xdr:sp>
    <xdr:clientData/>
  </xdr:twoCellAnchor>
  <xdr:twoCellAnchor>
    <xdr:from>
      <xdr:col>5</xdr:col>
      <xdr:colOff>517409</xdr:colOff>
      <xdr:row>25</xdr:row>
      <xdr:rowOff>21273</xdr:rowOff>
    </xdr:from>
    <xdr:to>
      <xdr:col>29</xdr:col>
      <xdr:colOff>116974</xdr:colOff>
      <xdr:row>32</xdr:row>
      <xdr:rowOff>150401</xdr:rowOff>
    </xdr:to>
    <xdr:sp macro="" textlink="">
      <xdr:nvSpPr>
        <xdr:cNvPr id="26" name="Rectangle 25">
          <a:extLst>
            <a:ext uri="{FF2B5EF4-FFF2-40B4-BE49-F238E27FC236}">
              <a16:creationId xmlns:a16="http://schemas.microsoft.com/office/drawing/2014/main" id="{CB5DC360-A420-A37E-B8AE-7D1A319A174A}"/>
            </a:ext>
          </a:extLst>
        </xdr:cNvPr>
        <xdr:cNvSpPr/>
      </xdr:nvSpPr>
      <xdr:spPr>
        <a:xfrm>
          <a:off x="15640435" y="9629826"/>
          <a:ext cx="15274039" cy="3203864"/>
        </a:xfrm>
        <a:prstGeom prst="rect">
          <a:avLst/>
        </a:prstGeom>
        <a:solidFill>
          <a:schemeClr val="bg1">
            <a:lumMod val="9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5</xdr:col>
      <xdr:colOff>751974</xdr:colOff>
      <xdr:row>25</xdr:row>
      <xdr:rowOff>108959</xdr:rowOff>
    </xdr:from>
    <xdr:to>
      <xdr:col>28</xdr:col>
      <xdr:colOff>434474</xdr:colOff>
      <xdr:row>31</xdr:row>
      <xdr:rowOff>762415</xdr:rowOff>
    </xdr:to>
    <xdr:graphicFrame macro="">
      <xdr:nvGraphicFramePr>
        <xdr:cNvPr id="27" name="Chart 26">
          <a:extLst>
            <a:ext uri="{FF2B5EF4-FFF2-40B4-BE49-F238E27FC236}">
              <a16:creationId xmlns:a16="http://schemas.microsoft.com/office/drawing/2014/main" id="{FF781397-23E3-E0D4-ABF7-D6EB4AEF85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649374</xdr:colOff>
      <xdr:row>25</xdr:row>
      <xdr:rowOff>54536</xdr:rowOff>
    </xdr:from>
    <xdr:to>
      <xdr:col>16</xdr:col>
      <xdr:colOff>491978</xdr:colOff>
      <xdr:row>26</xdr:row>
      <xdr:rowOff>75911</xdr:rowOff>
    </xdr:to>
    <xdr:sp macro="" textlink="">
      <xdr:nvSpPr>
        <xdr:cNvPr id="28" name="TextBox 27">
          <a:extLst>
            <a:ext uri="{FF2B5EF4-FFF2-40B4-BE49-F238E27FC236}">
              <a16:creationId xmlns:a16="http://schemas.microsoft.com/office/drawing/2014/main" id="{B29E3635-5688-3F18-CFF2-5A7B0F8E2446}"/>
            </a:ext>
          </a:extLst>
        </xdr:cNvPr>
        <xdr:cNvSpPr txBox="1"/>
      </xdr:nvSpPr>
      <xdr:spPr>
        <a:xfrm>
          <a:off x="15772400" y="9663089"/>
          <a:ext cx="7445894" cy="2553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r>
            <a:rPr lang="en-US" sz="1300" b="1" i="1" u="none" strike="noStrike">
              <a:solidFill>
                <a:schemeClr val="tx1"/>
              </a:solidFill>
              <a:latin typeface="Segoe UI"/>
              <a:cs typeface="Segoe UI"/>
            </a:rPr>
            <a:t>Renovation</a:t>
          </a:r>
          <a:r>
            <a:rPr lang="en-US" sz="1300" b="1" i="1" u="none" strike="noStrike" baseline="0">
              <a:solidFill>
                <a:schemeClr val="tx1"/>
              </a:solidFill>
              <a:latin typeface="Segoe UI"/>
              <a:cs typeface="Segoe UI"/>
            </a:rPr>
            <a:t> </a:t>
          </a:r>
          <a:r>
            <a:rPr lang="en-US" sz="1300" b="1" i="1" u="none" strike="noStrike">
              <a:solidFill>
                <a:schemeClr val="tx1"/>
              </a:solidFill>
              <a:latin typeface="Segoe UI"/>
              <a:cs typeface="Segoe UI"/>
            </a:rPr>
            <a:t>expected</a:t>
          </a:r>
          <a:r>
            <a:rPr lang="en-US" sz="1300" b="1" i="1" u="none" strike="noStrike" baseline="0">
              <a:solidFill>
                <a:schemeClr val="tx1"/>
              </a:solidFill>
              <a:latin typeface="Segoe UI"/>
              <a:cs typeface="Segoe UI"/>
            </a:rPr>
            <a:t> deliverables</a:t>
          </a:r>
          <a:endParaRPr lang="en-US" sz="1300" b="1" i="1" u="none" strike="noStrike">
            <a:solidFill>
              <a:schemeClr val="tx1"/>
            </a:solidFill>
            <a:latin typeface="Segoe UI"/>
            <a:cs typeface="Segoe UI"/>
          </a:endParaRPr>
        </a:p>
      </xdr:txBody>
    </xdr:sp>
    <xdr:clientData/>
  </xdr:twoCellAnchor>
  <xdr:twoCellAnchor>
    <xdr:from>
      <xdr:col>5</xdr:col>
      <xdr:colOff>579439</xdr:colOff>
      <xdr:row>39</xdr:row>
      <xdr:rowOff>176067</xdr:rowOff>
    </xdr:from>
    <xdr:to>
      <xdr:col>12</xdr:col>
      <xdr:colOff>153459</xdr:colOff>
      <xdr:row>53</xdr:row>
      <xdr:rowOff>211871</xdr:rowOff>
    </xdr:to>
    <xdr:sp macro="" textlink="">
      <xdr:nvSpPr>
        <xdr:cNvPr id="3" name="Rectangle 2">
          <a:extLst>
            <a:ext uri="{FF2B5EF4-FFF2-40B4-BE49-F238E27FC236}">
              <a16:creationId xmlns:a16="http://schemas.microsoft.com/office/drawing/2014/main" id="{2EBFCE19-CB0A-11DA-23BB-3A45ED1BB355}"/>
            </a:ext>
          </a:extLst>
        </xdr:cNvPr>
        <xdr:cNvSpPr/>
      </xdr:nvSpPr>
      <xdr:spPr>
        <a:xfrm>
          <a:off x="15702465" y="14647383"/>
          <a:ext cx="4687441" cy="3077120"/>
        </a:xfrm>
        <a:prstGeom prst="rect">
          <a:avLst/>
        </a:prstGeom>
        <a:solidFill>
          <a:schemeClr val="bg1">
            <a:lumMod val="9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5</xdr:col>
      <xdr:colOff>668786</xdr:colOff>
      <xdr:row>40</xdr:row>
      <xdr:rowOff>38013</xdr:rowOff>
    </xdr:from>
    <xdr:to>
      <xdr:col>12</xdr:col>
      <xdr:colOff>73995</xdr:colOff>
      <xdr:row>53</xdr:row>
      <xdr:rowOff>192804</xdr:rowOff>
    </xdr:to>
    <xdr:graphicFrame macro="">
      <xdr:nvGraphicFramePr>
        <xdr:cNvPr id="7" name="Chart 6">
          <a:extLst>
            <a:ext uri="{FF2B5EF4-FFF2-40B4-BE49-F238E27FC236}">
              <a16:creationId xmlns:a16="http://schemas.microsoft.com/office/drawing/2014/main" id="{28995CFD-0A12-4F59-E180-C373A54092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708400</xdr:colOff>
      <xdr:row>39</xdr:row>
      <xdr:rowOff>209331</xdr:rowOff>
    </xdr:from>
    <xdr:to>
      <xdr:col>11</xdr:col>
      <xdr:colOff>567534</xdr:colOff>
      <xdr:row>41</xdr:row>
      <xdr:rowOff>23032</xdr:rowOff>
    </xdr:to>
    <xdr:sp macro="" textlink="">
      <xdr:nvSpPr>
        <xdr:cNvPr id="8" name="TextBox 7">
          <a:extLst>
            <a:ext uri="{FF2B5EF4-FFF2-40B4-BE49-F238E27FC236}">
              <a16:creationId xmlns:a16="http://schemas.microsoft.com/office/drawing/2014/main" id="{BF7A4029-E60C-82EE-E0A2-EB8D4895FD2E}"/>
            </a:ext>
          </a:extLst>
        </xdr:cNvPr>
        <xdr:cNvSpPr txBox="1"/>
      </xdr:nvSpPr>
      <xdr:spPr>
        <a:xfrm>
          <a:off x="15831426" y="14680647"/>
          <a:ext cx="4370976" cy="248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r>
            <a:rPr lang="en-US" sz="1300" b="1" i="1" u="none" strike="noStrike">
              <a:solidFill>
                <a:schemeClr val="tx1"/>
              </a:solidFill>
              <a:latin typeface="Segoe UI"/>
              <a:cs typeface="Segoe UI"/>
            </a:rPr>
            <a:t>Furniture</a:t>
          </a:r>
        </a:p>
      </xdr:txBody>
    </xdr:sp>
    <xdr:clientData/>
  </xdr:twoCellAnchor>
  <xdr:twoCellAnchor>
    <xdr:from>
      <xdr:col>13</xdr:col>
      <xdr:colOff>160631</xdr:colOff>
      <xdr:row>39</xdr:row>
      <xdr:rowOff>195911</xdr:rowOff>
    </xdr:from>
    <xdr:to>
      <xdr:col>20</xdr:col>
      <xdr:colOff>284009</xdr:colOff>
      <xdr:row>54</xdr:row>
      <xdr:rowOff>14479</xdr:rowOff>
    </xdr:to>
    <xdr:sp macro="" textlink="">
      <xdr:nvSpPr>
        <xdr:cNvPr id="9" name="Rectangle 8">
          <a:extLst>
            <a:ext uri="{FF2B5EF4-FFF2-40B4-BE49-F238E27FC236}">
              <a16:creationId xmlns:a16="http://schemas.microsoft.com/office/drawing/2014/main" id="{6716FA7B-816E-829F-9091-9107D17810DE}"/>
            </a:ext>
          </a:extLst>
        </xdr:cNvPr>
        <xdr:cNvSpPr/>
      </xdr:nvSpPr>
      <xdr:spPr>
        <a:xfrm>
          <a:off x="20998657" y="14667227"/>
          <a:ext cx="4668641" cy="3077120"/>
        </a:xfrm>
        <a:prstGeom prst="rect">
          <a:avLst/>
        </a:prstGeom>
        <a:solidFill>
          <a:schemeClr val="bg1">
            <a:lumMod val="9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13</xdr:col>
      <xdr:colOff>236401</xdr:colOff>
      <xdr:row>40</xdr:row>
      <xdr:rowOff>57857</xdr:rowOff>
    </xdr:from>
    <xdr:to>
      <xdr:col>20</xdr:col>
      <xdr:colOff>204545</xdr:colOff>
      <xdr:row>53</xdr:row>
      <xdr:rowOff>212648</xdr:rowOff>
    </xdr:to>
    <xdr:graphicFrame macro="">
      <xdr:nvGraphicFramePr>
        <xdr:cNvPr id="10" name="Chart 9">
          <a:extLst>
            <a:ext uri="{FF2B5EF4-FFF2-40B4-BE49-F238E27FC236}">
              <a16:creationId xmlns:a16="http://schemas.microsoft.com/office/drawing/2014/main" id="{974DCD21-FD3E-C813-0B8A-DF5EBE0A5A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276015</xdr:colOff>
      <xdr:row>40</xdr:row>
      <xdr:rowOff>11938</xdr:rowOff>
    </xdr:from>
    <xdr:to>
      <xdr:col>20</xdr:col>
      <xdr:colOff>82928</xdr:colOff>
      <xdr:row>41</xdr:row>
      <xdr:rowOff>50187</xdr:rowOff>
    </xdr:to>
    <xdr:sp macro="" textlink="">
      <xdr:nvSpPr>
        <xdr:cNvPr id="11" name="TextBox 10">
          <a:extLst>
            <a:ext uri="{FF2B5EF4-FFF2-40B4-BE49-F238E27FC236}">
              <a16:creationId xmlns:a16="http://schemas.microsoft.com/office/drawing/2014/main" id="{0385E027-F44C-E09E-5380-1DE5CAE329E2}"/>
            </a:ext>
          </a:extLst>
        </xdr:cNvPr>
        <xdr:cNvSpPr txBox="1"/>
      </xdr:nvSpPr>
      <xdr:spPr>
        <a:xfrm>
          <a:off x="21114041" y="14700491"/>
          <a:ext cx="4352176" cy="255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r>
            <a:rPr lang="en-US" sz="1300" b="1" i="1" u="none" strike="noStrike">
              <a:solidFill>
                <a:schemeClr val="tx1"/>
              </a:solidFill>
              <a:latin typeface="Segoe UI"/>
              <a:cs typeface="Segoe UI"/>
            </a:rPr>
            <a:t>Boreholes</a:t>
          </a:r>
        </a:p>
      </xdr:txBody>
    </xdr:sp>
    <xdr:clientData/>
  </xdr:twoCellAnchor>
  <xdr:twoCellAnchor>
    <xdr:from>
      <xdr:col>21</xdr:col>
      <xdr:colOff>240004</xdr:colOff>
      <xdr:row>39</xdr:row>
      <xdr:rowOff>176067</xdr:rowOff>
    </xdr:from>
    <xdr:to>
      <xdr:col>29</xdr:col>
      <xdr:colOff>78260</xdr:colOff>
      <xdr:row>53</xdr:row>
      <xdr:rowOff>211871</xdr:rowOff>
    </xdr:to>
    <xdr:sp macro="" textlink="">
      <xdr:nvSpPr>
        <xdr:cNvPr id="12" name="Rectangle 11">
          <a:extLst>
            <a:ext uri="{FF2B5EF4-FFF2-40B4-BE49-F238E27FC236}">
              <a16:creationId xmlns:a16="http://schemas.microsoft.com/office/drawing/2014/main" id="{8CDEB9DC-3C99-3827-7C61-EC811D2E83CD}"/>
            </a:ext>
          </a:extLst>
        </xdr:cNvPr>
        <xdr:cNvSpPr/>
      </xdr:nvSpPr>
      <xdr:spPr>
        <a:xfrm>
          <a:off x="26224872" y="14647383"/>
          <a:ext cx="4650888" cy="3077120"/>
        </a:xfrm>
        <a:prstGeom prst="rect">
          <a:avLst/>
        </a:prstGeom>
        <a:solidFill>
          <a:schemeClr val="bg1">
            <a:lumMod val="95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21</xdr:col>
      <xdr:colOff>315774</xdr:colOff>
      <xdr:row>40</xdr:row>
      <xdr:rowOff>38013</xdr:rowOff>
    </xdr:from>
    <xdr:to>
      <xdr:col>29</xdr:col>
      <xdr:colOff>6023</xdr:colOff>
      <xdr:row>53</xdr:row>
      <xdr:rowOff>192804</xdr:rowOff>
    </xdr:to>
    <xdr:graphicFrame macro="">
      <xdr:nvGraphicFramePr>
        <xdr:cNvPr id="14" name="Chart 13">
          <a:extLst>
            <a:ext uri="{FF2B5EF4-FFF2-40B4-BE49-F238E27FC236}">
              <a16:creationId xmlns:a16="http://schemas.microsoft.com/office/drawing/2014/main" id="{A016D4AB-1FB0-2E1B-1E68-FE14BA4672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21</xdr:col>
      <xdr:colOff>355388</xdr:colOff>
      <xdr:row>39</xdr:row>
      <xdr:rowOff>209331</xdr:rowOff>
    </xdr:from>
    <xdr:to>
      <xdr:col>28</xdr:col>
      <xdr:colOff>492335</xdr:colOff>
      <xdr:row>41</xdr:row>
      <xdr:rowOff>30343</xdr:rowOff>
    </xdr:to>
    <xdr:sp macro="" textlink="">
      <xdr:nvSpPr>
        <xdr:cNvPr id="19" name="TextBox 18">
          <a:extLst>
            <a:ext uri="{FF2B5EF4-FFF2-40B4-BE49-F238E27FC236}">
              <a16:creationId xmlns:a16="http://schemas.microsoft.com/office/drawing/2014/main" id="{95442338-1D2A-5826-67B5-A01A2CAE723B}"/>
            </a:ext>
          </a:extLst>
        </xdr:cNvPr>
        <xdr:cNvSpPr txBox="1"/>
      </xdr:nvSpPr>
      <xdr:spPr>
        <a:xfrm>
          <a:off x="26340256" y="14680647"/>
          <a:ext cx="4348000" cy="255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r>
            <a:rPr lang="en-US" sz="1300" b="1" i="1" u="none" strike="noStrike">
              <a:solidFill>
                <a:schemeClr val="tx1"/>
              </a:solidFill>
              <a:latin typeface="Segoe UI"/>
              <a:cs typeface="Segoe UI"/>
            </a:rPr>
            <a:t>TLMs</a:t>
          </a:r>
        </a:p>
      </xdr:txBody>
    </xdr:sp>
    <xdr:clientData/>
  </xdr:twoCellAnchor>
  <xdr:twoCellAnchor>
    <xdr:from>
      <xdr:col>5</xdr:col>
      <xdr:colOff>46303</xdr:colOff>
      <xdr:row>12</xdr:row>
      <xdr:rowOff>7297</xdr:rowOff>
    </xdr:from>
    <xdr:to>
      <xdr:col>29</xdr:col>
      <xdr:colOff>496094</xdr:colOff>
      <xdr:row>13</xdr:row>
      <xdr:rowOff>201673</xdr:rowOff>
    </xdr:to>
    <xdr:sp macro="" textlink="">
      <xdr:nvSpPr>
        <xdr:cNvPr id="23" name="TextBox 22">
          <a:extLst>
            <a:ext uri="{FF2B5EF4-FFF2-40B4-BE49-F238E27FC236}">
              <a16:creationId xmlns:a16="http://schemas.microsoft.com/office/drawing/2014/main" id="{BD649833-27CA-B38C-6E96-6EC55C5FC15D}"/>
            </a:ext>
          </a:extLst>
        </xdr:cNvPr>
        <xdr:cNvSpPr txBox="1"/>
      </xdr:nvSpPr>
      <xdr:spPr>
        <a:xfrm>
          <a:off x="15169329" y="4001113"/>
          <a:ext cx="16124265" cy="729113"/>
        </a:xfrm>
        <a:prstGeom prst="rect">
          <a:avLst/>
        </a:prstGeom>
        <a:solidFill>
          <a:schemeClr val="accent2">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400" b="1" i="0" u="none" strike="noStrike">
              <a:solidFill>
                <a:schemeClr val="bg1"/>
              </a:solidFill>
              <a:latin typeface="Segoe UI"/>
              <a:cs typeface="Segoe UI"/>
            </a:rPr>
            <a:t>New Constructions</a:t>
          </a:r>
        </a:p>
      </xdr:txBody>
    </xdr:sp>
    <xdr:clientData/>
  </xdr:twoCellAnchor>
  <xdr:twoCellAnchor>
    <xdr:from>
      <xdr:col>5</xdr:col>
      <xdr:colOff>46303</xdr:colOff>
      <xdr:row>22</xdr:row>
      <xdr:rowOff>291378</xdr:rowOff>
    </xdr:from>
    <xdr:to>
      <xdr:col>29</xdr:col>
      <xdr:colOff>496094</xdr:colOff>
      <xdr:row>24</xdr:row>
      <xdr:rowOff>184964</xdr:rowOff>
    </xdr:to>
    <xdr:sp macro="" textlink="">
      <xdr:nvSpPr>
        <xdr:cNvPr id="29" name="TextBox 28">
          <a:extLst>
            <a:ext uri="{FF2B5EF4-FFF2-40B4-BE49-F238E27FC236}">
              <a16:creationId xmlns:a16="http://schemas.microsoft.com/office/drawing/2014/main" id="{9EE0F613-93F5-86F5-6EFD-9DC0C9B2C878}"/>
            </a:ext>
          </a:extLst>
        </xdr:cNvPr>
        <xdr:cNvSpPr txBox="1"/>
      </xdr:nvSpPr>
      <xdr:spPr>
        <a:xfrm>
          <a:off x="15169329" y="8496246"/>
          <a:ext cx="16124265" cy="729113"/>
        </a:xfrm>
        <a:prstGeom prst="rect">
          <a:avLst/>
        </a:prstGeom>
        <a:solidFill>
          <a:schemeClr val="accent2">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400" b="1" i="0" u="none" strike="noStrike">
              <a:solidFill>
                <a:schemeClr val="bg1"/>
              </a:solidFill>
              <a:latin typeface="Segoe UI"/>
              <a:cs typeface="Segoe UI"/>
            </a:rPr>
            <a:t>Renovations</a:t>
          </a:r>
        </a:p>
      </xdr:txBody>
    </xdr:sp>
    <xdr:clientData/>
  </xdr:twoCellAnchor>
  <xdr:twoCellAnchor>
    <xdr:from>
      <xdr:col>5</xdr:col>
      <xdr:colOff>46303</xdr:colOff>
      <xdr:row>34</xdr:row>
      <xdr:rowOff>74133</xdr:rowOff>
    </xdr:from>
    <xdr:to>
      <xdr:col>29</xdr:col>
      <xdr:colOff>496094</xdr:colOff>
      <xdr:row>37</xdr:row>
      <xdr:rowOff>151536</xdr:rowOff>
    </xdr:to>
    <xdr:sp macro="" textlink="">
      <xdr:nvSpPr>
        <xdr:cNvPr id="30" name="TextBox 29">
          <a:extLst>
            <a:ext uri="{FF2B5EF4-FFF2-40B4-BE49-F238E27FC236}">
              <a16:creationId xmlns:a16="http://schemas.microsoft.com/office/drawing/2014/main" id="{09D66497-183B-D393-C166-FA697031FB1D}"/>
            </a:ext>
          </a:extLst>
        </xdr:cNvPr>
        <xdr:cNvSpPr txBox="1"/>
      </xdr:nvSpPr>
      <xdr:spPr>
        <a:xfrm>
          <a:off x="15169329" y="13459265"/>
          <a:ext cx="16124265" cy="729113"/>
        </a:xfrm>
        <a:prstGeom prst="rect">
          <a:avLst/>
        </a:prstGeom>
        <a:solidFill>
          <a:schemeClr val="accent2">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400" b="1" i="0" u="none" strike="noStrike">
              <a:solidFill>
                <a:schemeClr val="bg1"/>
              </a:solidFill>
              <a:latin typeface="Segoe UI"/>
              <a:cs typeface="Segoe UI"/>
            </a:rPr>
            <a:t>Other amenities</a:t>
          </a:r>
        </a:p>
      </xdr:txBody>
    </xdr:sp>
    <xdr:clientData/>
  </xdr:twoCellAnchor>
  <xdr:twoCellAnchor editAs="oneCell">
    <xdr:from>
      <xdr:col>5</xdr:col>
      <xdr:colOff>609600</xdr:colOff>
      <xdr:row>7</xdr:row>
      <xdr:rowOff>177800</xdr:rowOff>
    </xdr:from>
    <xdr:to>
      <xdr:col>6</xdr:col>
      <xdr:colOff>406399</xdr:colOff>
      <xdr:row>10</xdr:row>
      <xdr:rowOff>279399</xdr:rowOff>
    </xdr:to>
    <xdr:pic>
      <xdr:nvPicPr>
        <xdr:cNvPr id="31" name="Picture 30">
          <a:extLst>
            <a:ext uri="{FF2B5EF4-FFF2-40B4-BE49-F238E27FC236}">
              <a16:creationId xmlns:a16="http://schemas.microsoft.com/office/drawing/2014/main" id="{76CECE87-1024-2E7D-07BB-2DA21F18E43F}"/>
            </a:ext>
          </a:extLst>
        </xdr:cNvPr>
        <xdr:cNvPicPr>
          <a:picLocks noChangeAspect="1"/>
        </xdr:cNvPicPr>
      </xdr:nvPicPr>
      <xdr:blipFill>
        <a:blip xmlns:r="http://schemas.openxmlformats.org/officeDocument/2006/relationships" r:embed="rId8"/>
        <a:stretch>
          <a:fillRect/>
        </a:stretch>
      </xdr:blipFill>
      <xdr:spPr>
        <a:xfrm>
          <a:off x="15773400" y="2032000"/>
          <a:ext cx="1295400" cy="1295400"/>
        </a:xfrm>
        <a:prstGeom prst="rect">
          <a:avLst/>
        </a:prstGeom>
      </xdr:spPr>
    </xdr:pic>
    <xdr:clientData/>
  </xdr:twoCellAnchor>
  <xdr:twoCellAnchor editAs="oneCell">
    <xdr:from>
      <xdr:col>13</xdr:col>
      <xdr:colOff>279400</xdr:colOff>
      <xdr:row>7</xdr:row>
      <xdr:rowOff>152400</xdr:rowOff>
    </xdr:from>
    <xdr:to>
      <xdr:col>15</xdr:col>
      <xdr:colOff>330200</xdr:colOff>
      <xdr:row>10</xdr:row>
      <xdr:rowOff>228599</xdr:rowOff>
    </xdr:to>
    <xdr:pic>
      <xdr:nvPicPr>
        <xdr:cNvPr id="32" name="Picture 31">
          <a:extLst>
            <a:ext uri="{FF2B5EF4-FFF2-40B4-BE49-F238E27FC236}">
              <a16:creationId xmlns:a16="http://schemas.microsoft.com/office/drawing/2014/main" id="{BA86219F-2B84-7371-8C69-3F9BF61201FC}"/>
            </a:ext>
          </a:extLst>
        </xdr:cNvPr>
        <xdr:cNvPicPr>
          <a:picLocks noChangeAspect="1"/>
        </xdr:cNvPicPr>
      </xdr:nvPicPr>
      <xdr:blipFill>
        <a:blip xmlns:r="http://schemas.openxmlformats.org/officeDocument/2006/relationships" r:embed="rId9"/>
        <a:stretch>
          <a:fillRect/>
        </a:stretch>
      </xdr:blipFill>
      <xdr:spPr>
        <a:xfrm>
          <a:off x="21209000" y="2006600"/>
          <a:ext cx="1270000" cy="1270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9" tint="-0.249977111117893"/>
  </sheetPr>
  <dimension ref="A1:FM45"/>
  <sheetViews>
    <sheetView showGridLines="0" view="pageBreakPreview" zoomScale="38" zoomScaleNormal="72" workbookViewId="0">
      <selection activeCell="C9" sqref="C9:K9"/>
    </sheetView>
  </sheetViews>
  <sheetFormatPr defaultColWidth="8.7109375" defaultRowHeight="16.5" x14ac:dyDescent="0.3"/>
  <cols>
    <col min="1" max="1" width="4.42578125" style="54" customWidth="1"/>
    <col min="2" max="2" width="100.140625" style="54" customWidth="1"/>
    <col min="3" max="3" width="58.42578125" style="54" customWidth="1"/>
    <col min="4" max="7" width="17.5703125" style="54" customWidth="1"/>
    <col min="8" max="8" width="44.28515625" style="54" customWidth="1"/>
    <col min="9" max="9" width="11.28515625" style="54" customWidth="1"/>
    <col min="10" max="10" width="17.5703125" style="54" hidden="1" customWidth="1"/>
    <col min="11" max="11" width="100.140625" style="54" customWidth="1"/>
    <col min="12" max="12" width="32.7109375" style="54" customWidth="1"/>
    <col min="13" max="79" width="8.7109375" style="54"/>
    <col min="80" max="81" width="0" style="54" hidden="1" customWidth="1"/>
    <col min="82" max="168" width="8.7109375" style="54"/>
    <col min="169" max="169" width="71.28515625" style="54" customWidth="1"/>
    <col min="170" max="171" width="8.7109375" style="54"/>
    <col min="172" max="172" width="32.140625" style="54" customWidth="1"/>
    <col min="173" max="16384" width="8.7109375" style="54"/>
  </cols>
  <sheetData>
    <row r="1" spans="2:169" ht="17.25" thickBot="1" x14ac:dyDescent="0.35">
      <c r="K1" s="650"/>
    </row>
    <row r="2" spans="2:169" ht="96.75" customHeight="1" x14ac:dyDescent="0.95">
      <c r="B2" s="739"/>
      <c r="C2" s="741" t="s">
        <v>138</v>
      </c>
      <c r="D2" s="742"/>
      <c r="E2" s="742"/>
      <c r="F2" s="742"/>
      <c r="G2" s="742"/>
      <c r="H2" s="742"/>
      <c r="I2" s="742"/>
      <c r="J2" s="742"/>
      <c r="K2" s="737" t="s">
        <v>139</v>
      </c>
    </row>
    <row r="3" spans="2:169" ht="96" customHeight="1" x14ac:dyDescent="0.95">
      <c r="B3" s="740"/>
      <c r="C3" s="743" t="s">
        <v>118</v>
      </c>
      <c r="D3" s="743"/>
      <c r="E3" s="743"/>
      <c r="F3" s="743"/>
      <c r="G3" s="743"/>
      <c r="H3" s="743"/>
      <c r="I3" s="743"/>
      <c r="J3" s="743"/>
      <c r="K3" s="738"/>
    </row>
    <row r="4" spans="2:169" s="273" customFormat="1" ht="87" customHeight="1" x14ac:dyDescent="0.25">
      <c r="B4" s="290" t="s">
        <v>673</v>
      </c>
      <c r="C4" s="734" t="s">
        <v>1170</v>
      </c>
      <c r="D4" s="735"/>
      <c r="E4" s="735"/>
      <c r="F4" s="735"/>
      <c r="G4" s="735"/>
      <c r="H4" s="735"/>
      <c r="I4" s="735"/>
      <c r="J4" s="735"/>
      <c r="K4" s="736"/>
    </row>
    <row r="5" spans="2:169" s="273" customFormat="1" ht="89.45" customHeight="1" x14ac:dyDescent="0.25">
      <c r="B5" s="291" t="s">
        <v>672</v>
      </c>
      <c r="C5" s="744">
        <v>2025</v>
      </c>
      <c r="D5" s="744"/>
      <c r="E5" s="744"/>
      <c r="F5" s="744"/>
      <c r="G5" s="744"/>
      <c r="H5" s="744"/>
      <c r="I5" s="744"/>
      <c r="J5" s="744"/>
      <c r="K5" s="745"/>
      <c r="L5" s="274"/>
    </row>
    <row r="6" spans="2:169" s="273" customFormat="1" ht="96.75" customHeight="1" x14ac:dyDescent="0.25">
      <c r="B6" s="291" t="s">
        <v>677</v>
      </c>
      <c r="C6" s="744">
        <v>2025</v>
      </c>
      <c r="D6" s="744"/>
      <c r="E6" s="744"/>
      <c r="F6" s="744"/>
      <c r="G6" s="744"/>
      <c r="H6" s="744"/>
      <c r="I6" s="744"/>
      <c r="J6" s="744"/>
      <c r="K6" s="745"/>
    </row>
    <row r="7" spans="2:169" s="273" customFormat="1" ht="111.95" customHeight="1" x14ac:dyDescent="0.35">
      <c r="B7" s="291" t="s">
        <v>676</v>
      </c>
      <c r="C7" s="744">
        <v>2025</v>
      </c>
      <c r="D7" s="744"/>
      <c r="E7" s="744"/>
      <c r="F7" s="744"/>
      <c r="G7" s="744"/>
      <c r="H7" s="744"/>
      <c r="I7" s="744"/>
      <c r="J7" s="744"/>
      <c r="K7" s="745"/>
      <c r="FM7" s="275" t="s">
        <v>0</v>
      </c>
    </row>
    <row r="8" spans="2:169" s="273" customFormat="1" ht="63.95" customHeight="1" x14ac:dyDescent="0.35">
      <c r="B8" s="291" t="s">
        <v>674</v>
      </c>
      <c r="C8" s="758">
        <v>7109285168.9200001</v>
      </c>
      <c r="D8" s="758"/>
      <c r="E8" s="758"/>
      <c r="F8" s="758"/>
      <c r="G8" s="758"/>
      <c r="H8" s="758"/>
      <c r="I8" s="758"/>
      <c r="J8" s="758"/>
      <c r="K8" s="759"/>
      <c r="FM8" s="275" t="s">
        <v>1</v>
      </c>
    </row>
    <row r="9" spans="2:169" s="273" customFormat="1" ht="66.599999999999994" customHeight="1" x14ac:dyDescent="0.35">
      <c r="B9" s="291" t="s">
        <v>675</v>
      </c>
      <c r="C9" s="758"/>
      <c r="D9" s="758"/>
      <c r="E9" s="758"/>
      <c r="F9" s="758"/>
      <c r="G9" s="758"/>
      <c r="H9" s="758"/>
      <c r="I9" s="758"/>
      <c r="J9" s="758"/>
      <c r="K9" s="759"/>
      <c r="FM9" s="275" t="s">
        <v>1</v>
      </c>
    </row>
    <row r="10" spans="2:169" s="276" customFormat="1" ht="15" customHeight="1" thickBot="1" x14ac:dyDescent="0.6">
      <c r="B10" s="292"/>
      <c r="K10" s="293"/>
      <c r="FM10" s="275" t="s">
        <v>618</v>
      </c>
    </row>
    <row r="11" spans="2:169" s="277" customFormat="1" ht="66" customHeight="1" x14ac:dyDescent="0.35">
      <c r="B11" s="746" t="s">
        <v>679</v>
      </c>
      <c r="C11" s="747"/>
      <c r="D11" s="747"/>
      <c r="E11" s="747"/>
      <c r="F11" s="747"/>
      <c r="G11" s="747"/>
      <c r="H11" s="747"/>
      <c r="I11" s="747"/>
      <c r="J11" s="747"/>
      <c r="K11" s="748"/>
      <c r="CB11" s="277" t="s">
        <v>0</v>
      </c>
      <c r="CC11" s="277">
        <v>2025</v>
      </c>
      <c r="FM11" s="275" t="s">
        <v>619</v>
      </c>
    </row>
    <row r="12" spans="2:169" s="277" customFormat="1" ht="31.5" thickBot="1" x14ac:dyDescent="0.4">
      <c r="B12" s="755" t="s">
        <v>543</v>
      </c>
      <c r="C12" s="756"/>
      <c r="D12" s="756"/>
      <c r="E12" s="756"/>
      <c r="F12" s="756"/>
      <c r="G12" s="756"/>
      <c r="H12" s="756"/>
      <c r="I12" s="756"/>
      <c r="J12" s="756"/>
      <c r="K12" s="757"/>
      <c r="FM12" s="275" t="s">
        <v>620</v>
      </c>
    </row>
    <row r="13" spans="2:169" s="277" customFormat="1" ht="31.5" thickBot="1" x14ac:dyDescent="0.4">
      <c r="B13" s="749" t="s">
        <v>541</v>
      </c>
      <c r="C13" s="750"/>
      <c r="D13" s="750"/>
      <c r="E13" s="750"/>
      <c r="F13" s="750"/>
      <c r="G13" s="750"/>
      <c r="H13" s="750"/>
      <c r="I13" s="750"/>
      <c r="J13" s="750"/>
      <c r="K13" s="751"/>
      <c r="CB13" s="277" t="s">
        <v>1</v>
      </c>
      <c r="CC13" s="277">
        <v>2026</v>
      </c>
      <c r="FM13" s="275" t="s">
        <v>621</v>
      </c>
    </row>
    <row r="14" spans="2:169" s="277" customFormat="1" ht="31.5" thickBot="1" x14ac:dyDescent="0.4">
      <c r="B14" s="749" t="s">
        <v>542</v>
      </c>
      <c r="C14" s="750"/>
      <c r="D14" s="750"/>
      <c r="E14" s="750"/>
      <c r="F14" s="750"/>
      <c r="G14" s="750"/>
      <c r="H14" s="750"/>
      <c r="I14" s="750"/>
      <c r="J14" s="750"/>
      <c r="K14" s="751"/>
      <c r="FM14" s="275" t="s">
        <v>622</v>
      </c>
    </row>
    <row r="15" spans="2:169" s="277" customFormat="1" ht="31.5" thickBot="1" x14ac:dyDescent="0.4">
      <c r="B15" s="749" t="s">
        <v>670</v>
      </c>
      <c r="C15" s="750"/>
      <c r="D15" s="750"/>
      <c r="E15" s="750"/>
      <c r="F15" s="750"/>
      <c r="G15" s="750"/>
      <c r="H15" s="750"/>
      <c r="I15" s="750"/>
      <c r="J15" s="750"/>
      <c r="K15" s="751"/>
      <c r="FM15" s="275" t="s">
        <v>623</v>
      </c>
    </row>
    <row r="16" spans="2:169" s="288" customFormat="1" ht="32.450000000000003" customHeight="1" thickBot="1" x14ac:dyDescent="0.4">
      <c r="B16" s="760" t="s">
        <v>678</v>
      </c>
      <c r="C16" s="761"/>
      <c r="D16" s="761"/>
      <c r="E16" s="761"/>
      <c r="F16" s="761"/>
      <c r="G16" s="761"/>
      <c r="H16" s="761"/>
      <c r="I16" s="761"/>
      <c r="J16" s="761"/>
      <c r="K16" s="762"/>
      <c r="FM16" s="289" t="s">
        <v>624</v>
      </c>
    </row>
    <row r="17" spans="1:169" s="277" customFormat="1" ht="31.5" thickBot="1" x14ac:dyDescent="0.4">
      <c r="B17" s="749" t="s">
        <v>544</v>
      </c>
      <c r="C17" s="750"/>
      <c r="D17" s="750"/>
      <c r="E17" s="750"/>
      <c r="F17" s="750"/>
      <c r="G17" s="750"/>
      <c r="H17" s="750"/>
      <c r="I17" s="750"/>
      <c r="J17" s="750"/>
      <c r="K17" s="751"/>
      <c r="CB17" s="277" t="s">
        <v>2</v>
      </c>
      <c r="FM17" s="275" t="s">
        <v>625</v>
      </c>
    </row>
    <row r="18" spans="1:169" s="277" customFormat="1" ht="31.5" thickBot="1" x14ac:dyDescent="0.4">
      <c r="B18" s="749" t="s">
        <v>671</v>
      </c>
      <c r="C18" s="750"/>
      <c r="D18" s="750"/>
      <c r="E18" s="750"/>
      <c r="F18" s="750"/>
      <c r="G18" s="750"/>
      <c r="H18" s="750"/>
      <c r="I18" s="750"/>
      <c r="J18" s="750"/>
      <c r="K18" s="751"/>
      <c r="FM18" s="275" t="s">
        <v>2</v>
      </c>
    </row>
    <row r="19" spans="1:169" s="277" customFormat="1" ht="31.5" thickBot="1" x14ac:dyDescent="0.4">
      <c r="B19" s="749" t="s">
        <v>545</v>
      </c>
      <c r="C19" s="750"/>
      <c r="D19" s="750"/>
      <c r="E19" s="750"/>
      <c r="F19" s="750"/>
      <c r="G19" s="750"/>
      <c r="H19" s="750"/>
      <c r="I19" s="750"/>
      <c r="J19" s="750"/>
      <c r="K19" s="751"/>
      <c r="FM19" s="275" t="s">
        <v>3</v>
      </c>
    </row>
    <row r="20" spans="1:169" s="277" customFormat="1" ht="30.6" customHeight="1" thickBot="1" x14ac:dyDescent="0.4">
      <c r="B20" s="749" t="s">
        <v>546</v>
      </c>
      <c r="C20" s="750"/>
      <c r="D20" s="750"/>
      <c r="E20" s="750"/>
      <c r="F20" s="750"/>
      <c r="G20" s="750"/>
      <c r="H20" s="750"/>
      <c r="I20" s="750"/>
      <c r="J20" s="750"/>
      <c r="K20" s="751"/>
      <c r="CB20" s="277" t="s">
        <v>3</v>
      </c>
      <c r="FM20" s="275" t="s">
        <v>4</v>
      </c>
    </row>
    <row r="21" spans="1:169" s="276" customFormat="1" ht="30.75" x14ac:dyDescent="0.55000000000000004">
      <c r="B21" s="294"/>
      <c r="C21" s="295"/>
      <c r="D21" s="295"/>
      <c r="E21" s="295"/>
      <c r="F21" s="295"/>
      <c r="G21" s="295"/>
      <c r="H21" s="295"/>
      <c r="I21" s="295"/>
      <c r="J21" s="295"/>
      <c r="K21" s="296"/>
      <c r="CB21" s="276" t="s">
        <v>4</v>
      </c>
      <c r="FM21" s="275" t="s">
        <v>5</v>
      </c>
    </row>
    <row r="22" spans="1:169" s="276" customFormat="1" ht="24.6" customHeight="1" x14ac:dyDescent="0.55000000000000004">
      <c r="B22" s="752" t="s">
        <v>554</v>
      </c>
      <c r="C22" s="753"/>
      <c r="D22" s="753"/>
      <c r="E22" s="753"/>
      <c r="F22" s="753"/>
      <c r="G22" s="753"/>
      <c r="H22" s="753"/>
      <c r="I22" s="753"/>
      <c r="J22" s="753"/>
      <c r="K22" s="754"/>
      <c r="CB22" s="276" t="s">
        <v>5</v>
      </c>
      <c r="FM22" s="275" t="s">
        <v>6</v>
      </c>
    </row>
    <row r="23" spans="1:169" s="276" customFormat="1" ht="30.75" x14ac:dyDescent="0.55000000000000004">
      <c r="B23" s="297" t="s">
        <v>71</v>
      </c>
      <c r="C23" s="725" t="s">
        <v>72</v>
      </c>
      <c r="D23" s="725"/>
      <c r="E23" s="725"/>
      <c r="F23" s="725"/>
      <c r="G23" s="725"/>
      <c r="H23" s="725"/>
      <c r="I23" s="725"/>
      <c r="J23" s="725"/>
      <c r="K23" s="726"/>
      <c r="CB23" s="276" t="s">
        <v>23</v>
      </c>
      <c r="FM23" s="275" t="s">
        <v>626</v>
      </c>
    </row>
    <row r="24" spans="1:169" s="276" customFormat="1" ht="87.95" customHeight="1" x14ac:dyDescent="0.55000000000000004">
      <c r="A24" s="277"/>
      <c r="B24" s="298" t="s">
        <v>73</v>
      </c>
      <c r="C24" s="727" t="s">
        <v>547</v>
      </c>
      <c r="D24" s="727"/>
      <c r="E24" s="727"/>
      <c r="F24" s="727"/>
      <c r="G24" s="727"/>
      <c r="H24" s="727"/>
      <c r="I24" s="727"/>
      <c r="J24" s="727"/>
      <c r="K24" s="728"/>
      <c r="CB24" s="276" t="s">
        <v>6</v>
      </c>
      <c r="FM24" s="275" t="s">
        <v>627</v>
      </c>
    </row>
    <row r="25" spans="1:169" s="276" customFormat="1" ht="110.1" customHeight="1" x14ac:dyDescent="0.55000000000000004">
      <c r="A25" s="277"/>
      <c r="B25" s="299" t="s">
        <v>76</v>
      </c>
      <c r="C25" s="731" t="s">
        <v>548</v>
      </c>
      <c r="D25" s="732"/>
      <c r="E25" s="732"/>
      <c r="F25" s="732"/>
      <c r="G25" s="732"/>
      <c r="H25" s="732"/>
      <c r="I25" s="732"/>
      <c r="J25" s="732"/>
      <c r="K25" s="733"/>
      <c r="FM25" s="275" t="s">
        <v>7</v>
      </c>
    </row>
    <row r="26" spans="1:169" s="276" customFormat="1" ht="84.95" customHeight="1" x14ac:dyDescent="0.55000000000000004">
      <c r="A26" s="277"/>
      <c r="B26" s="300" t="s">
        <v>555</v>
      </c>
      <c r="C26" s="729" t="s">
        <v>549</v>
      </c>
      <c r="D26" s="729"/>
      <c r="E26" s="729"/>
      <c r="F26" s="729"/>
      <c r="G26" s="729"/>
      <c r="H26" s="729"/>
      <c r="I26" s="729"/>
      <c r="J26" s="729"/>
      <c r="K26" s="730"/>
      <c r="CB26" s="276" t="s">
        <v>7</v>
      </c>
      <c r="FM26" s="275" t="s">
        <v>628</v>
      </c>
    </row>
    <row r="27" spans="1:169" s="276" customFormat="1" ht="109.5" customHeight="1" x14ac:dyDescent="0.55000000000000004">
      <c r="A27" s="277"/>
      <c r="B27" s="301" t="s">
        <v>87</v>
      </c>
      <c r="C27" s="731" t="s">
        <v>550</v>
      </c>
      <c r="D27" s="732"/>
      <c r="E27" s="732"/>
      <c r="F27" s="732"/>
      <c r="G27" s="732"/>
      <c r="H27" s="732"/>
      <c r="I27" s="732"/>
      <c r="J27" s="732"/>
      <c r="K27" s="733"/>
      <c r="FM27" s="275" t="s">
        <v>629</v>
      </c>
    </row>
    <row r="28" spans="1:169" s="276" customFormat="1" ht="130.5" customHeight="1" x14ac:dyDescent="0.55000000000000004">
      <c r="A28" s="277"/>
      <c r="B28" s="302" t="s">
        <v>750</v>
      </c>
      <c r="C28" s="731" t="s">
        <v>749</v>
      </c>
      <c r="D28" s="732"/>
      <c r="E28" s="732"/>
      <c r="F28" s="732"/>
      <c r="G28" s="732"/>
      <c r="H28" s="732"/>
      <c r="I28" s="732"/>
      <c r="J28" s="732"/>
      <c r="K28" s="733"/>
      <c r="FM28" s="275" t="s">
        <v>8</v>
      </c>
    </row>
    <row r="29" spans="1:169" s="276" customFormat="1" ht="79.5" customHeight="1" x14ac:dyDescent="0.55000000000000004">
      <c r="A29" s="277"/>
      <c r="B29" s="300" t="s">
        <v>556</v>
      </c>
      <c r="C29" s="731" t="s">
        <v>551</v>
      </c>
      <c r="D29" s="732"/>
      <c r="E29" s="732"/>
      <c r="F29" s="732"/>
      <c r="G29" s="732"/>
      <c r="H29" s="732"/>
      <c r="I29" s="732"/>
      <c r="J29" s="732"/>
      <c r="K29" s="733"/>
      <c r="FM29" s="275" t="s">
        <v>630</v>
      </c>
    </row>
    <row r="30" spans="1:169" s="276" customFormat="1" ht="87.95" customHeight="1" x14ac:dyDescent="0.55000000000000004">
      <c r="A30" s="277"/>
      <c r="B30" s="300" t="s">
        <v>557</v>
      </c>
      <c r="C30" s="731" t="s">
        <v>552</v>
      </c>
      <c r="D30" s="732"/>
      <c r="E30" s="732"/>
      <c r="F30" s="732"/>
      <c r="G30" s="732"/>
      <c r="H30" s="732"/>
      <c r="I30" s="732"/>
      <c r="J30" s="732"/>
      <c r="K30" s="733"/>
      <c r="FM30" s="275" t="s">
        <v>9</v>
      </c>
    </row>
    <row r="31" spans="1:169" s="276" customFormat="1" ht="71.45" customHeight="1" x14ac:dyDescent="0.55000000000000004">
      <c r="A31" s="277"/>
      <c r="B31" s="303" t="s">
        <v>129</v>
      </c>
      <c r="C31" s="729" t="s">
        <v>553</v>
      </c>
      <c r="D31" s="729"/>
      <c r="E31" s="729"/>
      <c r="F31" s="729"/>
      <c r="G31" s="729"/>
      <c r="H31" s="729"/>
      <c r="I31" s="729"/>
      <c r="J31" s="729"/>
      <c r="K31" s="730"/>
      <c r="CB31" s="276" t="s">
        <v>8</v>
      </c>
      <c r="FM31" s="275" t="s">
        <v>10</v>
      </c>
    </row>
    <row r="32" spans="1:169" ht="82.5" customHeight="1" thickBot="1" x14ac:dyDescent="0.4">
      <c r="B32" s="304" t="s">
        <v>681</v>
      </c>
      <c r="C32" s="723" t="s">
        <v>680</v>
      </c>
      <c r="D32" s="723"/>
      <c r="E32" s="723"/>
      <c r="F32" s="723"/>
      <c r="G32" s="723"/>
      <c r="H32" s="723"/>
      <c r="I32" s="723"/>
      <c r="J32" s="723"/>
      <c r="K32" s="724"/>
      <c r="CB32" s="54" t="s">
        <v>9</v>
      </c>
      <c r="FM32" s="275" t="s">
        <v>11</v>
      </c>
    </row>
    <row r="33" spans="80:169" ht="20.25" x14ac:dyDescent="0.35">
      <c r="CB33" s="54" t="s">
        <v>10</v>
      </c>
      <c r="FM33" s="275" t="s">
        <v>12</v>
      </c>
    </row>
    <row r="34" spans="80:169" ht="20.25" x14ac:dyDescent="0.35">
      <c r="CB34" s="54" t="s">
        <v>11</v>
      </c>
      <c r="FM34" s="275" t="s">
        <v>13</v>
      </c>
    </row>
    <row r="35" spans="80:169" ht="20.25" x14ac:dyDescent="0.35">
      <c r="CB35" s="54" t="s">
        <v>12</v>
      </c>
      <c r="FM35" s="275" t="s">
        <v>14</v>
      </c>
    </row>
    <row r="36" spans="80:169" ht="20.25" x14ac:dyDescent="0.35">
      <c r="CB36" s="54" t="s">
        <v>13</v>
      </c>
      <c r="FM36" s="275" t="s">
        <v>15</v>
      </c>
    </row>
    <row r="37" spans="80:169" ht="20.25" x14ac:dyDescent="0.35">
      <c r="CB37" s="54" t="s">
        <v>14</v>
      </c>
      <c r="FM37" s="275" t="s">
        <v>16</v>
      </c>
    </row>
    <row r="38" spans="80:169" ht="20.25" x14ac:dyDescent="0.35">
      <c r="CB38" s="54" t="s">
        <v>15</v>
      </c>
      <c r="FM38" s="275" t="s">
        <v>17</v>
      </c>
    </row>
    <row r="39" spans="80:169" ht="20.25" x14ac:dyDescent="0.35">
      <c r="CB39" s="54" t="s">
        <v>16</v>
      </c>
      <c r="FM39" s="275" t="s">
        <v>18</v>
      </c>
    </row>
    <row r="40" spans="80:169" ht="20.25" x14ac:dyDescent="0.35">
      <c r="CB40" s="54" t="s">
        <v>17</v>
      </c>
      <c r="FM40" s="275" t="s">
        <v>19</v>
      </c>
    </row>
    <row r="41" spans="80:169" ht="20.25" x14ac:dyDescent="0.35">
      <c r="CB41" s="54" t="s">
        <v>18</v>
      </c>
      <c r="FM41" s="275" t="s">
        <v>20</v>
      </c>
    </row>
    <row r="42" spans="80:169" ht="20.25" x14ac:dyDescent="0.35">
      <c r="CB42" s="54" t="s">
        <v>19</v>
      </c>
      <c r="FM42" s="275" t="s">
        <v>21</v>
      </c>
    </row>
    <row r="43" spans="80:169" ht="20.25" x14ac:dyDescent="0.35">
      <c r="CB43" s="54" t="s">
        <v>20</v>
      </c>
      <c r="FM43" s="275" t="s">
        <v>22</v>
      </c>
    </row>
    <row r="44" spans="80:169" ht="20.25" x14ac:dyDescent="0.35">
      <c r="CB44" s="54" t="s">
        <v>21</v>
      </c>
      <c r="FM44" s="275" t="s">
        <v>23</v>
      </c>
    </row>
    <row r="45" spans="80:169" x14ac:dyDescent="0.3">
      <c r="CB45" s="54" t="s">
        <v>22</v>
      </c>
    </row>
  </sheetData>
  <sheetProtection algorithmName="SHA-512" hashValue="8QQIgNS8ObT1kolvmSpjh+bRiSDUQdsSkwO4Hbq5vn+J8lwEgbFjagYn0eILZfUmqWG4GLEko5oAVg5CafjR9w==" saltValue="1kO2KvkO+JvY9BfzGzEz7w==" spinCount="100000" sheet="1" scenarios="1" formatCells="0" formatColumns="0" formatRows="0" insertColumns="0" insertRows="0"/>
  <mergeCells count="31">
    <mergeCell ref="B18:K18"/>
    <mergeCell ref="C7:K7"/>
    <mergeCell ref="B22:K22"/>
    <mergeCell ref="B12:K12"/>
    <mergeCell ref="C9:K9"/>
    <mergeCell ref="B20:K20"/>
    <mergeCell ref="B15:K15"/>
    <mergeCell ref="B16:K16"/>
    <mergeCell ref="B17:K17"/>
    <mergeCell ref="B19:K19"/>
    <mergeCell ref="C8:K8"/>
    <mergeCell ref="C5:K5"/>
    <mergeCell ref="C6:K6"/>
    <mergeCell ref="B11:K11"/>
    <mergeCell ref="B13:K13"/>
    <mergeCell ref="B14:K14"/>
    <mergeCell ref="C4:K4"/>
    <mergeCell ref="K2:K3"/>
    <mergeCell ref="B2:B3"/>
    <mergeCell ref="C2:J2"/>
    <mergeCell ref="C3:J3"/>
    <mergeCell ref="C32:K32"/>
    <mergeCell ref="C23:K23"/>
    <mergeCell ref="C24:K24"/>
    <mergeCell ref="C26:K26"/>
    <mergeCell ref="C31:K31"/>
    <mergeCell ref="C25:K25"/>
    <mergeCell ref="C27:K27"/>
    <mergeCell ref="C28:K28"/>
    <mergeCell ref="C29:K29"/>
    <mergeCell ref="C30:K30"/>
  </mergeCells>
  <phoneticPr fontId="5" type="noConversion"/>
  <dataValidations count="2">
    <dataValidation type="list" allowBlank="1" showInputMessage="1" showErrorMessage="1" sqref="C4 FP7" xr:uid="{594E69E2-F813-4392-9449-E03B146BB4B1}">
      <formula1>$FM$7:$FM$44</formula1>
    </dataValidation>
    <dataValidation type="list" allowBlank="1" showInputMessage="1" showErrorMessage="1" sqref="C5:K5" xr:uid="{E7E54C08-B307-482E-BBA5-FC4DAC0095D2}">
      <formula1>"2025, 2026, 2027, 2028, 2029, 2030"</formula1>
    </dataValidation>
  </dataValidations>
  <hyperlinks>
    <hyperlink ref="B24" location="'Welcome Page'!A1" display="Welcome Page" xr:uid="{00000000-0004-0000-0000-000006000000}"/>
    <hyperlink ref="B31" location="'Total budget summary'!A1" display="Total budget summary" xr:uid="{00000000-0004-0000-0000-000007000000}"/>
    <hyperlink ref="B25" location="'Infrastructure Projects'!A1" display="Infrastructure Projects" xr:uid="{07053786-29AC-4C5D-A193-BEA78F74F8B8}"/>
    <hyperlink ref="B26" location="'Pillar 1 - Access'!A1" display="Pillar 1" xr:uid="{8F3149C4-459E-415D-B97C-C44985699DC8}"/>
    <hyperlink ref="B27" location="'Sports Development'!B3" display="Sports Development" xr:uid="{B42CEE3A-C3DF-4B49-AC53-1D89086AAA76}"/>
    <hyperlink ref="B28" location="GSCCI!B3" display="GSCCI (Newly revised- replaces AETP)" xr:uid="{D8BAAE36-389D-45B1-97E1-00046C418DA5}"/>
    <hyperlink ref="B29" location="'Pillar 2 - Quality'!A1" display="Pillar 2" xr:uid="{D8801854-1949-459F-B478-1CB5DF25EDC6}"/>
    <hyperlink ref="B30" location="'Pillar 3 - Systems Optimization'!A1" display="Pillar 3" xr:uid="{76058A8F-A800-4EE6-BBAD-7FC46B7D4EE8}"/>
    <hyperlink ref="B32" location="'HOPE-DLI '!B3" display="HOPE-DLI sample activities" xr:uid="{0FCF851E-B826-4C4C-900C-1FA5883C25F1}"/>
  </hyperlinks>
  <pageMargins left="0.2" right="0.2" top="0.74803149606299213" bottom="0.74803149606299213" header="0.31496062992125984" footer="0.31496062992125984"/>
  <pageSetup paperSize="8" scale="55" orientation="landscape" verticalDpi="4294967295" r:id="rId1"/>
  <colBreaks count="1" manualBreakCount="1">
    <brk id="11"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00B0F0"/>
  </sheetPr>
  <dimension ref="A1:U1726"/>
  <sheetViews>
    <sheetView showGridLines="0" tabSelected="1" view="pageBreakPreview" topLeftCell="A4" zoomScale="80" zoomScaleNormal="128" workbookViewId="0">
      <selection activeCell="D15" sqref="D15"/>
    </sheetView>
  </sheetViews>
  <sheetFormatPr defaultColWidth="8.7109375" defaultRowHeight="16.5" x14ac:dyDescent="0.3"/>
  <cols>
    <col min="1" max="1" width="0.85546875" style="54" customWidth="1"/>
    <col min="2" max="2" width="5.7109375" style="54" customWidth="1"/>
    <col min="3" max="3" width="20" style="54" customWidth="1"/>
    <col min="4" max="4" width="29.42578125" style="54" customWidth="1"/>
    <col min="5" max="5" width="40" style="55" customWidth="1"/>
    <col min="6" max="6" width="17.42578125" style="55" customWidth="1"/>
    <col min="7" max="7" width="16.42578125" style="54" customWidth="1"/>
    <col min="8" max="8" width="18.5703125" style="54" customWidth="1"/>
    <col min="9" max="9" width="23.42578125" style="55" hidden="1" customWidth="1"/>
    <col min="10" max="10" width="26.85546875" style="55" customWidth="1"/>
    <col min="11" max="11" width="20.42578125" style="54" customWidth="1"/>
    <col min="12" max="13" width="17.28515625" style="54" customWidth="1"/>
    <col min="14" max="14" width="21.140625" style="54" customWidth="1"/>
    <col min="15" max="15" width="19.7109375" style="54" customWidth="1"/>
    <col min="16" max="16" width="25.140625" style="54" customWidth="1"/>
    <col min="17" max="17" width="19.140625" style="1" customWidth="1"/>
    <col min="18" max="18" width="18.42578125" style="1" customWidth="1"/>
    <col min="19" max="19" width="34" style="1" customWidth="1"/>
    <col min="20" max="20" width="47.140625" style="1" customWidth="1"/>
    <col min="21" max="21" width="31.42578125" style="1" customWidth="1"/>
    <col min="22" max="16384" width="8.7109375" style="1"/>
  </cols>
  <sheetData>
    <row r="1" spans="1:21" ht="21.75" customHeight="1" x14ac:dyDescent="0.3"/>
    <row r="2" spans="1:21" ht="24" customHeight="1" x14ac:dyDescent="0.3">
      <c r="B2" s="800" t="s">
        <v>137</v>
      </c>
      <c r="C2" s="800"/>
      <c r="D2" s="800"/>
      <c r="E2" s="800"/>
      <c r="F2" s="800"/>
      <c r="G2" s="800"/>
      <c r="H2" s="800"/>
      <c r="I2" s="800"/>
      <c r="J2" s="800"/>
      <c r="K2" s="800"/>
      <c r="L2" s="800"/>
      <c r="M2" s="800"/>
      <c r="N2" s="800"/>
    </row>
    <row r="3" spans="1:21" s="49" customFormat="1" ht="17.25" x14ac:dyDescent="0.3">
      <c r="A3" s="56"/>
      <c r="B3" s="801" t="s">
        <v>746</v>
      </c>
      <c r="C3" s="801"/>
      <c r="D3" s="801"/>
      <c r="E3" s="801"/>
      <c r="F3" s="801"/>
      <c r="G3" s="801"/>
      <c r="H3" s="801"/>
      <c r="I3" s="801"/>
      <c r="J3" s="801"/>
      <c r="K3" s="801"/>
      <c r="L3" s="801"/>
      <c r="M3" s="801"/>
      <c r="N3" s="801"/>
      <c r="O3" s="57"/>
      <c r="P3" s="56"/>
    </row>
    <row r="4" spans="1:21" s="49" customFormat="1" ht="17.25" x14ac:dyDescent="0.3">
      <c r="A4" s="56"/>
      <c r="B4" s="802" t="s">
        <v>745</v>
      </c>
      <c r="C4" s="802"/>
      <c r="D4" s="802"/>
      <c r="E4" s="802"/>
      <c r="F4" s="802"/>
      <c r="G4" s="802"/>
      <c r="H4" s="802"/>
      <c r="I4" s="802"/>
      <c r="J4" s="802"/>
      <c r="K4" s="802"/>
      <c r="L4" s="802"/>
      <c r="M4" s="802"/>
      <c r="N4" s="802"/>
      <c r="O4" s="57"/>
      <c r="P4" s="56"/>
    </row>
    <row r="5" spans="1:21" s="49" customFormat="1" ht="17.25" x14ac:dyDescent="0.3">
      <c r="A5" s="56"/>
      <c r="B5" s="802" t="s">
        <v>744</v>
      </c>
      <c r="C5" s="802"/>
      <c r="D5" s="802"/>
      <c r="E5" s="802"/>
      <c r="F5" s="802"/>
      <c r="G5" s="802"/>
      <c r="H5" s="802"/>
      <c r="I5" s="802"/>
      <c r="J5" s="802"/>
      <c r="K5" s="802"/>
      <c r="L5" s="802"/>
      <c r="M5" s="802"/>
      <c r="N5" s="802"/>
      <c r="O5" s="57"/>
      <c r="P5" s="56"/>
    </row>
    <row r="6" spans="1:21" s="49" customFormat="1" ht="17.25" x14ac:dyDescent="0.3">
      <c r="A6" s="56"/>
      <c r="B6" s="802" t="s">
        <v>743</v>
      </c>
      <c r="C6" s="802"/>
      <c r="D6" s="802"/>
      <c r="E6" s="802"/>
      <c r="F6" s="802"/>
      <c r="G6" s="802"/>
      <c r="H6" s="802"/>
      <c r="I6" s="802"/>
      <c r="J6" s="802"/>
      <c r="K6" s="802"/>
      <c r="L6" s="802"/>
      <c r="M6" s="802"/>
      <c r="N6" s="802"/>
      <c r="O6" s="57"/>
      <c r="P6" s="56"/>
    </row>
    <row r="7" spans="1:21" s="49" customFormat="1" ht="17.25" x14ac:dyDescent="0.3">
      <c r="A7" s="56"/>
      <c r="B7" s="771" t="s">
        <v>742</v>
      </c>
      <c r="C7" s="772"/>
      <c r="D7" s="772"/>
      <c r="E7" s="772"/>
      <c r="F7" s="772"/>
      <c r="G7" s="772"/>
      <c r="H7" s="772"/>
      <c r="I7" s="772"/>
      <c r="J7" s="772"/>
      <c r="K7" s="772"/>
      <c r="L7" s="772"/>
      <c r="M7" s="772"/>
      <c r="N7" s="773"/>
      <c r="O7" s="57"/>
      <c r="P7" s="56"/>
    </row>
    <row r="8" spans="1:21" s="49" customFormat="1" ht="17.25" x14ac:dyDescent="0.3">
      <c r="A8" s="56"/>
      <c r="B8" s="771" t="s">
        <v>741</v>
      </c>
      <c r="C8" s="772"/>
      <c r="D8" s="772"/>
      <c r="E8" s="772"/>
      <c r="F8" s="772"/>
      <c r="G8" s="772"/>
      <c r="H8" s="772"/>
      <c r="I8" s="772"/>
      <c r="J8" s="772"/>
      <c r="K8" s="772"/>
      <c r="L8" s="772"/>
      <c r="M8" s="772"/>
      <c r="N8" s="773"/>
      <c r="O8" s="57"/>
      <c r="P8" s="56"/>
    </row>
    <row r="9" spans="1:21" s="49" customFormat="1" ht="47.45" customHeight="1" x14ac:dyDescent="0.3">
      <c r="A9" s="56"/>
      <c r="B9" s="348"/>
      <c r="C9" s="348"/>
      <c r="D9" s="348"/>
      <c r="E9" s="348"/>
      <c r="F9" s="348"/>
      <c r="G9" s="348"/>
      <c r="H9" s="348"/>
      <c r="I9" s="774" t="s">
        <v>686</v>
      </c>
      <c r="J9" s="775"/>
      <c r="K9" s="775"/>
      <c r="L9" s="776">
        <f>U13+U648+P957+P1266+P1421</f>
        <v>5331963876.6700058</v>
      </c>
      <c r="M9" s="777"/>
      <c r="N9" s="778"/>
      <c r="O9" s="57"/>
      <c r="P9" s="56"/>
    </row>
    <row r="10" spans="1:21" s="347" customFormat="1" ht="17.25" x14ac:dyDescent="0.3">
      <c r="A10" s="345"/>
      <c r="B10" s="346"/>
      <c r="C10" s="346"/>
      <c r="D10" s="346"/>
      <c r="E10" s="346"/>
      <c r="F10" s="346"/>
      <c r="G10" s="346"/>
      <c r="H10" s="346"/>
      <c r="I10" s="346"/>
      <c r="J10" s="346"/>
      <c r="K10" s="346"/>
      <c r="L10" s="346"/>
      <c r="M10" s="346"/>
      <c r="N10" s="346"/>
      <c r="O10" s="57"/>
      <c r="P10" s="345"/>
    </row>
    <row r="12" spans="1:21" s="49" customFormat="1" ht="51" customHeight="1" x14ac:dyDescent="0.3">
      <c r="A12" s="56"/>
      <c r="B12" s="58"/>
      <c r="C12" s="58"/>
      <c r="D12" s="58"/>
      <c r="E12" s="59"/>
      <c r="F12" s="59"/>
      <c r="G12" s="58"/>
      <c r="H12" s="58"/>
      <c r="I12" s="59"/>
      <c r="J12" s="59"/>
      <c r="K12" s="58"/>
      <c r="L12" s="58"/>
      <c r="M12" s="58"/>
      <c r="S12" s="58"/>
      <c r="T12" s="56"/>
      <c r="U12" s="60" t="s">
        <v>471</v>
      </c>
    </row>
    <row r="13" spans="1:21" s="49" customFormat="1" ht="17.25" x14ac:dyDescent="0.3">
      <c r="A13" s="56"/>
      <c r="B13" s="338" t="s">
        <v>558</v>
      </c>
      <c r="C13" s="61"/>
      <c r="D13" s="61"/>
      <c r="E13" s="61"/>
      <c r="F13" s="61"/>
      <c r="G13" s="61"/>
      <c r="H13" s="61"/>
      <c r="I13" s="61"/>
      <c r="J13" s="61"/>
      <c r="K13" s="61"/>
      <c r="L13" s="61"/>
      <c r="M13" s="373"/>
      <c r="N13" s="374"/>
      <c r="O13" s="374"/>
      <c r="P13" s="374"/>
      <c r="Q13" s="374"/>
      <c r="R13" s="374"/>
      <c r="S13" s="373"/>
      <c r="T13" s="61"/>
      <c r="U13" s="234">
        <f>SUM(U15,U120,U225,U330,U436,P541)</f>
        <v>1257971280.2100067</v>
      </c>
    </row>
    <row r="14" spans="1:21" ht="6.95" customHeight="1" x14ac:dyDescent="0.3">
      <c r="B14" s="62"/>
      <c r="C14" s="63"/>
      <c r="D14" s="63"/>
      <c r="E14" s="64"/>
      <c r="F14" s="63"/>
      <c r="G14" s="63"/>
      <c r="H14" s="63"/>
      <c r="I14" s="63"/>
      <c r="J14" s="63"/>
      <c r="K14" s="63"/>
      <c r="L14" s="63"/>
      <c r="M14" s="63"/>
      <c r="N14" s="17"/>
      <c r="O14" s="17"/>
      <c r="P14" s="17"/>
      <c r="Q14" s="366"/>
      <c r="R14" s="366"/>
      <c r="S14" s="63"/>
      <c r="T14" s="63"/>
      <c r="U14" s="235"/>
    </row>
    <row r="15" spans="1:21" ht="108" customHeight="1" x14ac:dyDescent="0.3">
      <c r="B15" s="792" t="s">
        <v>102</v>
      </c>
      <c r="C15" s="792"/>
      <c r="D15" s="702" t="s">
        <v>1538</v>
      </c>
      <c r="E15" s="340"/>
      <c r="F15" s="340"/>
      <c r="G15" s="340"/>
      <c r="H15" s="340"/>
      <c r="I15" s="340"/>
      <c r="J15" s="340"/>
      <c r="K15" s="340"/>
      <c r="L15" s="340"/>
      <c r="M15" s="340"/>
      <c r="N15" s="371"/>
      <c r="O15" s="371"/>
      <c r="P15" s="371"/>
      <c r="Q15" s="372"/>
      <c r="R15" s="372"/>
      <c r="S15" s="340"/>
      <c r="T15" s="128"/>
      <c r="U15" s="236">
        <f>SUM(T18:T118)</f>
        <v>219055114.80000001</v>
      </c>
    </row>
    <row r="16" spans="1:21" ht="48" customHeight="1" x14ac:dyDescent="0.3">
      <c r="A16" s="1"/>
      <c r="B16" s="789" t="s">
        <v>35</v>
      </c>
      <c r="C16" s="789" t="s">
        <v>42</v>
      </c>
      <c r="D16" s="789" t="s">
        <v>44</v>
      </c>
      <c r="E16" s="766" t="s">
        <v>100</v>
      </c>
      <c r="F16" s="769" t="s">
        <v>49</v>
      </c>
      <c r="G16" s="769" t="s">
        <v>559</v>
      </c>
      <c r="H16" s="769" t="s">
        <v>468</v>
      </c>
      <c r="I16" s="766" t="s">
        <v>560</v>
      </c>
      <c r="J16" s="766" t="s">
        <v>424</v>
      </c>
      <c r="K16" s="766" t="s">
        <v>45</v>
      </c>
      <c r="L16" s="766"/>
      <c r="M16" s="795" t="s">
        <v>561</v>
      </c>
      <c r="N16" s="779" t="s">
        <v>705</v>
      </c>
      <c r="O16" s="780"/>
      <c r="P16" s="780"/>
      <c r="Q16" s="780"/>
      <c r="R16" s="780"/>
      <c r="S16" s="793" t="s">
        <v>51</v>
      </c>
      <c r="T16" s="766" t="s">
        <v>422</v>
      </c>
    </row>
    <row r="17" spans="1:21" ht="35.450000000000003" customHeight="1" x14ac:dyDescent="0.3">
      <c r="A17" s="1"/>
      <c r="B17" s="789"/>
      <c r="C17" s="789"/>
      <c r="D17" s="789"/>
      <c r="E17" s="766"/>
      <c r="F17" s="770"/>
      <c r="G17" s="770"/>
      <c r="H17" s="770"/>
      <c r="I17" s="766"/>
      <c r="J17" s="766"/>
      <c r="K17" s="132" t="s">
        <v>172</v>
      </c>
      <c r="L17" s="132" t="s">
        <v>101</v>
      </c>
      <c r="M17" s="795"/>
      <c r="N17" s="369" t="s">
        <v>700</v>
      </c>
      <c r="O17" s="369" t="s">
        <v>726</v>
      </c>
      <c r="P17" s="369" t="s">
        <v>702</v>
      </c>
      <c r="Q17" s="370" t="s">
        <v>703</v>
      </c>
      <c r="R17" s="370" t="s">
        <v>704</v>
      </c>
      <c r="S17" s="794"/>
      <c r="T17" s="766"/>
    </row>
    <row r="18" spans="1:21" s="33" customFormat="1" ht="34.5" x14ac:dyDescent="0.3">
      <c r="A18" s="67"/>
      <c r="B18" s="16">
        <v>1</v>
      </c>
      <c r="C18" s="467" t="s">
        <v>838</v>
      </c>
      <c r="D18" s="71" t="s">
        <v>855</v>
      </c>
      <c r="E18" s="72" t="s">
        <v>781</v>
      </c>
      <c r="F18" s="74">
        <v>1</v>
      </c>
      <c r="G18" s="68" t="s">
        <v>716</v>
      </c>
      <c r="H18" s="68" t="s">
        <v>782</v>
      </c>
      <c r="I18" s="151" t="s">
        <v>861</v>
      </c>
      <c r="J18" s="68" t="s">
        <v>734</v>
      </c>
      <c r="K18" s="16">
        <v>6.9729229999999998</v>
      </c>
      <c r="L18" s="16">
        <v>7.9236810000000002</v>
      </c>
      <c r="M18" s="122" t="s">
        <v>783</v>
      </c>
      <c r="N18" s="567">
        <v>3</v>
      </c>
      <c r="O18" s="567">
        <v>0</v>
      </c>
      <c r="P18" s="567">
        <v>0</v>
      </c>
      <c r="Q18" s="567">
        <v>6</v>
      </c>
      <c r="R18" s="703">
        <v>2</v>
      </c>
      <c r="S18" s="368">
        <v>109527557.40000001</v>
      </c>
      <c r="T18" s="349">
        <f t="shared" ref="T18:T49" si="0">F18*S18</f>
        <v>109527557.40000001</v>
      </c>
      <c r="U18" s="67"/>
    </row>
    <row r="19" spans="1:21" ht="66" x14ac:dyDescent="0.3">
      <c r="B19" s="16">
        <v>2</v>
      </c>
      <c r="C19" s="467" t="s">
        <v>858</v>
      </c>
      <c r="D19" s="71" t="s">
        <v>784</v>
      </c>
      <c r="E19" s="72" t="s">
        <v>785</v>
      </c>
      <c r="F19" s="74">
        <v>1</v>
      </c>
      <c r="G19" s="68" t="s">
        <v>718</v>
      </c>
      <c r="H19" s="68" t="s">
        <v>782</v>
      </c>
      <c r="I19" s="151" t="s">
        <v>786</v>
      </c>
      <c r="J19" s="68" t="s">
        <v>734</v>
      </c>
      <c r="K19" s="423">
        <v>7.5011729999999996</v>
      </c>
      <c r="L19" s="423">
        <v>8.4424430000000008</v>
      </c>
      <c r="M19" s="122" t="s">
        <v>783</v>
      </c>
      <c r="N19" s="17">
        <v>3</v>
      </c>
      <c r="O19" s="17">
        <v>0</v>
      </c>
      <c r="P19" s="17">
        <v>0</v>
      </c>
      <c r="Q19" s="17">
        <v>6</v>
      </c>
      <c r="R19" s="17">
        <v>2</v>
      </c>
      <c r="S19" s="368">
        <v>109527557.40000001</v>
      </c>
      <c r="T19" s="349">
        <f t="shared" si="0"/>
        <v>109527557.40000001</v>
      </c>
      <c r="U19" s="54"/>
    </row>
    <row r="20" spans="1:21" ht="17.25" hidden="1" x14ac:dyDescent="0.3">
      <c r="B20" s="16">
        <v>3</v>
      </c>
      <c r="C20" s="68"/>
      <c r="D20" s="71"/>
      <c r="E20" s="72"/>
      <c r="F20" s="68"/>
      <c r="G20" s="68"/>
      <c r="H20" s="68"/>
      <c r="I20" s="68"/>
      <c r="J20" s="68"/>
      <c r="K20" s="16"/>
      <c r="L20" s="16"/>
      <c r="M20" s="341"/>
      <c r="N20" s="17"/>
      <c r="O20" s="17"/>
      <c r="P20" s="17"/>
      <c r="Q20" s="17"/>
      <c r="R20" s="17"/>
      <c r="S20" s="368">
        <v>0</v>
      </c>
      <c r="T20" s="349">
        <f t="shared" si="0"/>
        <v>0</v>
      </c>
      <c r="U20" s="54"/>
    </row>
    <row r="21" spans="1:21" ht="17.25" hidden="1" x14ac:dyDescent="0.3">
      <c r="B21" s="16">
        <v>4</v>
      </c>
      <c r="C21" s="68"/>
      <c r="D21" s="71"/>
      <c r="E21" s="72"/>
      <c r="F21" s="74"/>
      <c r="G21" s="68"/>
      <c r="H21" s="68"/>
      <c r="I21" s="68"/>
      <c r="J21" s="68"/>
      <c r="K21" s="16"/>
      <c r="L21" s="16"/>
      <c r="M21" s="341"/>
      <c r="N21" s="17"/>
      <c r="O21" s="17"/>
      <c r="P21" s="17"/>
      <c r="Q21" s="17"/>
      <c r="R21" s="17"/>
      <c r="S21" s="368">
        <v>0</v>
      </c>
      <c r="T21" s="349">
        <f t="shared" si="0"/>
        <v>0</v>
      </c>
      <c r="U21" s="54"/>
    </row>
    <row r="22" spans="1:21" ht="17.25" hidden="1" x14ac:dyDescent="0.3">
      <c r="B22" s="16">
        <v>5</v>
      </c>
      <c r="C22" s="68"/>
      <c r="D22" s="71"/>
      <c r="E22" s="72"/>
      <c r="F22" s="74"/>
      <c r="G22" s="68"/>
      <c r="H22" s="68"/>
      <c r="I22" s="68"/>
      <c r="J22" s="68"/>
      <c r="K22" s="16"/>
      <c r="L22" s="16"/>
      <c r="M22" s="341"/>
      <c r="N22" s="17"/>
      <c r="O22" s="17"/>
      <c r="P22" s="17"/>
      <c r="Q22" s="17"/>
      <c r="R22" s="17"/>
      <c r="S22" s="368">
        <v>0</v>
      </c>
      <c r="T22" s="349">
        <f t="shared" si="0"/>
        <v>0</v>
      </c>
      <c r="U22" s="54"/>
    </row>
    <row r="23" spans="1:21" ht="17.25" hidden="1" x14ac:dyDescent="0.3">
      <c r="B23" s="16">
        <v>6</v>
      </c>
      <c r="C23" s="68"/>
      <c r="D23" s="75"/>
      <c r="E23" s="72"/>
      <c r="F23" s="74"/>
      <c r="G23" s="68"/>
      <c r="H23" s="68"/>
      <c r="I23" s="74"/>
      <c r="J23" s="68"/>
      <c r="K23" s="16"/>
      <c r="L23" s="16"/>
      <c r="M23" s="341"/>
      <c r="N23" s="17"/>
      <c r="O23" s="17"/>
      <c r="P23" s="17"/>
      <c r="Q23" s="17"/>
      <c r="R23" s="17"/>
      <c r="S23" s="368">
        <v>0</v>
      </c>
      <c r="T23" s="349">
        <f t="shared" si="0"/>
        <v>0</v>
      </c>
      <c r="U23" s="54"/>
    </row>
    <row r="24" spans="1:21" ht="17.25" hidden="1" x14ac:dyDescent="0.3">
      <c r="B24" s="16">
        <v>7</v>
      </c>
      <c r="C24" s="68"/>
      <c r="D24" s="76"/>
      <c r="E24" s="72"/>
      <c r="F24" s="74"/>
      <c r="G24" s="68"/>
      <c r="H24" s="68"/>
      <c r="I24" s="74"/>
      <c r="J24" s="68"/>
      <c r="K24" s="16"/>
      <c r="L24" s="16"/>
      <c r="M24" s="341"/>
      <c r="N24" s="17"/>
      <c r="O24" s="17"/>
      <c r="P24" s="17"/>
      <c r="Q24" s="17"/>
      <c r="R24" s="17"/>
      <c r="S24" s="368">
        <v>0</v>
      </c>
      <c r="T24" s="349">
        <f t="shared" si="0"/>
        <v>0</v>
      </c>
      <c r="U24" s="54"/>
    </row>
    <row r="25" spans="1:21" ht="17.25" hidden="1" x14ac:dyDescent="0.3">
      <c r="B25" s="16">
        <v>8</v>
      </c>
      <c r="C25" s="68"/>
      <c r="D25" s="71"/>
      <c r="E25" s="72"/>
      <c r="F25" s="74"/>
      <c r="G25" s="68"/>
      <c r="H25" s="68"/>
      <c r="I25" s="68"/>
      <c r="J25" s="68"/>
      <c r="K25" s="16"/>
      <c r="L25" s="16"/>
      <c r="M25" s="341"/>
      <c r="N25" s="17"/>
      <c r="O25" s="17"/>
      <c r="P25" s="17"/>
      <c r="Q25" s="17"/>
      <c r="R25" s="17"/>
      <c r="S25" s="368">
        <v>0</v>
      </c>
      <c r="T25" s="349">
        <f t="shared" si="0"/>
        <v>0</v>
      </c>
      <c r="U25" s="54"/>
    </row>
    <row r="26" spans="1:21" ht="17.25" hidden="1" x14ac:dyDescent="0.3">
      <c r="B26" s="16">
        <v>9</v>
      </c>
      <c r="C26" s="68"/>
      <c r="D26" s="71"/>
      <c r="E26" s="72"/>
      <c r="F26" s="74"/>
      <c r="G26" s="68"/>
      <c r="H26" s="68"/>
      <c r="I26" s="68"/>
      <c r="J26" s="68"/>
      <c r="K26" s="16"/>
      <c r="L26" s="16"/>
      <c r="M26" s="341"/>
      <c r="N26" s="17"/>
      <c r="O26" s="17"/>
      <c r="P26" s="17"/>
      <c r="Q26" s="17"/>
      <c r="R26" s="17"/>
      <c r="S26" s="368">
        <v>0</v>
      </c>
      <c r="T26" s="349">
        <f t="shared" si="0"/>
        <v>0</v>
      </c>
      <c r="U26" s="54"/>
    </row>
    <row r="27" spans="1:21" ht="17.25" hidden="1" x14ac:dyDescent="0.3">
      <c r="B27" s="16">
        <v>10</v>
      </c>
      <c r="C27" s="68"/>
      <c r="D27" s="71"/>
      <c r="E27" s="72"/>
      <c r="F27" s="74"/>
      <c r="G27" s="68"/>
      <c r="H27" s="68"/>
      <c r="I27" s="68"/>
      <c r="J27" s="68"/>
      <c r="K27" s="16"/>
      <c r="L27" s="16"/>
      <c r="M27" s="341"/>
      <c r="N27" s="17"/>
      <c r="O27" s="17"/>
      <c r="P27" s="17"/>
      <c r="Q27" s="17"/>
      <c r="R27" s="17"/>
      <c r="S27" s="368">
        <v>0</v>
      </c>
      <c r="T27" s="349">
        <f t="shared" si="0"/>
        <v>0</v>
      </c>
      <c r="U27" s="54"/>
    </row>
    <row r="28" spans="1:21" ht="17.25" hidden="1" x14ac:dyDescent="0.3">
      <c r="B28" s="16">
        <v>11</v>
      </c>
      <c r="C28" s="68"/>
      <c r="D28" s="71"/>
      <c r="E28" s="72"/>
      <c r="F28" s="74"/>
      <c r="G28" s="68"/>
      <c r="H28" s="68"/>
      <c r="I28" s="74"/>
      <c r="J28" s="68"/>
      <c r="K28" s="16"/>
      <c r="L28" s="16"/>
      <c r="M28" s="341"/>
      <c r="N28" s="17"/>
      <c r="O28" s="17"/>
      <c r="P28" s="17"/>
      <c r="Q28" s="17"/>
      <c r="R28" s="17"/>
      <c r="S28" s="368">
        <v>0</v>
      </c>
      <c r="T28" s="349">
        <f t="shared" si="0"/>
        <v>0</v>
      </c>
      <c r="U28" s="54"/>
    </row>
    <row r="29" spans="1:21" ht="17.25" hidden="1" x14ac:dyDescent="0.3">
      <c r="B29" s="16">
        <v>12</v>
      </c>
      <c r="C29" s="68"/>
      <c r="D29" s="71"/>
      <c r="E29" s="72"/>
      <c r="F29" s="74"/>
      <c r="G29" s="68"/>
      <c r="H29" s="68"/>
      <c r="I29" s="68"/>
      <c r="J29" s="68"/>
      <c r="K29" s="16"/>
      <c r="L29" s="16"/>
      <c r="M29" s="341"/>
      <c r="N29" s="17"/>
      <c r="O29" s="17"/>
      <c r="P29" s="17"/>
      <c r="Q29" s="17"/>
      <c r="R29" s="17"/>
      <c r="S29" s="368">
        <v>0</v>
      </c>
      <c r="T29" s="349">
        <f t="shared" si="0"/>
        <v>0</v>
      </c>
      <c r="U29" s="54"/>
    </row>
    <row r="30" spans="1:21" ht="17.25" hidden="1" x14ac:dyDescent="0.3">
      <c r="B30" s="16">
        <v>13</v>
      </c>
      <c r="C30" s="68"/>
      <c r="D30" s="76"/>
      <c r="E30" s="72"/>
      <c r="F30" s="74"/>
      <c r="G30" s="68"/>
      <c r="H30" s="68"/>
      <c r="I30" s="68"/>
      <c r="J30" s="68"/>
      <c r="K30" s="16"/>
      <c r="L30" s="16"/>
      <c r="M30" s="341"/>
      <c r="N30" s="17"/>
      <c r="O30" s="17"/>
      <c r="P30" s="17"/>
      <c r="Q30" s="17"/>
      <c r="R30" s="17"/>
      <c r="S30" s="368">
        <v>0</v>
      </c>
      <c r="T30" s="349">
        <f t="shared" si="0"/>
        <v>0</v>
      </c>
      <c r="U30" s="54"/>
    </row>
    <row r="31" spans="1:21" ht="17.25" hidden="1" x14ac:dyDescent="0.3">
      <c r="B31" s="16">
        <v>14</v>
      </c>
      <c r="C31" s="68"/>
      <c r="D31" s="75"/>
      <c r="E31" s="72"/>
      <c r="F31" s="74"/>
      <c r="G31" s="68"/>
      <c r="H31" s="68"/>
      <c r="I31" s="68"/>
      <c r="J31" s="68"/>
      <c r="K31" s="16"/>
      <c r="L31" s="16"/>
      <c r="M31" s="341"/>
      <c r="N31" s="17"/>
      <c r="O31" s="17"/>
      <c r="P31" s="17"/>
      <c r="Q31" s="17"/>
      <c r="R31" s="17"/>
      <c r="S31" s="368">
        <v>0</v>
      </c>
      <c r="T31" s="349">
        <f t="shared" si="0"/>
        <v>0</v>
      </c>
      <c r="U31" s="54"/>
    </row>
    <row r="32" spans="1:21" ht="17.25" hidden="1" x14ac:dyDescent="0.3">
      <c r="B32" s="16">
        <v>15</v>
      </c>
      <c r="C32" s="68"/>
      <c r="D32" s="76"/>
      <c r="E32" s="72"/>
      <c r="F32" s="74"/>
      <c r="G32" s="68"/>
      <c r="H32" s="68"/>
      <c r="I32" s="68"/>
      <c r="J32" s="68"/>
      <c r="K32" s="16"/>
      <c r="L32" s="16"/>
      <c r="M32" s="341"/>
      <c r="N32" s="17"/>
      <c r="O32" s="17"/>
      <c r="P32" s="17"/>
      <c r="Q32" s="17"/>
      <c r="R32" s="17"/>
      <c r="S32" s="368">
        <v>0</v>
      </c>
      <c r="T32" s="349">
        <f t="shared" si="0"/>
        <v>0</v>
      </c>
      <c r="U32" s="54"/>
    </row>
    <row r="33" spans="2:21" ht="17.25" hidden="1" x14ac:dyDescent="0.3">
      <c r="B33" s="16">
        <v>16</v>
      </c>
      <c r="C33" s="68"/>
      <c r="D33" s="75"/>
      <c r="E33" s="72"/>
      <c r="F33" s="74"/>
      <c r="G33" s="68"/>
      <c r="H33" s="68"/>
      <c r="I33" s="68"/>
      <c r="J33" s="68"/>
      <c r="K33" s="16"/>
      <c r="L33" s="16"/>
      <c r="M33" s="341"/>
      <c r="N33" s="17"/>
      <c r="O33" s="17"/>
      <c r="P33" s="17"/>
      <c r="Q33" s="17"/>
      <c r="R33" s="17"/>
      <c r="S33" s="368">
        <v>0</v>
      </c>
      <c r="T33" s="349">
        <f t="shared" si="0"/>
        <v>0</v>
      </c>
      <c r="U33" s="54"/>
    </row>
    <row r="34" spans="2:21" ht="17.25" hidden="1" x14ac:dyDescent="0.3">
      <c r="B34" s="16">
        <v>17</v>
      </c>
      <c r="C34" s="68"/>
      <c r="D34" s="71"/>
      <c r="E34" s="72"/>
      <c r="F34" s="74"/>
      <c r="G34" s="68"/>
      <c r="H34" s="68"/>
      <c r="I34" s="68"/>
      <c r="J34" s="68"/>
      <c r="K34" s="16"/>
      <c r="L34" s="16"/>
      <c r="M34" s="341"/>
      <c r="N34" s="17"/>
      <c r="O34" s="17"/>
      <c r="P34" s="17"/>
      <c r="Q34" s="17"/>
      <c r="R34" s="17"/>
      <c r="S34" s="368">
        <v>0</v>
      </c>
      <c r="T34" s="349">
        <f t="shared" si="0"/>
        <v>0</v>
      </c>
      <c r="U34" s="54"/>
    </row>
    <row r="35" spans="2:21" ht="17.25" hidden="1" x14ac:dyDescent="0.3">
      <c r="B35" s="16">
        <v>18</v>
      </c>
      <c r="C35" s="68"/>
      <c r="D35" s="71"/>
      <c r="E35" s="72"/>
      <c r="F35" s="74"/>
      <c r="G35" s="68"/>
      <c r="H35" s="68"/>
      <c r="I35" s="68"/>
      <c r="J35" s="68"/>
      <c r="K35" s="16"/>
      <c r="L35" s="16"/>
      <c r="M35" s="341"/>
      <c r="N35" s="17"/>
      <c r="O35" s="17"/>
      <c r="P35" s="17"/>
      <c r="Q35" s="17"/>
      <c r="R35" s="17"/>
      <c r="S35" s="368">
        <v>0</v>
      </c>
      <c r="T35" s="349">
        <f t="shared" si="0"/>
        <v>0</v>
      </c>
      <c r="U35" s="54"/>
    </row>
    <row r="36" spans="2:21" ht="17.25" hidden="1" x14ac:dyDescent="0.3">
      <c r="B36" s="16">
        <v>19</v>
      </c>
      <c r="C36" s="68"/>
      <c r="D36" s="71"/>
      <c r="E36" s="72"/>
      <c r="F36" s="74"/>
      <c r="G36" s="68"/>
      <c r="H36" s="68"/>
      <c r="I36" s="74"/>
      <c r="J36" s="68"/>
      <c r="K36" s="16"/>
      <c r="L36" s="16"/>
      <c r="M36" s="341"/>
      <c r="N36" s="17"/>
      <c r="O36" s="17"/>
      <c r="P36" s="17"/>
      <c r="Q36" s="17"/>
      <c r="R36" s="17"/>
      <c r="S36" s="368">
        <v>0</v>
      </c>
      <c r="T36" s="349">
        <f t="shared" si="0"/>
        <v>0</v>
      </c>
      <c r="U36" s="54"/>
    </row>
    <row r="37" spans="2:21" ht="17.25" hidden="1" x14ac:dyDescent="0.3">
      <c r="B37" s="16">
        <v>20</v>
      </c>
      <c r="C37" s="68"/>
      <c r="D37" s="71"/>
      <c r="E37" s="72"/>
      <c r="F37" s="74"/>
      <c r="G37" s="68"/>
      <c r="H37" s="68"/>
      <c r="I37" s="74"/>
      <c r="J37" s="68"/>
      <c r="K37" s="16"/>
      <c r="L37" s="16"/>
      <c r="M37" s="341"/>
      <c r="N37" s="17"/>
      <c r="O37" s="17"/>
      <c r="P37" s="17"/>
      <c r="Q37" s="17"/>
      <c r="R37" s="17"/>
      <c r="S37" s="368">
        <v>0</v>
      </c>
      <c r="T37" s="349">
        <f t="shared" si="0"/>
        <v>0</v>
      </c>
      <c r="U37" s="54"/>
    </row>
    <row r="38" spans="2:21" ht="17.25" hidden="1" x14ac:dyDescent="0.3">
      <c r="B38" s="16">
        <v>21</v>
      </c>
      <c r="C38" s="68"/>
      <c r="D38" s="71"/>
      <c r="E38" s="72"/>
      <c r="F38" s="74"/>
      <c r="G38" s="68"/>
      <c r="H38" s="68"/>
      <c r="I38" s="74"/>
      <c r="J38" s="68"/>
      <c r="K38" s="16"/>
      <c r="L38" s="16"/>
      <c r="M38" s="341"/>
      <c r="N38" s="17"/>
      <c r="O38" s="17"/>
      <c r="P38" s="17"/>
      <c r="Q38" s="17"/>
      <c r="R38" s="17"/>
      <c r="S38" s="368">
        <v>0</v>
      </c>
      <c r="T38" s="349">
        <f t="shared" si="0"/>
        <v>0</v>
      </c>
      <c r="U38" s="54"/>
    </row>
    <row r="39" spans="2:21" ht="17.25" hidden="1" x14ac:dyDescent="0.3">
      <c r="B39" s="16">
        <v>22</v>
      </c>
      <c r="C39" s="68"/>
      <c r="D39" s="71"/>
      <c r="E39" s="72"/>
      <c r="F39" s="74"/>
      <c r="G39" s="68"/>
      <c r="H39" s="68"/>
      <c r="I39" s="68"/>
      <c r="J39" s="68"/>
      <c r="K39" s="16"/>
      <c r="L39" s="16"/>
      <c r="M39" s="341"/>
      <c r="N39" s="17"/>
      <c r="O39" s="17"/>
      <c r="P39" s="17"/>
      <c r="Q39" s="17"/>
      <c r="R39" s="17"/>
      <c r="S39" s="368">
        <v>0</v>
      </c>
      <c r="T39" s="349">
        <f t="shared" si="0"/>
        <v>0</v>
      </c>
      <c r="U39" s="54"/>
    </row>
    <row r="40" spans="2:21" ht="17.25" hidden="1" x14ac:dyDescent="0.3">
      <c r="B40" s="16">
        <v>23</v>
      </c>
      <c r="C40" s="68"/>
      <c r="D40" s="71"/>
      <c r="E40" s="72"/>
      <c r="F40" s="74"/>
      <c r="G40" s="68"/>
      <c r="H40" s="68"/>
      <c r="I40" s="68"/>
      <c r="J40" s="68"/>
      <c r="K40" s="16"/>
      <c r="L40" s="16"/>
      <c r="M40" s="341"/>
      <c r="N40" s="17"/>
      <c r="O40" s="17"/>
      <c r="P40" s="17"/>
      <c r="Q40" s="17"/>
      <c r="R40" s="17"/>
      <c r="S40" s="368">
        <v>0</v>
      </c>
      <c r="T40" s="349">
        <f t="shared" si="0"/>
        <v>0</v>
      </c>
      <c r="U40" s="54"/>
    </row>
    <row r="41" spans="2:21" ht="17.25" hidden="1" x14ac:dyDescent="0.3">
      <c r="B41" s="16">
        <v>24</v>
      </c>
      <c r="C41" s="68"/>
      <c r="D41" s="71"/>
      <c r="E41" s="72"/>
      <c r="F41" s="74"/>
      <c r="G41" s="68"/>
      <c r="H41" s="68"/>
      <c r="I41" s="68"/>
      <c r="J41" s="68"/>
      <c r="K41" s="16"/>
      <c r="L41" s="16"/>
      <c r="M41" s="341"/>
      <c r="N41" s="17"/>
      <c r="O41" s="17"/>
      <c r="P41" s="17"/>
      <c r="Q41" s="17"/>
      <c r="R41" s="17"/>
      <c r="S41" s="368">
        <v>0</v>
      </c>
      <c r="T41" s="349">
        <f t="shared" si="0"/>
        <v>0</v>
      </c>
      <c r="U41" s="54"/>
    </row>
    <row r="42" spans="2:21" ht="17.25" hidden="1" x14ac:dyDescent="0.3">
      <c r="B42" s="16">
        <v>25</v>
      </c>
      <c r="C42" s="68"/>
      <c r="D42" s="71"/>
      <c r="E42" s="72"/>
      <c r="F42" s="74"/>
      <c r="G42" s="68"/>
      <c r="H42" s="68"/>
      <c r="I42" s="68"/>
      <c r="J42" s="68"/>
      <c r="K42" s="16"/>
      <c r="L42" s="16"/>
      <c r="M42" s="341"/>
      <c r="N42" s="17"/>
      <c r="O42" s="17"/>
      <c r="P42" s="17"/>
      <c r="Q42" s="17"/>
      <c r="R42" s="17"/>
      <c r="S42" s="368">
        <v>0</v>
      </c>
      <c r="T42" s="349">
        <f t="shared" si="0"/>
        <v>0</v>
      </c>
      <c r="U42" s="54"/>
    </row>
    <row r="43" spans="2:21" ht="17.25" hidden="1" x14ac:dyDescent="0.3">
      <c r="B43" s="16">
        <v>26</v>
      </c>
      <c r="C43" s="68"/>
      <c r="D43" s="71"/>
      <c r="E43" s="72"/>
      <c r="F43" s="74"/>
      <c r="G43" s="68"/>
      <c r="H43" s="68"/>
      <c r="I43" s="68"/>
      <c r="J43" s="68"/>
      <c r="K43" s="16"/>
      <c r="L43" s="16"/>
      <c r="M43" s="341"/>
      <c r="N43" s="17"/>
      <c r="O43" s="17"/>
      <c r="P43" s="17"/>
      <c r="Q43" s="17"/>
      <c r="R43" s="17"/>
      <c r="S43" s="368">
        <v>0</v>
      </c>
      <c r="T43" s="349">
        <f t="shared" si="0"/>
        <v>0</v>
      </c>
      <c r="U43" s="54"/>
    </row>
    <row r="44" spans="2:21" ht="17.25" hidden="1" x14ac:dyDescent="0.3">
      <c r="B44" s="16">
        <v>27</v>
      </c>
      <c r="C44" s="68"/>
      <c r="D44" s="71"/>
      <c r="E44" s="72"/>
      <c r="F44" s="74"/>
      <c r="G44" s="68"/>
      <c r="H44" s="68"/>
      <c r="I44" s="68"/>
      <c r="J44" s="68"/>
      <c r="K44" s="16"/>
      <c r="L44" s="16"/>
      <c r="M44" s="341"/>
      <c r="N44" s="17"/>
      <c r="O44" s="17"/>
      <c r="P44" s="17"/>
      <c r="Q44" s="17"/>
      <c r="R44" s="17"/>
      <c r="S44" s="368">
        <v>0</v>
      </c>
      <c r="T44" s="349">
        <f t="shared" si="0"/>
        <v>0</v>
      </c>
      <c r="U44" s="54"/>
    </row>
    <row r="45" spans="2:21" ht="17.25" hidden="1" x14ac:dyDescent="0.3">
      <c r="B45" s="16">
        <v>28</v>
      </c>
      <c r="C45" s="68"/>
      <c r="D45" s="71"/>
      <c r="E45" s="72"/>
      <c r="F45" s="74"/>
      <c r="G45" s="68"/>
      <c r="H45" s="68"/>
      <c r="I45" s="68"/>
      <c r="J45" s="68"/>
      <c r="K45" s="16"/>
      <c r="L45" s="16"/>
      <c r="M45" s="341"/>
      <c r="N45" s="17"/>
      <c r="O45" s="17"/>
      <c r="P45" s="17"/>
      <c r="Q45" s="17"/>
      <c r="R45" s="17"/>
      <c r="S45" s="368">
        <v>0</v>
      </c>
      <c r="T45" s="349">
        <f t="shared" si="0"/>
        <v>0</v>
      </c>
      <c r="U45" s="54"/>
    </row>
    <row r="46" spans="2:21" ht="17.25" hidden="1" x14ac:dyDescent="0.3">
      <c r="B46" s="16">
        <v>29</v>
      </c>
      <c r="C46" s="68"/>
      <c r="D46" s="71"/>
      <c r="E46" s="72"/>
      <c r="F46" s="74"/>
      <c r="G46" s="68"/>
      <c r="H46" s="68"/>
      <c r="I46" s="68"/>
      <c r="J46" s="68"/>
      <c r="K46" s="16"/>
      <c r="L46" s="16"/>
      <c r="M46" s="341"/>
      <c r="N46" s="17"/>
      <c r="O46" s="17"/>
      <c r="P46" s="17"/>
      <c r="Q46" s="17"/>
      <c r="R46" s="17"/>
      <c r="S46" s="368">
        <v>0</v>
      </c>
      <c r="T46" s="349">
        <f t="shared" si="0"/>
        <v>0</v>
      </c>
      <c r="U46" s="54"/>
    </row>
    <row r="47" spans="2:21" ht="17.25" hidden="1" x14ac:dyDescent="0.3">
      <c r="B47" s="16">
        <v>30</v>
      </c>
      <c r="C47" s="68"/>
      <c r="D47" s="71"/>
      <c r="E47" s="72"/>
      <c r="F47" s="74"/>
      <c r="G47" s="68"/>
      <c r="H47" s="68"/>
      <c r="I47" s="68"/>
      <c r="J47" s="68"/>
      <c r="K47" s="16"/>
      <c r="L47" s="16"/>
      <c r="M47" s="341"/>
      <c r="N47" s="17"/>
      <c r="O47" s="17"/>
      <c r="P47" s="17"/>
      <c r="Q47" s="17"/>
      <c r="R47" s="17"/>
      <c r="S47" s="368">
        <v>0</v>
      </c>
      <c r="T47" s="349">
        <f t="shared" si="0"/>
        <v>0</v>
      </c>
      <c r="U47" s="54"/>
    </row>
    <row r="48" spans="2:21" ht="17.25" hidden="1" x14ac:dyDescent="0.3">
      <c r="B48" s="16">
        <v>31</v>
      </c>
      <c r="C48" s="68"/>
      <c r="D48" s="71"/>
      <c r="E48" s="72"/>
      <c r="F48" s="74"/>
      <c r="G48" s="68"/>
      <c r="H48" s="68"/>
      <c r="I48" s="68"/>
      <c r="J48" s="68"/>
      <c r="K48" s="16"/>
      <c r="L48" s="16"/>
      <c r="M48" s="341"/>
      <c r="N48" s="17"/>
      <c r="O48" s="17"/>
      <c r="P48" s="17"/>
      <c r="Q48" s="17"/>
      <c r="R48" s="17"/>
      <c r="S48" s="368">
        <v>0</v>
      </c>
      <c r="T48" s="349">
        <f t="shared" si="0"/>
        <v>0</v>
      </c>
      <c r="U48" s="54"/>
    </row>
    <row r="49" spans="2:21" ht="17.25" hidden="1" x14ac:dyDescent="0.3">
      <c r="B49" s="16">
        <v>32</v>
      </c>
      <c r="C49" s="68"/>
      <c r="D49" s="71"/>
      <c r="E49" s="72"/>
      <c r="F49" s="74"/>
      <c r="G49" s="68"/>
      <c r="H49" s="68"/>
      <c r="I49" s="68"/>
      <c r="J49" s="68"/>
      <c r="K49" s="16"/>
      <c r="L49" s="16"/>
      <c r="M49" s="341"/>
      <c r="N49" s="17"/>
      <c r="O49" s="17"/>
      <c r="P49" s="17"/>
      <c r="Q49" s="17"/>
      <c r="R49" s="17"/>
      <c r="S49" s="368">
        <v>0</v>
      </c>
      <c r="T49" s="349">
        <f t="shared" si="0"/>
        <v>0</v>
      </c>
      <c r="U49" s="54"/>
    </row>
    <row r="50" spans="2:21" ht="17.25" hidden="1" x14ac:dyDescent="0.3">
      <c r="B50" s="16">
        <v>33</v>
      </c>
      <c r="C50" s="68"/>
      <c r="D50" s="71"/>
      <c r="E50" s="72"/>
      <c r="F50" s="74"/>
      <c r="G50" s="68"/>
      <c r="H50" s="68"/>
      <c r="I50" s="68"/>
      <c r="J50" s="68"/>
      <c r="K50" s="16"/>
      <c r="L50" s="16"/>
      <c r="M50" s="341"/>
      <c r="N50" s="17"/>
      <c r="O50" s="17"/>
      <c r="P50" s="17"/>
      <c r="Q50" s="17"/>
      <c r="R50" s="17"/>
      <c r="S50" s="368">
        <v>0</v>
      </c>
      <c r="T50" s="349">
        <f t="shared" ref="T50:T81" si="1">F50*S50</f>
        <v>0</v>
      </c>
      <c r="U50" s="54"/>
    </row>
    <row r="51" spans="2:21" ht="17.25" hidden="1" x14ac:dyDescent="0.3">
      <c r="B51" s="16">
        <v>34</v>
      </c>
      <c r="C51" s="68"/>
      <c r="D51" s="71"/>
      <c r="E51" s="72"/>
      <c r="F51" s="74"/>
      <c r="G51" s="68"/>
      <c r="H51" s="68"/>
      <c r="I51" s="68"/>
      <c r="J51" s="68"/>
      <c r="K51" s="16"/>
      <c r="L51" s="16"/>
      <c r="M51" s="341"/>
      <c r="N51" s="17"/>
      <c r="O51" s="17"/>
      <c r="P51" s="17"/>
      <c r="Q51" s="17"/>
      <c r="R51" s="17"/>
      <c r="S51" s="368">
        <v>0</v>
      </c>
      <c r="T51" s="349">
        <f t="shared" si="1"/>
        <v>0</v>
      </c>
      <c r="U51" s="54"/>
    </row>
    <row r="52" spans="2:21" ht="17.25" hidden="1" x14ac:dyDescent="0.3">
      <c r="B52" s="16">
        <v>35</v>
      </c>
      <c r="C52" s="68"/>
      <c r="D52" s="71"/>
      <c r="E52" s="72"/>
      <c r="F52" s="74"/>
      <c r="G52" s="68"/>
      <c r="H52" s="68"/>
      <c r="I52" s="68"/>
      <c r="J52" s="68"/>
      <c r="K52" s="16"/>
      <c r="L52" s="16"/>
      <c r="M52" s="341"/>
      <c r="N52" s="17"/>
      <c r="O52" s="17"/>
      <c r="P52" s="17"/>
      <c r="Q52" s="17"/>
      <c r="R52" s="17"/>
      <c r="S52" s="368">
        <v>0</v>
      </c>
      <c r="T52" s="349">
        <f t="shared" si="1"/>
        <v>0</v>
      </c>
      <c r="U52" s="54"/>
    </row>
    <row r="53" spans="2:21" ht="17.25" hidden="1" x14ac:dyDescent="0.3">
      <c r="B53" s="16">
        <v>36</v>
      </c>
      <c r="C53" s="68"/>
      <c r="D53" s="71"/>
      <c r="E53" s="72"/>
      <c r="F53" s="74"/>
      <c r="G53" s="68"/>
      <c r="H53" s="68"/>
      <c r="I53" s="68"/>
      <c r="J53" s="68"/>
      <c r="K53" s="16"/>
      <c r="L53" s="16"/>
      <c r="M53" s="341"/>
      <c r="N53" s="17"/>
      <c r="O53" s="17"/>
      <c r="P53" s="17"/>
      <c r="Q53" s="17"/>
      <c r="R53" s="17"/>
      <c r="S53" s="368">
        <v>0</v>
      </c>
      <c r="T53" s="349">
        <f t="shared" si="1"/>
        <v>0</v>
      </c>
      <c r="U53" s="54"/>
    </row>
    <row r="54" spans="2:21" ht="17.25" hidden="1" x14ac:dyDescent="0.3">
      <c r="B54" s="16">
        <v>37</v>
      </c>
      <c r="C54" s="68"/>
      <c r="D54" s="71"/>
      <c r="E54" s="72"/>
      <c r="F54" s="74"/>
      <c r="G54" s="68"/>
      <c r="H54" s="68"/>
      <c r="I54" s="68"/>
      <c r="J54" s="68"/>
      <c r="K54" s="16"/>
      <c r="L54" s="16"/>
      <c r="M54" s="341"/>
      <c r="N54" s="17"/>
      <c r="O54" s="17"/>
      <c r="P54" s="17"/>
      <c r="Q54" s="17"/>
      <c r="R54" s="17"/>
      <c r="S54" s="368">
        <v>0</v>
      </c>
      <c r="T54" s="349">
        <f t="shared" si="1"/>
        <v>0</v>
      </c>
      <c r="U54" s="54"/>
    </row>
    <row r="55" spans="2:21" ht="17.25" hidden="1" x14ac:dyDescent="0.3">
      <c r="B55" s="16">
        <v>38</v>
      </c>
      <c r="C55" s="68"/>
      <c r="D55" s="71"/>
      <c r="E55" s="72"/>
      <c r="F55" s="74"/>
      <c r="G55" s="68"/>
      <c r="H55" s="68"/>
      <c r="I55" s="68"/>
      <c r="J55" s="68"/>
      <c r="K55" s="16"/>
      <c r="L55" s="16"/>
      <c r="M55" s="341"/>
      <c r="N55" s="17"/>
      <c r="O55" s="17"/>
      <c r="P55" s="17"/>
      <c r="Q55" s="17"/>
      <c r="R55" s="17"/>
      <c r="S55" s="368">
        <v>0</v>
      </c>
      <c r="T55" s="349">
        <f t="shared" si="1"/>
        <v>0</v>
      </c>
      <c r="U55" s="54"/>
    </row>
    <row r="56" spans="2:21" ht="17.25" hidden="1" x14ac:dyDescent="0.3">
      <c r="B56" s="16">
        <v>39</v>
      </c>
      <c r="C56" s="68"/>
      <c r="D56" s="71"/>
      <c r="E56" s="72"/>
      <c r="F56" s="74"/>
      <c r="G56" s="68"/>
      <c r="H56" s="68"/>
      <c r="I56" s="68"/>
      <c r="J56" s="68"/>
      <c r="K56" s="16"/>
      <c r="L56" s="16"/>
      <c r="M56" s="341"/>
      <c r="N56" s="17"/>
      <c r="O56" s="17"/>
      <c r="P56" s="17"/>
      <c r="Q56" s="17"/>
      <c r="R56" s="17"/>
      <c r="S56" s="368">
        <v>0</v>
      </c>
      <c r="T56" s="349">
        <f t="shared" si="1"/>
        <v>0</v>
      </c>
      <c r="U56" s="54"/>
    </row>
    <row r="57" spans="2:21" ht="17.25" hidden="1" x14ac:dyDescent="0.3">
      <c r="B57" s="16">
        <v>40</v>
      </c>
      <c r="C57" s="68"/>
      <c r="D57" s="71"/>
      <c r="E57" s="72"/>
      <c r="F57" s="74"/>
      <c r="G57" s="68"/>
      <c r="H57" s="68"/>
      <c r="I57" s="68"/>
      <c r="J57" s="68"/>
      <c r="K57" s="16"/>
      <c r="L57" s="16"/>
      <c r="M57" s="341"/>
      <c r="N57" s="17"/>
      <c r="O57" s="17"/>
      <c r="P57" s="17"/>
      <c r="Q57" s="17"/>
      <c r="R57" s="17"/>
      <c r="S57" s="368">
        <v>0</v>
      </c>
      <c r="T57" s="349">
        <f t="shared" si="1"/>
        <v>0</v>
      </c>
      <c r="U57" s="54"/>
    </row>
    <row r="58" spans="2:21" ht="17.25" hidden="1" x14ac:dyDescent="0.3">
      <c r="B58" s="16">
        <v>41</v>
      </c>
      <c r="C58" s="68"/>
      <c r="D58" s="71"/>
      <c r="E58" s="72"/>
      <c r="F58" s="74"/>
      <c r="G58" s="68"/>
      <c r="H58" s="68"/>
      <c r="I58" s="68"/>
      <c r="J58" s="68"/>
      <c r="K58" s="16"/>
      <c r="L58" s="16"/>
      <c r="M58" s="341"/>
      <c r="N58" s="17"/>
      <c r="O58" s="17"/>
      <c r="P58" s="17"/>
      <c r="Q58" s="17"/>
      <c r="R58" s="17"/>
      <c r="S58" s="368">
        <v>0</v>
      </c>
      <c r="T58" s="349">
        <f t="shared" si="1"/>
        <v>0</v>
      </c>
      <c r="U58" s="54"/>
    </row>
    <row r="59" spans="2:21" ht="17.25" hidden="1" x14ac:dyDescent="0.3">
      <c r="B59" s="16">
        <v>42</v>
      </c>
      <c r="C59" s="68"/>
      <c r="D59" s="71"/>
      <c r="E59" s="72"/>
      <c r="F59" s="74"/>
      <c r="G59" s="68"/>
      <c r="H59" s="68"/>
      <c r="I59" s="68"/>
      <c r="J59" s="68"/>
      <c r="K59" s="16"/>
      <c r="L59" s="16"/>
      <c r="M59" s="341"/>
      <c r="N59" s="17"/>
      <c r="O59" s="17"/>
      <c r="P59" s="17"/>
      <c r="Q59" s="17"/>
      <c r="R59" s="17"/>
      <c r="S59" s="368">
        <v>0</v>
      </c>
      <c r="T59" s="349">
        <f t="shared" si="1"/>
        <v>0</v>
      </c>
      <c r="U59" s="54"/>
    </row>
    <row r="60" spans="2:21" ht="17.25" hidden="1" x14ac:dyDescent="0.3">
      <c r="B60" s="16">
        <v>43</v>
      </c>
      <c r="C60" s="68"/>
      <c r="D60" s="71"/>
      <c r="E60" s="72"/>
      <c r="F60" s="74"/>
      <c r="G60" s="68"/>
      <c r="H60" s="68"/>
      <c r="I60" s="68"/>
      <c r="J60" s="68"/>
      <c r="K60" s="16"/>
      <c r="L60" s="16"/>
      <c r="M60" s="341"/>
      <c r="N60" s="17"/>
      <c r="O60" s="17"/>
      <c r="P60" s="17"/>
      <c r="Q60" s="17"/>
      <c r="R60" s="17"/>
      <c r="S60" s="368">
        <v>0</v>
      </c>
      <c r="T60" s="349">
        <f t="shared" si="1"/>
        <v>0</v>
      </c>
      <c r="U60" s="54"/>
    </row>
    <row r="61" spans="2:21" ht="17.25" hidden="1" x14ac:dyDescent="0.3">
      <c r="B61" s="16">
        <v>44</v>
      </c>
      <c r="C61" s="68"/>
      <c r="D61" s="71"/>
      <c r="E61" s="72"/>
      <c r="F61" s="74"/>
      <c r="G61" s="68"/>
      <c r="H61" s="68"/>
      <c r="I61" s="68"/>
      <c r="J61" s="68"/>
      <c r="K61" s="16"/>
      <c r="L61" s="16"/>
      <c r="M61" s="341"/>
      <c r="N61" s="17"/>
      <c r="O61" s="17"/>
      <c r="P61" s="17"/>
      <c r="Q61" s="17"/>
      <c r="R61" s="17"/>
      <c r="S61" s="368">
        <v>0</v>
      </c>
      <c r="T61" s="349">
        <f t="shared" si="1"/>
        <v>0</v>
      </c>
      <c r="U61" s="54"/>
    </row>
    <row r="62" spans="2:21" ht="17.25" hidden="1" x14ac:dyDescent="0.3">
      <c r="B62" s="16">
        <v>45</v>
      </c>
      <c r="C62" s="68"/>
      <c r="D62" s="71"/>
      <c r="E62" s="72"/>
      <c r="F62" s="74"/>
      <c r="G62" s="68"/>
      <c r="H62" s="68"/>
      <c r="I62" s="68"/>
      <c r="J62" s="68"/>
      <c r="K62" s="16"/>
      <c r="L62" s="16"/>
      <c r="M62" s="341"/>
      <c r="N62" s="17"/>
      <c r="O62" s="17"/>
      <c r="P62" s="17"/>
      <c r="Q62" s="17"/>
      <c r="R62" s="17"/>
      <c r="S62" s="368">
        <v>0</v>
      </c>
      <c r="T62" s="349">
        <f t="shared" si="1"/>
        <v>0</v>
      </c>
      <c r="U62" s="54"/>
    </row>
    <row r="63" spans="2:21" ht="17.25" hidden="1" x14ac:dyDescent="0.3">
      <c r="B63" s="16">
        <v>46</v>
      </c>
      <c r="C63" s="68"/>
      <c r="D63" s="71"/>
      <c r="E63" s="72"/>
      <c r="F63" s="74"/>
      <c r="G63" s="68"/>
      <c r="H63" s="68"/>
      <c r="I63" s="68"/>
      <c r="J63" s="68"/>
      <c r="K63" s="16"/>
      <c r="L63" s="16"/>
      <c r="M63" s="341"/>
      <c r="N63" s="17"/>
      <c r="O63" s="17"/>
      <c r="P63" s="17"/>
      <c r="Q63" s="17"/>
      <c r="R63" s="17"/>
      <c r="S63" s="368">
        <v>0</v>
      </c>
      <c r="T63" s="349">
        <f t="shared" si="1"/>
        <v>0</v>
      </c>
      <c r="U63" s="54"/>
    </row>
    <row r="64" spans="2:21" ht="17.25" hidden="1" x14ac:dyDescent="0.3">
      <c r="B64" s="16">
        <v>47</v>
      </c>
      <c r="C64" s="68"/>
      <c r="D64" s="71"/>
      <c r="E64" s="72"/>
      <c r="F64" s="74"/>
      <c r="G64" s="68"/>
      <c r="H64" s="68"/>
      <c r="I64" s="68"/>
      <c r="J64" s="68"/>
      <c r="K64" s="16"/>
      <c r="L64" s="16"/>
      <c r="M64" s="341"/>
      <c r="N64" s="17"/>
      <c r="O64" s="17"/>
      <c r="P64" s="17"/>
      <c r="Q64" s="17"/>
      <c r="R64" s="17"/>
      <c r="S64" s="368">
        <v>0</v>
      </c>
      <c r="T64" s="349">
        <f t="shared" si="1"/>
        <v>0</v>
      </c>
      <c r="U64" s="54"/>
    </row>
    <row r="65" spans="2:21" ht="17.25" hidden="1" x14ac:dyDescent="0.3">
      <c r="B65" s="16">
        <v>48</v>
      </c>
      <c r="C65" s="68"/>
      <c r="D65" s="71"/>
      <c r="E65" s="72"/>
      <c r="F65" s="74"/>
      <c r="G65" s="68"/>
      <c r="H65" s="68"/>
      <c r="I65" s="68"/>
      <c r="J65" s="68"/>
      <c r="K65" s="16"/>
      <c r="L65" s="16"/>
      <c r="M65" s="341"/>
      <c r="N65" s="17"/>
      <c r="O65" s="17"/>
      <c r="P65" s="17"/>
      <c r="Q65" s="17"/>
      <c r="R65" s="17"/>
      <c r="S65" s="368">
        <v>0</v>
      </c>
      <c r="T65" s="349">
        <f t="shared" si="1"/>
        <v>0</v>
      </c>
      <c r="U65" s="54"/>
    </row>
    <row r="66" spans="2:21" ht="17.25" hidden="1" x14ac:dyDescent="0.3">
      <c r="B66" s="16">
        <v>49</v>
      </c>
      <c r="C66" s="68"/>
      <c r="D66" s="71"/>
      <c r="E66" s="72"/>
      <c r="F66" s="74"/>
      <c r="G66" s="68"/>
      <c r="H66" s="68"/>
      <c r="I66" s="68"/>
      <c r="J66" s="68"/>
      <c r="K66" s="16"/>
      <c r="L66" s="16"/>
      <c r="M66" s="341"/>
      <c r="N66" s="17"/>
      <c r="O66" s="17"/>
      <c r="P66" s="17"/>
      <c r="Q66" s="17"/>
      <c r="R66" s="17"/>
      <c r="S66" s="368">
        <v>0</v>
      </c>
      <c r="T66" s="349">
        <f t="shared" si="1"/>
        <v>0</v>
      </c>
      <c r="U66" s="54"/>
    </row>
    <row r="67" spans="2:21" ht="17.25" hidden="1" x14ac:dyDescent="0.3">
      <c r="B67" s="16">
        <v>50</v>
      </c>
      <c r="C67" s="68"/>
      <c r="D67" s="71"/>
      <c r="E67" s="72"/>
      <c r="F67" s="74"/>
      <c r="G67" s="68"/>
      <c r="H67" s="68"/>
      <c r="I67" s="68"/>
      <c r="J67" s="68"/>
      <c r="K67" s="16"/>
      <c r="L67" s="16"/>
      <c r="M67" s="341"/>
      <c r="N67" s="17"/>
      <c r="O67" s="17"/>
      <c r="P67" s="17"/>
      <c r="Q67" s="17"/>
      <c r="R67" s="17"/>
      <c r="S67" s="368">
        <v>0</v>
      </c>
      <c r="T67" s="349">
        <f t="shared" si="1"/>
        <v>0</v>
      </c>
      <c r="U67" s="54"/>
    </row>
    <row r="68" spans="2:21" ht="17.25" hidden="1" x14ac:dyDescent="0.3">
      <c r="B68" s="16">
        <v>51</v>
      </c>
      <c r="C68" s="68"/>
      <c r="D68" s="71"/>
      <c r="E68" s="72"/>
      <c r="F68" s="74"/>
      <c r="G68" s="68"/>
      <c r="H68" s="68"/>
      <c r="I68" s="68"/>
      <c r="J68" s="68"/>
      <c r="K68" s="16"/>
      <c r="L68" s="16"/>
      <c r="M68" s="341"/>
      <c r="N68" s="17"/>
      <c r="O68" s="17"/>
      <c r="P68" s="17"/>
      <c r="Q68" s="17"/>
      <c r="R68" s="17"/>
      <c r="S68" s="368">
        <v>0</v>
      </c>
      <c r="T68" s="349">
        <f t="shared" si="1"/>
        <v>0</v>
      </c>
      <c r="U68" s="54"/>
    </row>
    <row r="69" spans="2:21" ht="17.25" hidden="1" x14ac:dyDescent="0.3">
      <c r="B69" s="16">
        <v>52</v>
      </c>
      <c r="C69" s="68"/>
      <c r="D69" s="71"/>
      <c r="E69" s="72"/>
      <c r="F69" s="74"/>
      <c r="G69" s="68"/>
      <c r="H69" s="68"/>
      <c r="I69" s="68"/>
      <c r="J69" s="68"/>
      <c r="K69" s="16"/>
      <c r="L69" s="16"/>
      <c r="M69" s="341"/>
      <c r="N69" s="17"/>
      <c r="O69" s="17"/>
      <c r="P69" s="17"/>
      <c r="Q69" s="17"/>
      <c r="R69" s="17"/>
      <c r="S69" s="368">
        <v>0</v>
      </c>
      <c r="T69" s="349">
        <f t="shared" si="1"/>
        <v>0</v>
      </c>
      <c r="U69" s="54"/>
    </row>
    <row r="70" spans="2:21" ht="17.25" hidden="1" x14ac:dyDescent="0.3">
      <c r="B70" s="16">
        <v>53</v>
      </c>
      <c r="C70" s="68"/>
      <c r="D70" s="71"/>
      <c r="E70" s="72"/>
      <c r="F70" s="74"/>
      <c r="G70" s="68"/>
      <c r="H70" s="68"/>
      <c r="I70" s="68"/>
      <c r="J70" s="68"/>
      <c r="K70" s="16"/>
      <c r="L70" s="16"/>
      <c r="M70" s="341"/>
      <c r="N70" s="17"/>
      <c r="O70" s="17"/>
      <c r="P70" s="17"/>
      <c r="Q70" s="17"/>
      <c r="R70" s="17"/>
      <c r="S70" s="368">
        <v>0</v>
      </c>
      <c r="T70" s="349">
        <f t="shared" si="1"/>
        <v>0</v>
      </c>
      <c r="U70" s="54"/>
    </row>
    <row r="71" spans="2:21" ht="17.25" hidden="1" x14ac:dyDescent="0.3">
      <c r="B71" s="16">
        <v>54</v>
      </c>
      <c r="C71" s="68"/>
      <c r="D71" s="71"/>
      <c r="E71" s="72"/>
      <c r="F71" s="74"/>
      <c r="G71" s="68"/>
      <c r="H71" s="68"/>
      <c r="I71" s="68"/>
      <c r="J71" s="68"/>
      <c r="K71" s="16"/>
      <c r="L71" s="16"/>
      <c r="M71" s="341"/>
      <c r="N71" s="17"/>
      <c r="O71" s="17"/>
      <c r="P71" s="17"/>
      <c r="Q71" s="17"/>
      <c r="R71" s="17"/>
      <c r="S71" s="368">
        <v>0</v>
      </c>
      <c r="T71" s="349">
        <f t="shared" si="1"/>
        <v>0</v>
      </c>
      <c r="U71" s="54"/>
    </row>
    <row r="72" spans="2:21" ht="17.25" hidden="1" x14ac:dyDescent="0.3">
      <c r="B72" s="16">
        <v>55</v>
      </c>
      <c r="C72" s="68"/>
      <c r="D72" s="71"/>
      <c r="E72" s="72"/>
      <c r="F72" s="74"/>
      <c r="G72" s="68"/>
      <c r="H72" s="68"/>
      <c r="I72" s="68"/>
      <c r="J72" s="68"/>
      <c r="K72" s="16"/>
      <c r="L72" s="16"/>
      <c r="M72" s="341"/>
      <c r="N72" s="17"/>
      <c r="O72" s="17"/>
      <c r="P72" s="17"/>
      <c r="Q72" s="17"/>
      <c r="R72" s="17"/>
      <c r="S72" s="368">
        <v>0</v>
      </c>
      <c r="T72" s="349">
        <f t="shared" si="1"/>
        <v>0</v>
      </c>
      <c r="U72" s="54"/>
    </row>
    <row r="73" spans="2:21" ht="17.25" hidden="1" x14ac:dyDescent="0.3">
      <c r="B73" s="16">
        <v>56</v>
      </c>
      <c r="C73" s="68"/>
      <c r="D73" s="71"/>
      <c r="E73" s="72"/>
      <c r="F73" s="74"/>
      <c r="G73" s="68"/>
      <c r="H73" s="68"/>
      <c r="I73" s="68"/>
      <c r="J73" s="68"/>
      <c r="K73" s="16"/>
      <c r="L73" s="16"/>
      <c r="M73" s="341"/>
      <c r="N73" s="17"/>
      <c r="O73" s="17"/>
      <c r="P73" s="17"/>
      <c r="Q73" s="17"/>
      <c r="R73" s="17"/>
      <c r="S73" s="368">
        <v>0</v>
      </c>
      <c r="T73" s="349">
        <f t="shared" si="1"/>
        <v>0</v>
      </c>
      <c r="U73" s="54"/>
    </row>
    <row r="74" spans="2:21" ht="17.25" hidden="1" x14ac:dyDescent="0.3">
      <c r="B74" s="16">
        <v>57</v>
      </c>
      <c r="C74" s="68"/>
      <c r="D74" s="71"/>
      <c r="E74" s="72"/>
      <c r="F74" s="74"/>
      <c r="G74" s="68"/>
      <c r="H74" s="68"/>
      <c r="I74" s="68"/>
      <c r="J74" s="68"/>
      <c r="K74" s="16"/>
      <c r="L74" s="16"/>
      <c r="M74" s="341"/>
      <c r="N74" s="17"/>
      <c r="O74" s="17"/>
      <c r="P74" s="17"/>
      <c r="Q74" s="17"/>
      <c r="R74" s="17"/>
      <c r="S74" s="368">
        <v>0</v>
      </c>
      <c r="T74" s="349">
        <f t="shared" si="1"/>
        <v>0</v>
      </c>
      <c r="U74" s="54"/>
    </row>
    <row r="75" spans="2:21" ht="17.25" hidden="1" x14ac:dyDescent="0.3">
      <c r="B75" s="16">
        <v>58</v>
      </c>
      <c r="C75" s="68"/>
      <c r="D75" s="71"/>
      <c r="E75" s="72"/>
      <c r="F75" s="74"/>
      <c r="G75" s="68"/>
      <c r="H75" s="68"/>
      <c r="I75" s="68"/>
      <c r="J75" s="68"/>
      <c r="K75" s="16"/>
      <c r="L75" s="16"/>
      <c r="M75" s="341"/>
      <c r="N75" s="17"/>
      <c r="O75" s="17"/>
      <c r="P75" s="17"/>
      <c r="Q75" s="17"/>
      <c r="R75" s="17"/>
      <c r="S75" s="368">
        <v>0</v>
      </c>
      <c r="T75" s="349">
        <f t="shared" si="1"/>
        <v>0</v>
      </c>
      <c r="U75" s="54"/>
    </row>
    <row r="76" spans="2:21" ht="17.25" hidden="1" x14ac:dyDescent="0.3">
      <c r="B76" s="16">
        <v>59</v>
      </c>
      <c r="C76" s="68"/>
      <c r="D76" s="71"/>
      <c r="E76" s="72"/>
      <c r="F76" s="74"/>
      <c r="G76" s="68"/>
      <c r="H76" s="68"/>
      <c r="I76" s="68"/>
      <c r="J76" s="68"/>
      <c r="K76" s="16"/>
      <c r="L76" s="16"/>
      <c r="M76" s="341"/>
      <c r="N76" s="17"/>
      <c r="O76" s="17"/>
      <c r="P76" s="17"/>
      <c r="Q76" s="17"/>
      <c r="R76" s="17"/>
      <c r="S76" s="368">
        <v>0</v>
      </c>
      <c r="T76" s="349">
        <f t="shared" si="1"/>
        <v>0</v>
      </c>
      <c r="U76" s="54"/>
    </row>
    <row r="77" spans="2:21" ht="17.25" hidden="1" x14ac:dyDescent="0.3">
      <c r="B77" s="16">
        <v>60</v>
      </c>
      <c r="C77" s="68"/>
      <c r="D77" s="71"/>
      <c r="E77" s="72"/>
      <c r="F77" s="74"/>
      <c r="G77" s="68"/>
      <c r="H77" s="68"/>
      <c r="I77" s="68"/>
      <c r="J77" s="68"/>
      <c r="K77" s="16"/>
      <c r="L77" s="16"/>
      <c r="M77" s="341"/>
      <c r="N77" s="17"/>
      <c r="O77" s="17"/>
      <c r="P77" s="17"/>
      <c r="Q77" s="17"/>
      <c r="R77" s="17"/>
      <c r="S77" s="368">
        <v>0</v>
      </c>
      <c r="T77" s="349">
        <f t="shared" si="1"/>
        <v>0</v>
      </c>
      <c r="U77" s="54"/>
    </row>
    <row r="78" spans="2:21" ht="17.25" hidden="1" x14ac:dyDescent="0.3">
      <c r="B78" s="16">
        <v>61</v>
      </c>
      <c r="C78" s="68"/>
      <c r="D78" s="71"/>
      <c r="E78" s="72"/>
      <c r="F78" s="74"/>
      <c r="G78" s="68"/>
      <c r="H78" s="68"/>
      <c r="I78" s="68"/>
      <c r="J78" s="68"/>
      <c r="K78" s="16"/>
      <c r="L78" s="16"/>
      <c r="M78" s="341"/>
      <c r="N78" s="17"/>
      <c r="O78" s="17"/>
      <c r="P78" s="17"/>
      <c r="Q78" s="17"/>
      <c r="R78" s="17"/>
      <c r="S78" s="368">
        <v>0</v>
      </c>
      <c r="T78" s="349">
        <f t="shared" si="1"/>
        <v>0</v>
      </c>
      <c r="U78" s="54"/>
    </row>
    <row r="79" spans="2:21" ht="17.25" hidden="1" x14ac:dyDescent="0.3">
      <c r="B79" s="16">
        <v>62</v>
      </c>
      <c r="C79" s="68"/>
      <c r="D79" s="71"/>
      <c r="E79" s="72"/>
      <c r="F79" s="74"/>
      <c r="G79" s="68"/>
      <c r="H79" s="68"/>
      <c r="I79" s="68"/>
      <c r="J79" s="68"/>
      <c r="K79" s="16"/>
      <c r="L79" s="16"/>
      <c r="M79" s="341"/>
      <c r="N79" s="17"/>
      <c r="O79" s="17"/>
      <c r="P79" s="17"/>
      <c r="Q79" s="17"/>
      <c r="R79" s="17"/>
      <c r="S79" s="368">
        <v>0</v>
      </c>
      <c r="T79" s="349">
        <f t="shared" si="1"/>
        <v>0</v>
      </c>
      <c r="U79" s="54"/>
    </row>
    <row r="80" spans="2:21" ht="17.25" hidden="1" x14ac:dyDescent="0.3">
      <c r="B80" s="16">
        <v>63</v>
      </c>
      <c r="C80" s="68"/>
      <c r="D80" s="71"/>
      <c r="E80" s="72"/>
      <c r="F80" s="74"/>
      <c r="G80" s="68"/>
      <c r="H80" s="68"/>
      <c r="I80" s="68"/>
      <c r="J80" s="68"/>
      <c r="K80" s="16"/>
      <c r="L80" s="16"/>
      <c r="M80" s="341"/>
      <c r="N80" s="17"/>
      <c r="O80" s="17"/>
      <c r="P80" s="17"/>
      <c r="Q80" s="17"/>
      <c r="R80" s="17"/>
      <c r="S80" s="368">
        <v>0</v>
      </c>
      <c r="T80" s="349">
        <f t="shared" si="1"/>
        <v>0</v>
      </c>
      <c r="U80" s="54"/>
    </row>
    <row r="81" spans="2:21" ht="17.25" hidden="1" x14ac:dyDescent="0.3">
      <c r="B81" s="16">
        <v>64</v>
      </c>
      <c r="C81" s="68"/>
      <c r="D81" s="71"/>
      <c r="E81" s="72"/>
      <c r="F81" s="74"/>
      <c r="G81" s="68"/>
      <c r="H81" s="68"/>
      <c r="I81" s="68"/>
      <c r="J81" s="68"/>
      <c r="K81" s="16"/>
      <c r="L81" s="16"/>
      <c r="M81" s="341"/>
      <c r="N81" s="17"/>
      <c r="O81" s="17"/>
      <c r="P81" s="17"/>
      <c r="Q81" s="17"/>
      <c r="R81" s="17"/>
      <c r="S81" s="368">
        <v>0</v>
      </c>
      <c r="T81" s="349">
        <f t="shared" si="1"/>
        <v>0</v>
      </c>
      <c r="U81" s="54"/>
    </row>
    <row r="82" spans="2:21" ht="17.25" hidden="1" x14ac:dyDescent="0.3">
      <c r="B82" s="16">
        <v>65</v>
      </c>
      <c r="C82" s="68"/>
      <c r="D82" s="71"/>
      <c r="E82" s="72"/>
      <c r="F82" s="74"/>
      <c r="G82" s="68"/>
      <c r="H82" s="68"/>
      <c r="I82" s="68"/>
      <c r="J82" s="68"/>
      <c r="K82" s="16"/>
      <c r="L82" s="16"/>
      <c r="M82" s="341"/>
      <c r="N82" s="17"/>
      <c r="O82" s="17"/>
      <c r="P82" s="17"/>
      <c r="Q82" s="17"/>
      <c r="R82" s="17"/>
      <c r="S82" s="368">
        <v>0</v>
      </c>
      <c r="T82" s="349">
        <f t="shared" ref="T82:T113" si="2">F82*S82</f>
        <v>0</v>
      </c>
      <c r="U82" s="54"/>
    </row>
    <row r="83" spans="2:21" ht="17.25" hidden="1" x14ac:dyDescent="0.3">
      <c r="B83" s="16">
        <v>66</v>
      </c>
      <c r="C83" s="68"/>
      <c r="D83" s="71"/>
      <c r="E83" s="72"/>
      <c r="F83" s="74"/>
      <c r="G83" s="68"/>
      <c r="H83" s="68"/>
      <c r="I83" s="68"/>
      <c r="J83" s="68"/>
      <c r="K83" s="16"/>
      <c r="L83" s="16"/>
      <c r="M83" s="341"/>
      <c r="N83" s="17"/>
      <c r="O83" s="17"/>
      <c r="P83" s="17"/>
      <c r="Q83" s="17"/>
      <c r="R83" s="17"/>
      <c r="S83" s="368">
        <v>0</v>
      </c>
      <c r="T83" s="349">
        <f t="shared" si="2"/>
        <v>0</v>
      </c>
      <c r="U83" s="54"/>
    </row>
    <row r="84" spans="2:21" ht="17.25" hidden="1" x14ac:dyDescent="0.3">
      <c r="B84" s="16">
        <v>67</v>
      </c>
      <c r="C84" s="68"/>
      <c r="D84" s="71"/>
      <c r="E84" s="72"/>
      <c r="F84" s="74"/>
      <c r="G84" s="68"/>
      <c r="H84" s="68"/>
      <c r="I84" s="68"/>
      <c r="J84" s="68"/>
      <c r="K84" s="16"/>
      <c r="L84" s="16"/>
      <c r="M84" s="341"/>
      <c r="N84" s="17"/>
      <c r="O84" s="17"/>
      <c r="P84" s="17"/>
      <c r="Q84" s="17"/>
      <c r="R84" s="17"/>
      <c r="S84" s="368">
        <v>0</v>
      </c>
      <c r="T84" s="349">
        <f t="shared" si="2"/>
        <v>0</v>
      </c>
      <c r="U84" s="54"/>
    </row>
    <row r="85" spans="2:21" ht="17.25" hidden="1" x14ac:dyDescent="0.3">
      <c r="B85" s="16">
        <v>68</v>
      </c>
      <c r="C85" s="68"/>
      <c r="D85" s="71"/>
      <c r="E85" s="72"/>
      <c r="F85" s="74"/>
      <c r="G85" s="68"/>
      <c r="H85" s="68"/>
      <c r="I85" s="68"/>
      <c r="J85" s="68"/>
      <c r="K85" s="16"/>
      <c r="L85" s="16"/>
      <c r="M85" s="341"/>
      <c r="N85" s="17"/>
      <c r="O85" s="17"/>
      <c r="P85" s="17"/>
      <c r="Q85" s="17"/>
      <c r="R85" s="17"/>
      <c r="S85" s="368">
        <v>0</v>
      </c>
      <c r="T85" s="349">
        <f t="shared" si="2"/>
        <v>0</v>
      </c>
      <c r="U85" s="54"/>
    </row>
    <row r="86" spans="2:21" ht="17.25" hidden="1" x14ac:dyDescent="0.3">
      <c r="B86" s="16">
        <v>69</v>
      </c>
      <c r="C86" s="68"/>
      <c r="D86" s="71"/>
      <c r="E86" s="72"/>
      <c r="F86" s="74"/>
      <c r="G86" s="68"/>
      <c r="H86" s="68"/>
      <c r="I86" s="68"/>
      <c r="J86" s="68"/>
      <c r="K86" s="16"/>
      <c r="L86" s="16"/>
      <c r="M86" s="341"/>
      <c r="N86" s="17"/>
      <c r="O86" s="17"/>
      <c r="P86" s="17"/>
      <c r="Q86" s="17"/>
      <c r="R86" s="17"/>
      <c r="S86" s="368">
        <v>0</v>
      </c>
      <c r="T86" s="349">
        <f t="shared" si="2"/>
        <v>0</v>
      </c>
      <c r="U86" s="54"/>
    </row>
    <row r="87" spans="2:21" ht="17.25" hidden="1" x14ac:dyDescent="0.3">
      <c r="B87" s="16">
        <v>70</v>
      </c>
      <c r="C87" s="68"/>
      <c r="D87" s="71"/>
      <c r="E87" s="72"/>
      <c r="F87" s="74"/>
      <c r="G87" s="68"/>
      <c r="H87" s="68"/>
      <c r="I87" s="68"/>
      <c r="J87" s="68"/>
      <c r="K87" s="16"/>
      <c r="L87" s="16"/>
      <c r="M87" s="341"/>
      <c r="N87" s="17"/>
      <c r="O87" s="17"/>
      <c r="P87" s="17"/>
      <c r="Q87" s="17"/>
      <c r="R87" s="17"/>
      <c r="S87" s="368">
        <v>0</v>
      </c>
      <c r="T87" s="349">
        <f t="shared" si="2"/>
        <v>0</v>
      </c>
      <c r="U87" s="54"/>
    </row>
    <row r="88" spans="2:21" ht="17.25" hidden="1" x14ac:dyDescent="0.3">
      <c r="B88" s="16">
        <v>71</v>
      </c>
      <c r="C88" s="68"/>
      <c r="D88" s="71"/>
      <c r="E88" s="72"/>
      <c r="F88" s="74"/>
      <c r="G88" s="68"/>
      <c r="H88" s="68"/>
      <c r="I88" s="68"/>
      <c r="J88" s="68"/>
      <c r="K88" s="16"/>
      <c r="L88" s="16"/>
      <c r="M88" s="341"/>
      <c r="N88" s="17"/>
      <c r="O88" s="17"/>
      <c r="P88" s="17"/>
      <c r="Q88" s="17"/>
      <c r="R88" s="17"/>
      <c r="S88" s="368">
        <v>0</v>
      </c>
      <c r="T88" s="349">
        <f t="shared" si="2"/>
        <v>0</v>
      </c>
      <c r="U88" s="54"/>
    </row>
    <row r="89" spans="2:21" ht="17.25" hidden="1" x14ac:dyDescent="0.3">
      <c r="B89" s="16">
        <v>72</v>
      </c>
      <c r="C89" s="68"/>
      <c r="D89" s="71"/>
      <c r="E89" s="72"/>
      <c r="F89" s="74"/>
      <c r="G89" s="68"/>
      <c r="H89" s="68"/>
      <c r="I89" s="68"/>
      <c r="J89" s="68"/>
      <c r="K89" s="16"/>
      <c r="L89" s="16"/>
      <c r="M89" s="341"/>
      <c r="N89" s="17"/>
      <c r="O89" s="17"/>
      <c r="P89" s="17"/>
      <c r="Q89" s="17"/>
      <c r="R89" s="17"/>
      <c r="S89" s="368">
        <v>0</v>
      </c>
      <c r="T89" s="349">
        <f t="shared" si="2"/>
        <v>0</v>
      </c>
      <c r="U89" s="54"/>
    </row>
    <row r="90" spans="2:21" ht="17.25" hidden="1" x14ac:dyDescent="0.3">
      <c r="B90" s="16">
        <v>73</v>
      </c>
      <c r="C90" s="68"/>
      <c r="D90" s="71"/>
      <c r="E90" s="72"/>
      <c r="F90" s="74"/>
      <c r="G90" s="68"/>
      <c r="H90" s="68"/>
      <c r="I90" s="68"/>
      <c r="J90" s="68"/>
      <c r="K90" s="16"/>
      <c r="L90" s="16"/>
      <c r="M90" s="341"/>
      <c r="N90" s="17"/>
      <c r="O90" s="17"/>
      <c r="P90" s="17"/>
      <c r="Q90" s="17"/>
      <c r="R90" s="17"/>
      <c r="S90" s="368">
        <v>0</v>
      </c>
      <c r="T90" s="349">
        <f t="shared" si="2"/>
        <v>0</v>
      </c>
      <c r="U90" s="54"/>
    </row>
    <row r="91" spans="2:21" ht="17.25" hidden="1" x14ac:dyDescent="0.3">
      <c r="B91" s="16">
        <v>74</v>
      </c>
      <c r="C91" s="68"/>
      <c r="D91" s="71"/>
      <c r="E91" s="72"/>
      <c r="F91" s="74"/>
      <c r="G91" s="68"/>
      <c r="H91" s="68"/>
      <c r="I91" s="68"/>
      <c r="J91" s="68"/>
      <c r="K91" s="16"/>
      <c r="L91" s="16"/>
      <c r="M91" s="341"/>
      <c r="N91" s="17"/>
      <c r="O91" s="17"/>
      <c r="P91" s="17"/>
      <c r="Q91" s="17"/>
      <c r="R91" s="17"/>
      <c r="S91" s="368">
        <v>0</v>
      </c>
      <c r="T91" s="349">
        <f t="shared" si="2"/>
        <v>0</v>
      </c>
      <c r="U91" s="54"/>
    </row>
    <row r="92" spans="2:21" ht="17.25" hidden="1" x14ac:dyDescent="0.3">
      <c r="B92" s="16">
        <v>75</v>
      </c>
      <c r="C92" s="68"/>
      <c r="D92" s="71"/>
      <c r="E92" s="72"/>
      <c r="F92" s="74"/>
      <c r="G92" s="68"/>
      <c r="H92" s="68"/>
      <c r="I92" s="68"/>
      <c r="J92" s="68"/>
      <c r="K92" s="16"/>
      <c r="L92" s="16"/>
      <c r="M92" s="341"/>
      <c r="N92" s="17"/>
      <c r="O92" s="17"/>
      <c r="P92" s="17"/>
      <c r="Q92" s="17"/>
      <c r="R92" s="17"/>
      <c r="S92" s="368">
        <v>0</v>
      </c>
      <c r="T92" s="349">
        <f t="shared" si="2"/>
        <v>0</v>
      </c>
      <c r="U92" s="54"/>
    </row>
    <row r="93" spans="2:21" ht="17.25" hidden="1" x14ac:dyDescent="0.3">
      <c r="B93" s="16">
        <v>76</v>
      </c>
      <c r="C93" s="68"/>
      <c r="D93" s="71"/>
      <c r="E93" s="72"/>
      <c r="F93" s="74"/>
      <c r="G93" s="68"/>
      <c r="H93" s="68"/>
      <c r="I93" s="68"/>
      <c r="J93" s="68"/>
      <c r="K93" s="16"/>
      <c r="L93" s="16"/>
      <c r="M93" s="341"/>
      <c r="N93" s="17"/>
      <c r="O93" s="17"/>
      <c r="P93" s="17"/>
      <c r="Q93" s="17"/>
      <c r="R93" s="17"/>
      <c r="S93" s="368">
        <v>0</v>
      </c>
      <c r="T93" s="349">
        <f t="shared" si="2"/>
        <v>0</v>
      </c>
      <c r="U93" s="54"/>
    </row>
    <row r="94" spans="2:21" ht="17.25" hidden="1" x14ac:dyDescent="0.3">
      <c r="B94" s="16">
        <v>77</v>
      </c>
      <c r="C94" s="68"/>
      <c r="D94" s="71"/>
      <c r="E94" s="72"/>
      <c r="F94" s="74"/>
      <c r="G94" s="68"/>
      <c r="H94" s="68"/>
      <c r="I94" s="68"/>
      <c r="J94" s="68"/>
      <c r="K94" s="16"/>
      <c r="L94" s="16"/>
      <c r="M94" s="341"/>
      <c r="N94" s="17"/>
      <c r="O94" s="17"/>
      <c r="P94" s="17"/>
      <c r="Q94" s="17"/>
      <c r="R94" s="17"/>
      <c r="S94" s="368">
        <v>0</v>
      </c>
      <c r="T94" s="349">
        <f t="shared" si="2"/>
        <v>0</v>
      </c>
      <c r="U94" s="54"/>
    </row>
    <row r="95" spans="2:21" ht="17.25" hidden="1" x14ac:dyDescent="0.3">
      <c r="B95" s="16">
        <v>78</v>
      </c>
      <c r="C95" s="68"/>
      <c r="D95" s="71"/>
      <c r="E95" s="72"/>
      <c r="F95" s="74"/>
      <c r="G95" s="68"/>
      <c r="H95" s="68"/>
      <c r="I95" s="68"/>
      <c r="J95" s="68"/>
      <c r="K95" s="16"/>
      <c r="L95" s="16"/>
      <c r="M95" s="341"/>
      <c r="N95" s="17"/>
      <c r="O95" s="17"/>
      <c r="P95" s="17"/>
      <c r="Q95" s="17"/>
      <c r="R95" s="17"/>
      <c r="S95" s="368">
        <v>0</v>
      </c>
      <c r="T95" s="349">
        <f t="shared" si="2"/>
        <v>0</v>
      </c>
      <c r="U95" s="54"/>
    </row>
    <row r="96" spans="2:21" ht="17.25" hidden="1" x14ac:dyDescent="0.3">
      <c r="B96" s="16">
        <v>79</v>
      </c>
      <c r="C96" s="68"/>
      <c r="D96" s="71"/>
      <c r="E96" s="72"/>
      <c r="F96" s="74"/>
      <c r="G96" s="68"/>
      <c r="H96" s="68"/>
      <c r="I96" s="68"/>
      <c r="J96" s="68"/>
      <c r="K96" s="16"/>
      <c r="L96" s="16"/>
      <c r="M96" s="341"/>
      <c r="N96" s="17"/>
      <c r="O96" s="17"/>
      <c r="P96" s="17"/>
      <c r="Q96" s="17"/>
      <c r="R96" s="17"/>
      <c r="S96" s="368">
        <v>0</v>
      </c>
      <c r="T96" s="349">
        <f t="shared" si="2"/>
        <v>0</v>
      </c>
      <c r="U96" s="54"/>
    </row>
    <row r="97" spans="2:21" ht="17.25" hidden="1" x14ac:dyDescent="0.3">
      <c r="B97" s="16">
        <v>80</v>
      </c>
      <c r="C97" s="68"/>
      <c r="D97" s="71"/>
      <c r="E97" s="72"/>
      <c r="F97" s="74"/>
      <c r="G97" s="68"/>
      <c r="H97" s="68"/>
      <c r="I97" s="68"/>
      <c r="J97" s="68"/>
      <c r="K97" s="16"/>
      <c r="L97" s="16"/>
      <c r="M97" s="341"/>
      <c r="N97" s="17"/>
      <c r="O97" s="17"/>
      <c r="P97" s="17"/>
      <c r="Q97" s="17"/>
      <c r="R97" s="17"/>
      <c r="S97" s="368">
        <v>0</v>
      </c>
      <c r="T97" s="349">
        <f t="shared" si="2"/>
        <v>0</v>
      </c>
      <c r="U97" s="54"/>
    </row>
    <row r="98" spans="2:21" ht="17.25" hidden="1" x14ac:dyDescent="0.3">
      <c r="B98" s="16">
        <v>81</v>
      </c>
      <c r="C98" s="68"/>
      <c r="D98" s="71"/>
      <c r="E98" s="72"/>
      <c r="F98" s="74"/>
      <c r="G98" s="68"/>
      <c r="H98" s="68"/>
      <c r="I98" s="68"/>
      <c r="J98" s="68"/>
      <c r="K98" s="16"/>
      <c r="L98" s="16"/>
      <c r="M98" s="341"/>
      <c r="N98" s="17"/>
      <c r="O98" s="17"/>
      <c r="P98" s="17"/>
      <c r="Q98" s="17"/>
      <c r="R98" s="17"/>
      <c r="S98" s="368">
        <v>0</v>
      </c>
      <c r="T98" s="349">
        <f t="shared" si="2"/>
        <v>0</v>
      </c>
      <c r="U98" s="54"/>
    </row>
    <row r="99" spans="2:21" ht="17.25" hidden="1" x14ac:dyDescent="0.3">
      <c r="B99" s="16">
        <v>82</v>
      </c>
      <c r="C99" s="68"/>
      <c r="D99" s="71"/>
      <c r="E99" s="72"/>
      <c r="F99" s="74"/>
      <c r="G99" s="68"/>
      <c r="H99" s="68"/>
      <c r="I99" s="68"/>
      <c r="J99" s="68"/>
      <c r="K99" s="16"/>
      <c r="L99" s="16"/>
      <c r="M99" s="341"/>
      <c r="N99" s="17"/>
      <c r="O99" s="17"/>
      <c r="P99" s="17"/>
      <c r="Q99" s="17"/>
      <c r="R99" s="17"/>
      <c r="S99" s="368">
        <v>0</v>
      </c>
      <c r="T99" s="349">
        <f t="shared" si="2"/>
        <v>0</v>
      </c>
      <c r="U99" s="54"/>
    </row>
    <row r="100" spans="2:21" ht="17.25" hidden="1" x14ac:dyDescent="0.3">
      <c r="B100" s="16">
        <v>83</v>
      </c>
      <c r="C100" s="68"/>
      <c r="D100" s="71"/>
      <c r="E100" s="72"/>
      <c r="F100" s="74"/>
      <c r="G100" s="68"/>
      <c r="H100" s="68"/>
      <c r="I100" s="68"/>
      <c r="J100" s="68"/>
      <c r="K100" s="16"/>
      <c r="L100" s="16"/>
      <c r="M100" s="341"/>
      <c r="N100" s="17"/>
      <c r="O100" s="17"/>
      <c r="P100" s="17"/>
      <c r="Q100" s="17"/>
      <c r="R100" s="17"/>
      <c r="S100" s="368">
        <v>0</v>
      </c>
      <c r="T100" s="349">
        <f t="shared" si="2"/>
        <v>0</v>
      </c>
      <c r="U100" s="54"/>
    </row>
    <row r="101" spans="2:21" ht="17.25" hidden="1" x14ac:dyDescent="0.3">
      <c r="B101" s="16">
        <v>84</v>
      </c>
      <c r="C101" s="68"/>
      <c r="D101" s="71"/>
      <c r="E101" s="72"/>
      <c r="F101" s="74"/>
      <c r="G101" s="68"/>
      <c r="H101" s="68"/>
      <c r="I101" s="68"/>
      <c r="J101" s="68"/>
      <c r="K101" s="16"/>
      <c r="L101" s="16"/>
      <c r="M101" s="341"/>
      <c r="N101" s="17"/>
      <c r="O101" s="17"/>
      <c r="P101" s="17"/>
      <c r="Q101" s="17"/>
      <c r="R101" s="17"/>
      <c r="S101" s="368">
        <v>0</v>
      </c>
      <c r="T101" s="349">
        <f t="shared" si="2"/>
        <v>0</v>
      </c>
      <c r="U101" s="54"/>
    </row>
    <row r="102" spans="2:21" ht="17.25" hidden="1" x14ac:dyDescent="0.3">
      <c r="B102" s="16">
        <v>85</v>
      </c>
      <c r="C102" s="68"/>
      <c r="D102" s="71"/>
      <c r="E102" s="72"/>
      <c r="F102" s="74"/>
      <c r="G102" s="68"/>
      <c r="H102" s="68"/>
      <c r="I102" s="68"/>
      <c r="J102" s="68"/>
      <c r="K102" s="16"/>
      <c r="L102" s="16"/>
      <c r="M102" s="341"/>
      <c r="N102" s="17"/>
      <c r="O102" s="17"/>
      <c r="P102" s="17"/>
      <c r="Q102" s="17"/>
      <c r="R102" s="17"/>
      <c r="S102" s="368">
        <v>0</v>
      </c>
      <c r="T102" s="349">
        <f t="shared" si="2"/>
        <v>0</v>
      </c>
      <c r="U102" s="54"/>
    </row>
    <row r="103" spans="2:21" ht="17.25" hidden="1" x14ac:dyDescent="0.3">
      <c r="B103" s="16">
        <v>86</v>
      </c>
      <c r="C103" s="68"/>
      <c r="D103" s="71"/>
      <c r="E103" s="72"/>
      <c r="F103" s="74"/>
      <c r="G103" s="68"/>
      <c r="H103" s="68"/>
      <c r="I103" s="68"/>
      <c r="J103" s="68"/>
      <c r="K103" s="16"/>
      <c r="L103" s="16"/>
      <c r="M103" s="341"/>
      <c r="N103" s="17"/>
      <c r="O103" s="17"/>
      <c r="P103" s="17"/>
      <c r="Q103" s="17"/>
      <c r="R103" s="17"/>
      <c r="S103" s="368">
        <v>0</v>
      </c>
      <c r="T103" s="349">
        <f t="shared" si="2"/>
        <v>0</v>
      </c>
      <c r="U103" s="54"/>
    </row>
    <row r="104" spans="2:21" ht="17.25" hidden="1" x14ac:dyDescent="0.3">
      <c r="B104" s="16">
        <v>87</v>
      </c>
      <c r="C104" s="68"/>
      <c r="D104" s="71"/>
      <c r="E104" s="72"/>
      <c r="F104" s="74"/>
      <c r="G104" s="68"/>
      <c r="H104" s="68"/>
      <c r="I104" s="68"/>
      <c r="J104" s="68"/>
      <c r="K104" s="16"/>
      <c r="L104" s="16"/>
      <c r="M104" s="341"/>
      <c r="N104" s="17"/>
      <c r="O104" s="17"/>
      <c r="P104" s="17"/>
      <c r="Q104" s="17"/>
      <c r="R104" s="17"/>
      <c r="S104" s="368">
        <v>0</v>
      </c>
      <c r="T104" s="349">
        <f t="shared" si="2"/>
        <v>0</v>
      </c>
      <c r="U104" s="54"/>
    </row>
    <row r="105" spans="2:21" ht="17.25" hidden="1" x14ac:dyDescent="0.3">
      <c r="B105" s="16">
        <v>88</v>
      </c>
      <c r="C105" s="68"/>
      <c r="D105" s="71"/>
      <c r="E105" s="72"/>
      <c r="F105" s="74"/>
      <c r="G105" s="68"/>
      <c r="H105" s="68"/>
      <c r="I105" s="68"/>
      <c r="J105" s="68"/>
      <c r="K105" s="16"/>
      <c r="L105" s="16"/>
      <c r="M105" s="341"/>
      <c r="N105" s="17"/>
      <c r="O105" s="17"/>
      <c r="P105" s="17"/>
      <c r="Q105" s="17"/>
      <c r="R105" s="17"/>
      <c r="S105" s="368">
        <v>0</v>
      </c>
      <c r="T105" s="349">
        <f t="shared" si="2"/>
        <v>0</v>
      </c>
      <c r="U105" s="54"/>
    </row>
    <row r="106" spans="2:21" ht="17.25" hidden="1" x14ac:dyDescent="0.3">
      <c r="B106" s="16">
        <v>89</v>
      </c>
      <c r="C106" s="68"/>
      <c r="D106" s="71"/>
      <c r="E106" s="72"/>
      <c r="F106" s="74"/>
      <c r="G106" s="68"/>
      <c r="H106" s="68"/>
      <c r="I106" s="68"/>
      <c r="J106" s="68"/>
      <c r="K106" s="16"/>
      <c r="L106" s="16"/>
      <c r="M106" s="341"/>
      <c r="N106" s="17"/>
      <c r="O106" s="17"/>
      <c r="P106" s="17"/>
      <c r="Q106" s="17"/>
      <c r="R106" s="17"/>
      <c r="S106" s="368">
        <v>0</v>
      </c>
      <c r="T106" s="349">
        <f t="shared" si="2"/>
        <v>0</v>
      </c>
      <c r="U106" s="54"/>
    </row>
    <row r="107" spans="2:21" ht="17.25" hidden="1" x14ac:dyDescent="0.3">
      <c r="B107" s="16">
        <v>90</v>
      </c>
      <c r="C107" s="68"/>
      <c r="D107" s="77"/>
      <c r="E107" s="72"/>
      <c r="F107" s="74"/>
      <c r="G107" s="68"/>
      <c r="H107" s="68"/>
      <c r="I107" s="68"/>
      <c r="J107" s="68"/>
      <c r="K107" s="16"/>
      <c r="L107" s="16"/>
      <c r="M107" s="341"/>
      <c r="N107" s="17"/>
      <c r="O107" s="17"/>
      <c r="P107" s="17"/>
      <c r="Q107" s="17"/>
      <c r="R107" s="17"/>
      <c r="S107" s="368">
        <v>0</v>
      </c>
      <c r="T107" s="349">
        <f t="shared" si="2"/>
        <v>0</v>
      </c>
      <c r="U107" s="54"/>
    </row>
    <row r="108" spans="2:21" ht="17.25" hidden="1" x14ac:dyDescent="0.3">
      <c r="B108" s="16">
        <v>91</v>
      </c>
      <c r="C108" s="68"/>
      <c r="D108" s="71"/>
      <c r="E108" s="72"/>
      <c r="F108" s="74"/>
      <c r="G108" s="68"/>
      <c r="H108" s="68"/>
      <c r="I108" s="68"/>
      <c r="J108" s="68"/>
      <c r="K108" s="16"/>
      <c r="L108" s="16"/>
      <c r="M108" s="341"/>
      <c r="N108" s="17"/>
      <c r="O108" s="17"/>
      <c r="P108" s="17"/>
      <c r="Q108" s="17"/>
      <c r="R108" s="17"/>
      <c r="S108" s="368">
        <v>0</v>
      </c>
      <c r="T108" s="349">
        <f t="shared" si="2"/>
        <v>0</v>
      </c>
      <c r="U108" s="54"/>
    </row>
    <row r="109" spans="2:21" ht="17.25" hidden="1" x14ac:dyDescent="0.3">
      <c r="B109" s="16">
        <v>92</v>
      </c>
      <c r="C109" s="68"/>
      <c r="D109" s="71"/>
      <c r="E109" s="72"/>
      <c r="F109" s="74"/>
      <c r="G109" s="68"/>
      <c r="H109" s="68"/>
      <c r="I109" s="68"/>
      <c r="J109" s="68"/>
      <c r="K109" s="16"/>
      <c r="L109" s="16"/>
      <c r="M109" s="341"/>
      <c r="N109" s="17"/>
      <c r="O109" s="17"/>
      <c r="P109" s="17"/>
      <c r="Q109" s="17"/>
      <c r="R109" s="17"/>
      <c r="S109" s="368">
        <v>0</v>
      </c>
      <c r="T109" s="349">
        <f t="shared" si="2"/>
        <v>0</v>
      </c>
      <c r="U109" s="54"/>
    </row>
    <row r="110" spans="2:21" ht="17.25" hidden="1" x14ac:dyDescent="0.3">
      <c r="B110" s="16">
        <v>93</v>
      </c>
      <c r="C110" s="68"/>
      <c r="D110" s="71"/>
      <c r="E110" s="72"/>
      <c r="F110" s="74"/>
      <c r="G110" s="68"/>
      <c r="H110" s="68"/>
      <c r="I110" s="68"/>
      <c r="J110" s="68"/>
      <c r="K110" s="16"/>
      <c r="L110" s="16"/>
      <c r="M110" s="341"/>
      <c r="N110" s="17"/>
      <c r="O110" s="17"/>
      <c r="P110" s="17"/>
      <c r="Q110" s="17"/>
      <c r="R110" s="17"/>
      <c r="S110" s="368">
        <v>0</v>
      </c>
      <c r="T110" s="349">
        <f t="shared" si="2"/>
        <v>0</v>
      </c>
      <c r="U110" s="54"/>
    </row>
    <row r="111" spans="2:21" ht="17.25" hidden="1" x14ac:dyDescent="0.3">
      <c r="B111" s="16">
        <v>94</v>
      </c>
      <c r="C111" s="68"/>
      <c r="D111" s="75"/>
      <c r="E111" s="72"/>
      <c r="F111" s="74"/>
      <c r="G111" s="68"/>
      <c r="H111" s="68"/>
      <c r="I111" s="68"/>
      <c r="J111" s="68"/>
      <c r="K111" s="16"/>
      <c r="L111" s="16"/>
      <c r="M111" s="341"/>
      <c r="N111" s="17"/>
      <c r="O111" s="17"/>
      <c r="P111" s="17"/>
      <c r="Q111" s="17"/>
      <c r="R111" s="17"/>
      <c r="S111" s="368">
        <v>0</v>
      </c>
      <c r="T111" s="349">
        <f t="shared" si="2"/>
        <v>0</v>
      </c>
      <c r="U111" s="54"/>
    </row>
    <row r="112" spans="2:21" ht="17.25" hidden="1" x14ac:dyDescent="0.3">
      <c r="B112" s="16">
        <v>95</v>
      </c>
      <c r="C112" s="68"/>
      <c r="D112" s="71"/>
      <c r="E112" s="72"/>
      <c r="F112" s="74"/>
      <c r="G112" s="68"/>
      <c r="H112" s="68"/>
      <c r="I112" s="68"/>
      <c r="J112" s="68"/>
      <c r="K112" s="16"/>
      <c r="L112" s="16"/>
      <c r="M112" s="341"/>
      <c r="N112" s="17"/>
      <c r="O112" s="17"/>
      <c r="P112" s="17"/>
      <c r="Q112" s="17"/>
      <c r="R112" s="17"/>
      <c r="S112" s="368">
        <v>0</v>
      </c>
      <c r="T112" s="349">
        <f t="shared" si="2"/>
        <v>0</v>
      </c>
      <c r="U112" s="54"/>
    </row>
    <row r="113" spans="1:21" ht="17.25" hidden="1" x14ac:dyDescent="0.3">
      <c r="B113" s="16">
        <v>96</v>
      </c>
      <c r="C113" s="68"/>
      <c r="D113" s="71"/>
      <c r="E113" s="72"/>
      <c r="F113" s="74"/>
      <c r="G113" s="68"/>
      <c r="H113" s="68"/>
      <c r="I113" s="74"/>
      <c r="J113" s="68"/>
      <c r="K113" s="16"/>
      <c r="L113" s="16"/>
      <c r="M113" s="341"/>
      <c r="N113" s="17"/>
      <c r="O113" s="17"/>
      <c r="P113" s="17"/>
      <c r="Q113" s="17"/>
      <c r="R113" s="17"/>
      <c r="S113" s="368">
        <v>0</v>
      </c>
      <c r="T113" s="349">
        <f t="shared" si="2"/>
        <v>0</v>
      </c>
      <c r="U113" s="54"/>
    </row>
    <row r="114" spans="1:21" ht="17.25" hidden="1" x14ac:dyDescent="0.3">
      <c r="B114" s="16">
        <v>97</v>
      </c>
      <c r="C114" s="68"/>
      <c r="D114" s="71"/>
      <c r="E114" s="72"/>
      <c r="F114" s="74"/>
      <c r="G114" s="68"/>
      <c r="H114" s="68"/>
      <c r="I114" s="74"/>
      <c r="J114" s="68"/>
      <c r="K114" s="16"/>
      <c r="L114" s="16"/>
      <c r="M114" s="341"/>
      <c r="N114" s="17"/>
      <c r="O114" s="17"/>
      <c r="P114" s="17"/>
      <c r="Q114" s="17"/>
      <c r="R114" s="17"/>
      <c r="S114" s="368">
        <v>0</v>
      </c>
      <c r="T114" s="349">
        <f>F114*S114</f>
        <v>0</v>
      </c>
      <c r="U114" s="54"/>
    </row>
    <row r="115" spans="1:21" ht="17.25" hidden="1" x14ac:dyDescent="0.3">
      <c r="B115" s="16">
        <v>98</v>
      </c>
      <c r="C115" s="68"/>
      <c r="D115" s="71"/>
      <c r="E115" s="72"/>
      <c r="F115" s="74"/>
      <c r="G115" s="68"/>
      <c r="H115" s="68"/>
      <c r="I115" s="74"/>
      <c r="J115" s="68"/>
      <c r="K115" s="16"/>
      <c r="L115" s="16"/>
      <c r="M115" s="341"/>
      <c r="N115" s="17"/>
      <c r="O115" s="17"/>
      <c r="P115" s="17"/>
      <c r="Q115" s="17"/>
      <c r="R115" s="17"/>
      <c r="S115" s="368">
        <v>0</v>
      </c>
      <c r="T115" s="349">
        <f>F115*S115</f>
        <v>0</v>
      </c>
      <c r="U115" s="54"/>
    </row>
    <row r="116" spans="1:21" ht="17.25" hidden="1" x14ac:dyDescent="0.3">
      <c r="B116" s="16">
        <v>99</v>
      </c>
      <c r="C116" s="68"/>
      <c r="D116" s="71"/>
      <c r="E116" s="72"/>
      <c r="F116" s="74"/>
      <c r="G116" s="68"/>
      <c r="H116" s="68"/>
      <c r="I116" s="68"/>
      <c r="J116" s="68"/>
      <c r="K116" s="16"/>
      <c r="L116" s="16"/>
      <c r="M116" s="341"/>
      <c r="N116" s="17"/>
      <c r="O116" s="17"/>
      <c r="P116" s="17"/>
      <c r="Q116" s="17"/>
      <c r="R116" s="17"/>
      <c r="S116" s="368">
        <v>0</v>
      </c>
      <c r="T116" s="349">
        <f>F116*S116</f>
        <v>0</v>
      </c>
      <c r="U116" s="54"/>
    </row>
    <row r="117" spans="1:21" ht="17.25" hidden="1" x14ac:dyDescent="0.3">
      <c r="B117" s="16">
        <v>100</v>
      </c>
      <c r="C117" s="78"/>
      <c r="D117" s="79"/>
      <c r="E117" s="80"/>
      <c r="F117" s="74"/>
      <c r="G117" s="68"/>
      <c r="H117" s="68"/>
      <c r="I117" s="68"/>
      <c r="J117" s="68"/>
      <c r="K117" s="16"/>
      <c r="L117" s="16"/>
      <c r="M117" s="341"/>
      <c r="N117" s="17"/>
      <c r="O117" s="17"/>
      <c r="P117" s="17"/>
      <c r="Q117" s="17"/>
      <c r="R117" s="17"/>
      <c r="S117" s="368">
        <v>0</v>
      </c>
      <c r="T117" s="349">
        <f>F117*S117</f>
        <v>0</v>
      </c>
      <c r="U117" s="54"/>
    </row>
    <row r="118" spans="1:21" ht="34.5" hidden="1" x14ac:dyDescent="0.3">
      <c r="C118" s="68"/>
      <c r="D118" s="81" t="s">
        <v>566</v>
      </c>
      <c r="E118" s="72"/>
      <c r="F118" s="74"/>
      <c r="G118" s="68"/>
      <c r="H118" s="68"/>
      <c r="I118" s="68"/>
      <c r="J118" s="68"/>
      <c r="K118" s="16"/>
      <c r="L118" s="16"/>
      <c r="M118" s="341"/>
      <c r="N118" s="17"/>
      <c r="O118" s="17"/>
      <c r="P118" s="17"/>
      <c r="Q118" s="17"/>
      <c r="R118" s="17"/>
      <c r="S118" s="368">
        <v>0</v>
      </c>
      <c r="T118" s="349">
        <f>F118*S118</f>
        <v>0</v>
      </c>
      <c r="U118" s="54"/>
    </row>
    <row r="119" spans="1:21" ht="17.25" x14ac:dyDescent="0.3">
      <c r="B119" s="82"/>
      <c r="C119" s="83"/>
      <c r="D119" s="84"/>
      <c r="E119" s="85"/>
      <c r="F119" s="86"/>
      <c r="G119" s="83"/>
      <c r="H119" s="83"/>
      <c r="I119" s="83"/>
      <c r="J119" s="83"/>
      <c r="K119" s="82"/>
      <c r="L119" s="82"/>
      <c r="M119" s="82"/>
      <c r="N119" s="17"/>
      <c r="O119" s="17"/>
      <c r="P119" s="17"/>
      <c r="Q119" s="17"/>
      <c r="R119" s="17"/>
      <c r="S119" s="83"/>
      <c r="T119" s="83"/>
      <c r="U119" s="87"/>
    </row>
    <row r="120" spans="1:21" ht="41.1" customHeight="1" x14ac:dyDescent="0.3">
      <c r="B120" s="790" t="s">
        <v>570</v>
      </c>
      <c r="C120" s="791"/>
      <c r="D120" s="702" t="s">
        <v>1539</v>
      </c>
      <c r="E120" s="340"/>
      <c r="F120" s="340"/>
      <c r="G120" s="340"/>
      <c r="H120" s="340"/>
      <c r="I120" s="340"/>
      <c r="J120" s="340"/>
      <c r="K120" s="340"/>
      <c r="L120" s="340"/>
      <c r="M120" s="340"/>
      <c r="N120" s="371"/>
      <c r="O120" s="371"/>
      <c r="P120" s="371"/>
      <c r="Q120" s="371"/>
      <c r="R120" s="371"/>
      <c r="S120" s="340"/>
      <c r="T120" s="128"/>
      <c r="U120" s="236">
        <f>SUM(T123:T223)</f>
        <v>151714249.08000001</v>
      </c>
    </row>
    <row r="121" spans="1:21" ht="50.45" customHeight="1" x14ac:dyDescent="0.3">
      <c r="B121" s="789" t="s">
        <v>35</v>
      </c>
      <c r="C121" s="789" t="s">
        <v>42</v>
      </c>
      <c r="D121" s="789" t="s">
        <v>44</v>
      </c>
      <c r="E121" s="766" t="s">
        <v>100</v>
      </c>
      <c r="F121" s="769" t="s">
        <v>49</v>
      </c>
      <c r="G121" s="769" t="s">
        <v>559</v>
      </c>
      <c r="H121" s="769" t="s">
        <v>468</v>
      </c>
      <c r="I121" s="766" t="s">
        <v>560</v>
      </c>
      <c r="J121" s="766" t="s">
        <v>424</v>
      </c>
      <c r="K121" s="766" t="s">
        <v>45</v>
      </c>
      <c r="L121" s="766"/>
      <c r="M121" s="795" t="s">
        <v>97</v>
      </c>
      <c r="N121" s="779" t="s">
        <v>705</v>
      </c>
      <c r="O121" s="780"/>
      <c r="P121" s="780"/>
      <c r="Q121" s="780"/>
      <c r="R121" s="780"/>
      <c r="S121" s="793" t="s">
        <v>51</v>
      </c>
      <c r="T121" s="799" t="s">
        <v>422</v>
      </c>
      <c r="U121" s="54"/>
    </row>
    <row r="122" spans="1:21" ht="38.1" customHeight="1" x14ac:dyDescent="0.3">
      <c r="B122" s="789"/>
      <c r="C122" s="789"/>
      <c r="D122" s="789"/>
      <c r="E122" s="766"/>
      <c r="F122" s="770"/>
      <c r="G122" s="770"/>
      <c r="H122" s="770"/>
      <c r="I122" s="766"/>
      <c r="J122" s="766"/>
      <c r="K122" s="132" t="s">
        <v>172</v>
      </c>
      <c r="L122" s="132" t="s">
        <v>101</v>
      </c>
      <c r="M122" s="795"/>
      <c r="N122" s="369" t="s">
        <v>700</v>
      </c>
      <c r="O122" s="369" t="s">
        <v>726</v>
      </c>
      <c r="P122" s="369" t="s">
        <v>702</v>
      </c>
      <c r="Q122" s="369" t="s">
        <v>703</v>
      </c>
      <c r="R122" s="369" t="s">
        <v>704</v>
      </c>
      <c r="S122" s="794"/>
      <c r="T122" s="799"/>
      <c r="U122" s="54"/>
    </row>
    <row r="123" spans="1:21" s="33" customFormat="1" ht="86.25" x14ac:dyDescent="0.3">
      <c r="A123" s="67"/>
      <c r="B123" s="16">
        <v>1</v>
      </c>
      <c r="C123" s="68" t="s">
        <v>795</v>
      </c>
      <c r="D123" s="69" t="s">
        <v>788</v>
      </c>
      <c r="E123" s="68" t="s">
        <v>789</v>
      </c>
      <c r="F123" s="68">
        <v>1</v>
      </c>
      <c r="G123" s="68" t="s">
        <v>718</v>
      </c>
      <c r="H123" s="68" t="s">
        <v>782</v>
      </c>
      <c r="I123" s="68" t="s">
        <v>790</v>
      </c>
      <c r="J123" s="68" t="s">
        <v>728</v>
      </c>
      <c r="K123" s="68">
        <v>6.8137369999999997</v>
      </c>
      <c r="L123" s="68">
        <v>9.0431570000000008</v>
      </c>
      <c r="M123" s="409" t="s">
        <v>813</v>
      </c>
      <c r="N123" s="17">
        <v>0</v>
      </c>
      <c r="O123" s="17">
        <v>0</v>
      </c>
      <c r="P123" s="17">
        <v>0</v>
      </c>
      <c r="Q123" s="17">
        <v>6</v>
      </c>
      <c r="R123" s="17">
        <v>0</v>
      </c>
      <c r="S123" s="368">
        <v>25285708.18</v>
      </c>
      <c r="T123" s="350">
        <f t="shared" ref="T123:T154" si="3">F123*S123</f>
        <v>25285708.18</v>
      </c>
      <c r="U123" s="67"/>
    </row>
    <row r="124" spans="1:21" ht="86.25" x14ac:dyDescent="0.3">
      <c r="B124" s="16">
        <v>2</v>
      </c>
      <c r="C124" s="68" t="s">
        <v>798</v>
      </c>
      <c r="D124" s="69" t="s">
        <v>793</v>
      </c>
      <c r="E124" s="72" t="s">
        <v>794</v>
      </c>
      <c r="F124" s="68">
        <v>1</v>
      </c>
      <c r="G124" s="68" t="s">
        <v>717</v>
      </c>
      <c r="H124" s="68" t="s">
        <v>782</v>
      </c>
      <c r="I124" s="68" t="s">
        <v>790</v>
      </c>
      <c r="J124" s="68" t="s">
        <v>728</v>
      </c>
      <c r="K124" s="415">
        <v>7.0824769999999999</v>
      </c>
      <c r="L124" s="415">
        <v>9.0179489999999998</v>
      </c>
      <c r="M124" s="409" t="s">
        <v>813</v>
      </c>
      <c r="N124" s="17">
        <v>0</v>
      </c>
      <c r="O124" s="17">
        <v>0</v>
      </c>
      <c r="P124" s="17">
        <v>0</v>
      </c>
      <c r="Q124" s="17">
        <v>6</v>
      </c>
      <c r="R124" s="17">
        <v>0</v>
      </c>
      <c r="S124" s="368">
        <v>25285708.18</v>
      </c>
      <c r="T124" s="350">
        <f t="shared" si="3"/>
        <v>25285708.18</v>
      </c>
      <c r="U124" s="88"/>
    </row>
    <row r="125" spans="1:21" ht="86.25" x14ac:dyDescent="0.3">
      <c r="B125" s="16">
        <v>3</v>
      </c>
      <c r="C125" s="68" t="s">
        <v>799</v>
      </c>
      <c r="D125" s="641" t="s">
        <v>796</v>
      </c>
      <c r="E125" s="72" t="s">
        <v>781</v>
      </c>
      <c r="F125" s="68">
        <v>1</v>
      </c>
      <c r="G125" s="68" t="s">
        <v>717</v>
      </c>
      <c r="H125" s="68" t="s">
        <v>797</v>
      </c>
      <c r="I125" s="68" t="s">
        <v>790</v>
      </c>
      <c r="J125" s="68" t="s">
        <v>728</v>
      </c>
      <c r="K125" s="416">
        <v>7.7075760000000004</v>
      </c>
      <c r="L125" s="416">
        <v>8.532451</v>
      </c>
      <c r="M125" s="409" t="s">
        <v>813</v>
      </c>
      <c r="N125" s="17">
        <v>0</v>
      </c>
      <c r="O125" s="17">
        <v>0</v>
      </c>
      <c r="P125" s="17">
        <v>0</v>
      </c>
      <c r="Q125" s="17">
        <v>6</v>
      </c>
      <c r="R125" s="17">
        <v>0</v>
      </c>
      <c r="S125" s="368">
        <v>25285708.18</v>
      </c>
      <c r="T125" s="350">
        <f t="shared" si="3"/>
        <v>25285708.18</v>
      </c>
      <c r="U125" s="88"/>
    </row>
    <row r="126" spans="1:21" ht="86.25" x14ac:dyDescent="0.3">
      <c r="B126" s="16">
        <v>4</v>
      </c>
      <c r="C126" s="68" t="s">
        <v>802</v>
      </c>
      <c r="D126" s="433" t="s">
        <v>862</v>
      </c>
      <c r="E126" s="72" t="s">
        <v>863</v>
      </c>
      <c r="F126" s="92">
        <v>1</v>
      </c>
      <c r="G126" s="434" t="s">
        <v>716</v>
      </c>
      <c r="H126" s="434" t="s">
        <v>782</v>
      </c>
      <c r="I126" s="434" t="s">
        <v>790</v>
      </c>
      <c r="J126" s="434" t="s">
        <v>728</v>
      </c>
      <c r="K126" s="216" t="s">
        <v>864</v>
      </c>
      <c r="L126" s="415" t="s">
        <v>865</v>
      </c>
      <c r="M126" s="409" t="s">
        <v>813</v>
      </c>
      <c r="N126" s="17">
        <v>0</v>
      </c>
      <c r="O126" s="17">
        <v>0</v>
      </c>
      <c r="P126" s="17">
        <v>0</v>
      </c>
      <c r="Q126" s="17">
        <v>6</v>
      </c>
      <c r="R126" s="17">
        <v>0</v>
      </c>
      <c r="S126" s="368">
        <v>25285708.18</v>
      </c>
      <c r="T126" s="350">
        <f t="shared" si="3"/>
        <v>25285708.18</v>
      </c>
      <c r="U126" s="88"/>
    </row>
    <row r="127" spans="1:21" ht="86.25" x14ac:dyDescent="0.3">
      <c r="B127" s="16">
        <v>5</v>
      </c>
      <c r="C127" s="68" t="s">
        <v>1188</v>
      </c>
      <c r="D127" s="645" t="s">
        <v>800</v>
      </c>
      <c r="E127" s="459" t="s">
        <v>801</v>
      </c>
      <c r="F127" s="421">
        <v>1</v>
      </c>
      <c r="G127" s="68" t="s">
        <v>718</v>
      </c>
      <c r="H127" s="68" t="s">
        <v>782</v>
      </c>
      <c r="I127" s="68" t="s">
        <v>790</v>
      </c>
      <c r="J127" s="68" t="s">
        <v>728</v>
      </c>
      <c r="K127" s="415">
        <v>7.0109399999999997</v>
      </c>
      <c r="L127" s="415">
        <v>7.8510200000000001</v>
      </c>
      <c r="M127" s="409" t="s">
        <v>813</v>
      </c>
      <c r="N127" s="17">
        <v>0</v>
      </c>
      <c r="O127" s="17">
        <v>0</v>
      </c>
      <c r="P127" s="17">
        <v>0</v>
      </c>
      <c r="Q127" s="17">
        <v>6</v>
      </c>
      <c r="R127" s="17">
        <v>0</v>
      </c>
      <c r="S127" s="368">
        <v>25285708.18</v>
      </c>
      <c r="T127" s="350">
        <f t="shared" si="3"/>
        <v>25285708.18</v>
      </c>
      <c r="U127" s="54"/>
    </row>
    <row r="128" spans="1:21" ht="86.25" x14ac:dyDescent="0.3">
      <c r="B128" s="16">
        <v>6</v>
      </c>
      <c r="C128" s="68" t="s">
        <v>1189</v>
      </c>
      <c r="D128" s="645" t="s">
        <v>803</v>
      </c>
      <c r="E128" s="459" t="s">
        <v>804</v>
      </c>
      <c r="F128" s="421">
        <v>1</v>
      </c>
      <c r="G128" s="68" t="s">
        <v>716</v>
      </c>
      <c r="H128" s="68" t="s">
        <v>797</v>
      </c>
      <c r="I128" s="68" t="s">
        <v>790</v>
      </c>
      <c r="J128" s="68" t="s">
        <v>728</v>
      </c>
      <c r="K128" s="415">
        <v>7.1899100000000002</v>
      </c>
      <c r="L128" s="415">
        <v>8.3689099999999996</v>
      </c>
      <c r="M128" s="409" t="s">
        <v>813</v>
      </c>
      <c r="N128" s="17">
        <v>0</v>
      </c>
      <c r="O128" s="17">
        <v>0</v>
      </c>
      <c r="P128" s="17">
        <v>0</v>
      </c>
      <c r="Q128" s="17">
        <v>6</v>
      </c>
      <c r="R128" s="17">
        <v>0</v>
      </c>
      <c r="S128" s="368">
        <v>25285708.18</v>
      </c>
      <c r="T128" s="350">
        <f t="shared" si="3"/>
        <v>25285708.18</v>
      </c>
      <c r="U128" s="54"/>
    </row>
    <row r="129" spans="2:21" ht="17.25" hidden="1" x14ac:dyDescent="0.3">
      <c r="B129" s="16">
        <v>7</v>
      </c>
      <c r="C129" s="90"/>
      <c r="D129" s="95"/>
      <c r="E129" s="96"/>
      <c r="F129" s="93"/>
      <c r="G129" s="68"/>
      <c r="H129" s="68"/>
      <c r="I129" s="74"/>
      <c r="J129" s="68"/>
      <c r="K129" s="415"/>
      <c r="L129" s="415"/>
      <c r="M129" s="367"/>
      <c r="N129" s="17"/>
      <c r="O129" s="17"/>
      <c r="P129" s="17"/>
      <c r="Q129" s="17"/>
      <c r="R129" s="17"/>
      <c r="S129" s="368">
        <v>0</v>
      </c>
      <c r="T129" s="350">
        <f t="shared" si="3"/>
        <v>0</v>
      </c>
      <c r="U129" s="54"/>
    </row>
    <row r="130" spans="2:21" ht="17.25" hidden="1" x14ac:dyDescent="0.3">
      <c r="B130" s="16">
        <v>8</v>
      </c>
      <c r="C130" s="90"/>
      <c r="D130" s="91"/>
      <c r="E130" s="96"/>
      <c r="F130" s="93"/>
      <c r="G130" s="68"/>
      <c r="H130" s="68"/>
      <c r="I130" s="74"/>
      <c r="J130" s="68"/>
      <c r="K130" s="415"/>
      <c r="L130" s="415"/>
      <c r="M130" s="367"/>
      <c r="N130" s="17"/>
      <c r="O130" s="17"/>
      <c r="P130" s="17"/>
      <c r="Q130" s="17"/>
      <c r="R130" s="17"/>
      <c r="S130" s="368">
        <v>0</v>
      </c>
      <c r="T130" s="350">
        <f t="shared" si="3"/>
        <v>0</v>
      </c>
      <c r="U130" s="54"/>
    </row>
    <row r="131" spans="2:21" ht="17.25" hidden="1" x14ac:dyDescent="0.3">
      <c r="B131" s="16">
        <v>9</v>
      </c>
      <c r="C131" s="90"/>
      <c r="D131" s="98"/>
      <c r="E131" s="96"/>
      <c r="F131" s="93"/>
      <c r="G131" s="68"/>
      <c r="H131" s="68"/>
      <c r="I131" s="93"/>
      <c r="J131" s="68"/>
      <c r="K131" s="415"/>
      <c r="L131" s="415"/>
      <c r="M131" s="367"/>
      <c r="N131" s="17"/>
      <c r="O131" s="17"/>
      <c r="P131" s="17"/>
      <c r="Q131" s="17"/>
      <c r="R131" s="17"/>
      <c r="S131" s="368">
        <v>0</v>
      </c>
      <c r="T131" s="350">
        <f t="shared" si="3"/>
        <v>0</v>
      </c>
      <c r="U131" s="54"/>
    </row>
    <row r="132" spans="2:21" ht="17.25" hidden="1" x14ac:dyDescent="0.3">
      <c r="B132" s="16">
        <v>10</v>
      </c>
      <c r="C132" s="90"/>
      <c r="D132" s="98"/>
      <c r="E132" s="96"/>
      <c r="F132" s="93"/>
      <c r="G132" s="68"/>
      <c r="H132" s="68"/>
      <c r="I132" s="93"/>
      <c r="J132" s="68"/>
      <c r="K132" s="415"/>
      <c r="L132" s="415"/>
      <c r="M132" s="367"/>
      <c r="N132" s="17"/>
      <c r="O132" s="17"/>
      <c r="P132" s="17"/>
      <c r="Q132" s="17"/>
      <c r="R132" s="17"/>
      <c r="S132" s="368">
        <v>0</v>
      </c>
      <c r="T132" s="350">
        <f t="shared" si="3"/>
        <v>0</v>
      </c>
      <c r="U132" s="54"/>
    </row>
    <row r="133" spans="2:21" ht="17.25" hidden="1" x14ac:dyDescent="0.3">
      <c r="B133" s="16">
        <v>11</v>
      </c>
      <c r="C133" s="90"/>
      <c r="D133" s="98"/>
      <c r="E133" s="96"/>
      <c r="F133" s="93"/>
      <c r="G133" s="68"/>
      <c r="H133" s="68"/>
      <c r="I133" s="93"/>
      <c r="J133" s="68"/>
      <c r="K133" s="415"/>
      <c r="L133" s="415"/>
      <c r="M133" s="367"/>
      <c r="N133" s="17"/>
      <c r="O133" s="17"/>
      <c r="P133" s="17"/>
      <c r="Q133" s="17"/>
      <c r="R133" s="17"/>
      <c r="S133" s="368">
        <v>0</v>
      </c>
      <c r="T133" s="350">
        <f t="shared" si="3"/>
        <v>0</v>
      </c>
      <c r="U133" s="54"/>
    </row>
    <row r="134" spans="2:21" ht="17.25" hidden="1" x14ac:dyDescent="0.3">
      <c r="B134" s="16">
        <v>12</v>
      </c>
      <c r="C134" s="90"/>
      <c r="D134" s="98"/>
      <c r="E134" s="96"/>
      <c r="F134" s="93"/>
      <c r="G134" s="68"/>
      <c r="H134" s="68"/>
      <c r="I134" s="93"/>
      <c r="J134" s="68"/>
      <c r="K134" s="415"/>
      <c r="L134" s="415"/>
      <c r="M134" s="367"/>
      <c r="N134" s="17"/>
      <c r="O134" s="17"/>
      <c r="P134" s="17"/>
      <c r="Q134" s="17"/>
      <c r="R134" s="17"/>
      <c r="S134" s="368">
        <v>0</v>
      </c>
      <c r="T134" s="350">
        <f t="shared" si="3"/>
        <v>0</v>
      </c>
      <c r="U134" s="54"/>
    </row>
    <row r="135" spans="2:21" ht="17.25" hidden="1" x14ac:dyDescent="0.3">
      <c r="B135" s="16">
        <v>13</v>
      </c>
      <c r="C135" s="90"/>
      <c r="D135" s="98"/>
      <c r="E135" s="96"/>
      <c r="F135" s="93"/>
      <c r="G135" s="68"/>
      <c r="H135" s="68"/>
      <c r="I135" s="93"/>
      <c r="J135" s="68"/>
      <c r="K135" s="415"/>
      <c r="L135" s="415"/>
      <c r="M135" s="367"/>
      <c r="N135" s="17"/>
      <c r="O135" s="17"/>
      <c r="P135" s="17"/>
      <c r="Q135" s="17"/>
      <c r="R135" s="17"/>
      <c r="S135" s="368">
        <v>0</v>
      </c>
      <c r="T135" s="350">
        <f t="shared" si="3"/>
        <v>0</v>
      </c>
      <c r="U135" s="54"/>
    </row>
    <row r="136" spans="2:21" ht="17.25" hidden="1" x14ac:dyDescent="0.3">
      <c r="B136" s="16">
        <v>14</v>
      </c>
      <c r="C136" s="90"/>
      <c r="D136" s="98"/>
      <c r="E136" s="96"/>
      <c r="F136" s="93"/>
      <c r="G136" s="68"/>
      <c r="H136" s="68"/>
      <c r="I136" s="93"/>
      <c r="J136" s="68"/>
      <c r="K136" s="415"/>
      <c r="L136" s="415"/>
      <c r="M136" s="367"/>
      <c r="N136" s="17"/>
      <c r="O136" s="17"/>
      <c r="P136" s="17"/>
      <c r="Q136" s="17"/>
      <c r="R136" s="17"/>
      <c r="S136" s="368">
        <v>0</v>
      </c>
      <c r="T136" s="350">
        <f t="shared" si="3"/>
        <v>0</v>
      </c>
      <c r="U136" s="54"/>
    </row>
    <row r="137" spans="2:21" ht="17.25" hidden="1" x14ac:dyDescent="0.3">
      <c r="B137" s="16">
        <v>15</v>
      </c>
      <c r="C137" s="90"/>
      <c r="D137" s="98"/>
      <c r="E137" s="96"/>
      <c r="F137" s="93"/>
      <c r="G137" s="68"/>
      <c r="H137" s="68"/>
      <c r="I137" s="93"/>
      <c r="J137" s="68"/>
      <c r="K137" s="415"/>
      <c r="L137" s="415"/>
      <c r="M137" s="367"/>
      <c r="N137" s="17"/>
      <c r="O137" s="17"/>
      <c r="P137" s="17"/>
      <c r="Q137" s="17"/>
      <c r="R137" s="17"/>
      <c r="S137" s="368">
        <v>0</v>
      </c>
      <c r="T137" s="350">
        <f t="shared" si="3"/>
        <v>0</v>
      </c>
      <c r="U137" s="54"/>
    </row>
    <row r="138" spans="2:21" ht="17.25" hidden="1" x14ac:dyDescent="0.3">
      <c r="B138" s="16">
        <v>16</v>
      </c>
      <c r="C138" s="90"/>
      <c r="D138" s="98"/>
      <c r="E138" s="96"/>
      <c r="F138" s="93"/>
      <c r="G138" s="68"/>
      <c r="H138" s="68"/>
      <c r="I138" s="93"/>
      <c r="J138" s="68"/>
      <c r="K138" s="415"/>
      <c r="L138" s="415"/>
      <c r="M138" s="367"/>
      <c r="N138" s="17"/>
      <c r="O138" s="17"/>
      <c r="P138" s="17"/>
      <c r="Q138" s="17"/>
      <c r="R138" s="17"/>
      <c r="S138" s="368">
        <v>0</v>
      </c>
      <c r="T138" s="350">
        <f t="shared" si="3"/>
        <v>0</v>
      </c>
      <c r="U138" s="54"/>
    </row>
    <row r="139" spans="2:21" ht="17.25" hidden="1" x14ac:dyDescent="0.3">
      <c r="B139" s="16">
        <v>17</v>
      </c>
      <c r="C139" s="90"/>
      <c r="D139" s="98"/>
      <c r="E139" s="96"/>
      <c r="F139" s="93"/>
      <c r="G139" s="68"/>
      <c r="H139" s="68"/>
      <c r="I139" s="93"/>
      <c r="J139" s="68"/>
      <c r="K139" s="415"/>
      <c r="L139" s="415"/>
      <c r="M139" s="367"/>
      <c r="N139" s="17"/>
      <c r="O139" s="17"/>
      <c r="P139" s="17"/>
      <c r="Q139" s="17"/>
      <c r="R139" s="17"/>
      <c r="S139" s="368">
        <v>0</v>
      </c>
      <c r="T139" s="350">
        <f t="shared" si="3"/>
        <v>0</v>
      </c>
      <c r="U139" s="54"/>
    </row>
    <row r="140" spans="2:21" ht="17.25" hidden="1" x14ac:dyDescent="0.3">
      <c r="B140" s="16">
        <v>18</v>
      </c>
      <c r="C140" s="90"/>
      <c r="D140" s="98"/>
      <c r="E140" s="96"/>
      <c r="F140" s="93"/>
      <c r="G140" s="68"/>
      <c r="H140" s="68"/>
      <c r="I140" s="93"/>
      <c r="J140" s="68"/>
      <c r="K140" s="415"/>
      <c r="L140" s="415"/>
      <c r="M140" s="367"/>
      <c r="N140" s="17"/>
      <c r="O140" s="17"/>
      <c r="P140" s="17"/>
      <c r="Q140" s="17"/>
      <c r="R140" s="17"/>
      <c r="S140" s="368">
        <v>0</v>
      </c>
      <c r="T140" s="350">
        <f t="shared" si="3"/>
        <v>0</v>
      </c>
      <c r="U140" s="54"/>
    </row>
    <row r="141" spans="2:21" ht="17.25" hidden="1" x14ac:dyDescent="0.3">
      <c r="B141" s="16">
        <v>19</v>
      </c>
      <c r="C141" s="90"/>
      <c r="D141" s="98"/>
      <c r="E141" s="96"/>
      <c r="F141" s="93"/>
      <c r="G141" s="68"/>
      <c r="H141" s="68"/>
      <c r="I141" s="93"/>
      <c r="J141" s="68"/>
      <c r="K141" s="415"/>
      <c r="L141" s="415"/>
      <c r="M141" s="367"/>
      <c r="N141" s="17"/>
      <c r="O141" s="17"/>
      <c r="P141" s="17"/>
      <c r="Q141" s="17"/>
      <c r="R141" s="17"/>
      <c r="S141" s="368">
        <v>0</v>
      </c>
      <c r="T141" s="350">
        <f t="shared" si="3"/>
        <v>0</v>
      </c>
      <c r="U141" s="54"/>
    </row>
    <row r="142" spans="2:21" ht="17.25" hidden="1" x14ac:dyDescent="0.3">
      <c r="B142" s="16">
        <v>20</v>
      </c>
      <c r="C142" s="90"/>
      <c r="D142" s="98"/>
      <c r="E142" s="96"/>
      <c r="F142" s="93"/>
      <c r="G142" s="68"/>
      <c r="H142" s="68"/>
      <c r="I142" s="93"/>
      <c r="J142" s="68"/>
      <c r="K142" s="415"/>
      <c r="L142" s="415"/>
      <c r="M142" s="367"/>
      <c r="N142" s="17"/>
      <c r="O142" s="17"/>
      <c r="P142" s="17"/>
      <c r="Q142" s="17"/>
      <c r="R142" s="17"/>
      <c r="S142" s="368">
        <v>0</v>
      </c>
      <c r="T142" s="350">
        <f t="shared" si="3"/>
        <v>0</v>
      </c>
      <c r="U142" s="54"/>
    </row>
    <row r="143" spans="2:21" ht="17.25" hidden="1" x14ac:dyDescent="0.3">
      <c r="B143" s="16">
        <v>21</v>
      </c>
      <c r="C143" s="90"/>
      <c r="D143" s="98"/>
      <c r="E143" s="96"/>
      <c r="F143" s="93"/>
      <c r="G143" s="68"/>
      <c r="H143" s="68"/>
      <c r="I143" s="93"/>
      <c r="J143" s="68"/>
      <c r="K143" s="415"/>
      <c r="L143" s="415"/>
      <c r="M143" s="367"/>
      <c r="N143" s="17"/>
      <c r="O143" s="17"/>
      <c r="P143" s="17"/>
      <c r="Q143" s="17"/>
      <c r="R143" s="17"/>
      <c r="S143" s="368">
        <v>0</v>
      </c>
      <c r="T143" s="350">
        <f t="shared" si="3"/>
        <v>0</v>
      </c>
      <c r="U143" s="54"/>
    </row>
    <row r="144" spans="2:21" ht="17.25" hidden="1" x14ac:dyDescent="0.3">
      <c r="B144" s="16">
        <v>22</v>
      </c>
      <c r="C144" s="90"/>
      <c r="D144" s="98"/>
      <c r="E144" s="96"/>
      <c r="F144" s="93"/>
      <c r="G144" s="68"/>
      <c r="H144" s="68"/>
      <c r="I144" s="93"/>
      <c r="J144" s="68"/>
      <c r="K144" s="415"/>
      <c r="L144" s="415"/>
      <c r="M144" s="367"/>
      <c r="N144" s="17"/>
      <c r="O144" s="17"/>
      <c r="P144" s="17"/>
      <c r="Q144" s="17"/>
      <c r="R144" s="17"/>
      <c r="S144" s="368">
        <v>0</v>
      </c>
      <c r="T144" s="350">
        <f t="shared" si="3"/>
        <v>0</v>
      </c>
      <c r="U144" s="54"/>
    </row>
    <row r="145" spans="2:21" ht="17.25" hidden="1" x14ac:dyDescent="0.3">
      <c r="B145" s="16">
        <v>23</v>
      </c>
      <c r="C145" s="90"/>
      <c r="D145" s="98"/>
      <c r="E145" s="96"/>
      <c r="F145" s="93"/>
      <c r="G145" s="68"/>
      <c r="H145" s="68"/>
      <c r="I145" s="93"/>
      <c r="J145" s="68"/>
      <c r="K145" s="415"/>
      <c r="L145" s="415"/>
      <c r="M145" s="367"/>
      <c r="N145" s="17"/>
      <c r="O145" s="17"/>
      <c r="P145" s="17"/>
      <c r="Q145" s="17"/>
      <c r="R145" s="17"/>
      <c r="S145" s="368">
        <v>0</v>
      </c>
      <c r="T145" s="350">
        <f t="shared" si="3"/>
        <v>0</v>
      </c>
      <c r="U145" s="54"/>
    </row>
    <row r="146" spans="2:21" ht="17.25" hidden="1" x14ac:dyDescent="0.3">
      <c r="B146" s="16">
        <v>24</v>
      </c>
      <c r="C146" s="90"/>
      <c r="D146" s="98"/>
      <c r="E146" s="96"/>
      <c r="F146" s="93"/>
      <c r="G146" s="68"/>
      <c r="H146" s="68"/>
      <c r="I146" s="93"/>
      <c r="J146" s="68"/>
      <c r="K146" s="415"/>
      <c r="L146" s="415"/>
      <c r="M146" s="367"/>
      <c r="N146" s="17"/>
      <c r="O146" s="17"/>
      <c r="P146" s="17"/>
      <c r="Q146" s="17"/>
      <c r="R146" s="17"/>
      <c r="S146" s="368">
        <v>0</v>
      </c>
      <c r="T146" s="350">
        <f t="shared" si="3"/>
        <v>0</v>
      </c>
      <c r="U146" s="54"/>
    </row>
    <row r="147" spans="2:21" ht="17.25" hidden="1" x14ac:dyDescent="0.3">
      <c r="B147" s="16">
        <v>25</v>
      </c>
      <c r="C147" s="90"/>
      <c r="D147" s="98"/>
      <c r="E147" s="96"/>
      <c r="F147" s="93"/>
      <c r="G147" s="68"/>
      <c r="H147" s="68"/>
      <c r="I147" s="93"/>
      <c r="J147" s="68"/>
      <c r="K147" s="415"/>
      <c r="L147" s="415"/>
      <c r="M147" s="367"/>
      <c r="N147" s="17"/>
      <c r="O147" s="17"/>
      <c r="P147" s="17"/>
      <c r="Q147" s="17"/>
      <c r="R147" s="17"/>
      <c r="S147" s="368">
        <v>0</v>
      </c>
      <c r="T147" s="350">
        <f t="shared" si="3"/>
        <v>0</v>
      </c>
      <c r="U147" s="54"/>
    </row>
    <row r="148" spans="2:21" ht="17.25" hidden="1" x14ac:dyDescent="0.3">
      <c r="B148" s="16">
        <v>26</v>
      </c>
      <c r="C148" s="90"/>
      <c r="D148" s="98"/>
      <c r="E148" s="96"/>
      <c r="F148" s="93"/>
      <c r="G148" s="68"/>
      <c r="H148" s="68"/>
      <c r="I148" s="93"/>
      <c r="J148" s="68"/>
      <c r="K148" s="415"/>
      <c r="L148" s="415"/>
      <c r="M148" s="367"/>
      <c r="N148" s="17"/>
      <c r="O148" s="17"/>
      <c r="P148" s="17"/>
      <c r="Q148" s="17"/>
      <c r="R148" s="17"/>
      <c r="S148" s="368">
        <v>0</v>
      </c>
      <c r="T148" s="350">
        <f t="shared" si="3"/>
        <v>0</v>
      </c>
      <c r="U148" s="54"/>
    </row>
    <row r="149" spans="2:21" ht="17.25" hidden="1" x14ac:dyDescent="0.3">
      <c r="B149" s="16">
        <v>27</v>
      </c>
      <c r="C149" s="90"/>
      <c r="D149" s="98"/>
      <c r="E149" s="96"/>
      <c r="F149" s="93"/>
      <c r="G149" s="68"/>
      <c r="H149" s="68"/>
      <c r="I149" s="93"/>
      <c r="J149" s="68"/>
      <c r="K149" s="415"/>
      <c r="L149" s="415"/>
      <c r="M149" s="367"/>
      <c r="N149" s="17"/>
      <c r="O149" s="17"/>
      <c r="P149" s="17"/>
      <c r="Q149" s="17"/>
      <c r="R149" s="17"/>
      <c r="S149" s="368">
        <v>0</v>
      </c>
      <c r="T149" s="350">
        <f t="shared" si="3"/>
        <v>0</v>
      </c>
      <c r="U149" s="54"/>
    </row>
    <row r="150" spans="2:21" ht="17.25" hidden="1" x14ac:dyDescent="0.3">
      <c r="B150" s="16">
        <v>28</v>
      </c>
      <c r="C150" s="90"/>
      <c r="D150" s="98"/>
      <c r="E150" s="96"/>
      <c r="F150" s="93"/>
      <c r="G150" s="68"/>
      <c r="H150" s="68"/>
      <c r="I150" s="93"/>
      <c r="J150" s="68"/>
      <c r="K150" s="415"/>
      <c r="L150" s="415"/>
      <c r="M150" s="367"/>
      <c r="N150" s="17"/>
      <c r="O150" s="17"/>
      <c r="P150" s="17"/>
      <c r="Q150" s="17"/>
      <c r="R150" s="17"/>
      <c r="S150" s="368">
        <v>0</v>
      </c>
      <c r="T150" s="350">
        <f t="shared" si="3"/>
        <v>0</v>
      </c>
      <c r="U150" s="54"/>
    </row>
    <row r="151" spans="2:21" ht="17.25" hidden="1" x14ac:dyDescent="0.3">
      <c r="B151" s="16">
        <v>29</v>
      </c>
      <c r="C151" s="90"/>
      <c r="D151" s="98"/>
      <c r="E151" s="96"/>
      <c r="F151" s="93"/>
      <c r="G151" s="68"/>
      <c r="H151" s="68"/>
      <c r="I151" s="93"/>
      <c r="J151" s="68"/>
      <c r="K151" s="415"/>
      <c r="L151" s="415"/>
      <c r="M151" s="367"/>
      <c r="N151" s="17"/>
      <c r="O151" s="17"/>
      <c r="P151" s="17"/>
      <c r="Q151" s="17"/>
      <c r="R151" s="17"/>
      <c r="S151" s="368">
        <v>0</v>
      </c>
      <c r="T151" s="350">
        <f t="shared" si="3"/>
        <v>0</v>
      </c>
      <c r="U151" s="54"/>
    </row>
    <row r="152" spans="2:21" ht="17.25" hidden="1" x14ac:dyDescent="0.3">
      <c r="B152" s="16">
        <v>30</v>
      </c>
      <c r="C152" s="90"/>
      <c r="D152" s="98"/>
      <c r="E152" s="96"/>
      <c r="F152" s="93"/>
      <c r="G152" s="68"/>
      <c r="H152" s="68"/>
      <c r="I152" s="93"/>
      <c r="J152" s="68"/>
      <c r="K152" s="415"/>
      <c r="L152" s="415"/>
      <c r="M152" s="367"/>
      <c r="N152" s="17"/>
      <c r="O152" s="17"/>
      <c r="P152" s="17"/>
      <c r="Q152" s="17"/>
      <c r="R152" s="17"/>
      <c r="S152" s="368">
        <v>0</v>
      </c>
      <c r="T152" s="350">
        <f t="shared" si="3"/>
        <v>0</v>
      </c>
      <c r="U152" s="54"/>
    </row>
    <row r="153" spans="2:21" ht="17.25" hidden="1" x14ac:dyDescent="0.3">
      <c r="B153" s="16">
        <v>31</v>
      </c>
      <c r="C153" s="90"/>
      <c r="D153" s="98"/>
      <c r="E153" s="96"/>
      <c r="F153" s="93"/>
      <c r="G153" s="68"/>
      <c r="H153" s="68"/>
      <c r="I153" s="93"/>
      <c r="J153" s="68"/>
      <c r="K153" s="415"/>
      <c r="L153" s="415"/>
      <c r="M153" s="367"/>
      <c r="N153" s="17"/>
      <c r="O153" s="17"/>
      <c r="P153" s="17"/>
      <c r="Q153" s="17"/>
      <c r="R153" s="17"/>
      <c r="S153" s="368">
        <v>0</v>
      </c>
      <c r="T153" s="350">
        <f t="shared" si="3"/>
        <v>0</v>
      </c>
      <c r="U153" s="54"/>
    </row>
    <row r="154" spans="2:21" ht="17.25" hidden="1" x14ac:dyDescent="0.3">
      <c r="B154" s="16">
        <v>32</v>
      </c>
      <c r="C154" s="90"/>
      <c r="D154" s="98"/>
      <c r="E154" s="96"/>
      <c r="F154" s="93"/>
      <c r="G154" s="68"/>
      <c r="H154" s="68"/>
      <c r="I154" s="93"/>
      <c r="J154" s="68"/>
      <c r="K154" s="415"/>
      <c r="L154" s="415"/>
      <c r="M154" s="367"/>
      <c r="N154" s="17"/>
      <c r="O154" s="17"/>
      <c r="P154" s="17"/>
      <c r="Q154" s="17"/>
      <c r="R154" s="17"/>
      <c r="S154" s="368">
        <v>0</v>
      </c>
      <c r="T154" s="350">
        <f t="shared" si="3"/>
        <v>0</v>
      </c>
      <c r="U154" s="54"/>
    </row>
    <row r="155" spans="2:21" ht="17.25" hidden="1" x14ac:dyDescent="0.3">
      <c r="B155" s="16">
        <v>33</v>
      </c>
      <c r="C155" s="90"/>
      <c r="D155" s="98"/>
      <c r="E155" s="96"/>
      <c r="F155" s="93"/>
      <c r="G155" s="68"/>
      <c r="H155" s="68"/>
      <c r="I155" s="93"/>
      <c r="J155" s="68"/>
      <c r="K155" s="415"/>
      <c r="L155" s="415"/>
      <c r="M155" s="367"/>
      <c r="N155" s="17"/>
      <c r="O155" s="17"/>
      <c r="P155" s="17"/>
      <c r="Q155" s="17"/>
      <c r="R155" s="17"/>
      <c r="S155" s="368">
        <v>0</v>
      </c>
      <c r="T155" s="350">
        <f t="shared" ref="T155:T186" si="4">F155*S155</f>
        <v>0</v>
      </c>
      <c r="U155" s="54"/>
    </row>
    <row r="156" spans="2:21" ht="17.25" hidden="1" x14ac:dyDescent="0.3">
      <c r="B156" s="16">
        <v>34</v>
      </c>
      <c r="C156" s="90"/>
      <c r="D156" s="98"/>
      <c r="E156" s="96"/>
      <c r="F156" s="93"/>
      <c r="G156" s="68"/>
      <c r="H156" s="68"/>
      <c r="I156" s="93"/>
      <c r="J156" s="68"/>
      <c r="K156" s="415"/>
      <c r="L156" s="415"/>
      <c r="M156" s="367"/>
      <c r="N156" s="17"/>
      <c r="O156" s="17"/>
      <c r="P156" s="17"/>
      <c r="Q156" s="17"/>
      <c r="R156" s="17"/>
      <c r="S156" s="368">
        <v>0</v>
      </c>
      <c r="T156" s="350">
        <f t="shared" si="4"/>
        <v>0</v>
      </c>
      <c r="U156" s="54"/>
    </row>
    <row r="157" spans="2:21" ht="17.25" hidden="1" x14ac:dyDescent="0.3">
      <c r="B157" s="16">
        <v>35</v>
      </c>
      <c r="C157" s="90"/>
      <c r="D157" s="98"/>
      <c r="E157" s="96"/>
      <c r="F157" s="93"/>
      <c r="G157" s="68"/>
      <c r="H157" s="68"/>
      <c r="I157" s="93"/>
      <c r="J157" s="68"/>
      <c r="K157" s="415"/>
      <c r="L157" s="415"/>
      <c r="M157" s="367"/>
      <c r="N157" s="17"/>
      <c r="O157" s="17"/>
      <c r="P157" s="17"/>
      <c r="Q157" s="17"/>
      <c r="R157" s="17"/>
      <c r="S157" s="368">
        <v>0</v>
      </c>
      <c r="T157" s="350">
        <f t="shared" si="4"/>
        <v>0</v>
      </c>
      <c r="U157" s="54"/>
    </row>
    <row r="158" spans="2:21" ht="17.25" hidden="1" x14ac:dyDescent="0.3">
      <c r="B158" s="16">
        <v>36</v>
      </c>
      <c r="C158" s="90"/>
      <c r="D158" s="98"/>
      <c r="E158" s="96"/>
      <c r="F158" s="93"/>
      <c r="G158" s="68"/>
      <c r="H158" s="68"/>
      <c r="I158" s="93"/>
      <c r="J158" s="68"/>
      <c r="K158" s="415"/>
      <c r="L158" s="415"/>
      <c r="M158" s="367"/>
      <c r="N158" s="17"/>
      <c r="O158" s="17"/>
      <c r="P158" s="17"/>
      <c r="Q158" s="17"/>
      <c r="R158" s="17"/>
      <c r="S158" s="368">
        <v>0</v>
      </c>
      <c r="T158" s="350">
        <f t="shared" si="4"/>
        <v>0</v>
      </c>
      <c r="U158" s="54"/>
    </row>
    <row r="159" spans="2:21" ht="17.25" hidden="1" x14ac:dyDescent="0.3">
      <c r="B159" s="16">
        <v>37</v>
      </c>
      <c r="C159" s="90"/>
      <c r="D159" s="98"/>
      <c r="E159" s="96"/>
      <c r="F159" s="93"/>
      <c r="G159" s="68"/>
      <c r="H159" s="68"/>
      <c r="I159" s="93"/>
      <c r="J159" s="68"/>
      <c r="K159" s="415"/>
      <c r="L159" s="415"/>
      <c r="M159" s="367"/>
      <c r="N159" s="17"/>
      <c r="O159" s="17"/>
      <c r="P159" s="17"/>
      <c r="Q159" s="17"/>
      <c r="R159" s="17"/>
      <c r="S159" s="368">
        <v>0</v>
      </c>
      <c r="T159" s="350">
        <f t="shared" si="4"/>
        <v>0</v>
      </c>
      <c r="U159" s="54"/>
    </row>
    <row r="160" spans="2:21" ht="17.25" hidden="1" x14ac:dyDescent="0.3">
      <c r="B160" s="16">
        <v>38</v>
      </c>
      <c r="C160" s="90"/>
      <c r="D160" s="98"/>
      <c r="E160" s="96"/>
      <c r="F160" s="93"/>
      <c r="G160" s="68"/>
      <c r="H160" s="68"/>
      <c r="I160" s="93"/>
      <c r="J160" s="68"/>
      <c r="K160" s="415"/>
      <c r="L160" s="415"/>
      <c r="M160" s="367"/>
      <c r="N160" s="17"/>
      <c r="O160" s="17"/>
      <c r="P160" s="17"/>
      <c r="Q160" s="17"/>
      <c r="R160" s="17"/>
      <c r="S160" s="368">
        <v>0</v>
      </c>
      <c r="T160" s="350">
        <f t="shared" si="4"/>
        <v>0</v>
      </c>
      <c r="U160" s="54"/>
    </row>
    <row r="161" spans="2:21" ht="17.25" hidden="1" x14ac:dyDescent="0.3">
      <c r="B161" s="16">
        <v>39</v>
      </c>
      <c r="C161" s="90"/>
      <c r="D161" s="98"/>
      <c r="E161" s="96"/>
      <c r="F161" s="93"/>
      <c r="G161" s="68"/>
      <c r="H161" s="68"/>
      <c r="I161" s="93"/>
      <c r="J161" s="68"/>
      <c r="K161" s="415"/>
      <c r="L161" s="415"/>
      <c r="M161" s="367"/>
      <c r="N161" s="17"/>
      <c r="O161" s="17"/>
      <c r="P161" s="17"/>
      <c r="Q161" s="17"/>
      <c r="R161" s="17"/>
      <c r="S161" s="368">
        <v>0</v>
      </c>
      <c r="T161" s="350">
        <f t="shared" si="4"/>
        <v>0</v>
      </c>
      <c r="U161" s="54"/>
    </row>
    <row r="162" spans="2:21" ht="17.25" hidden="1" x14ac:dyDescent="0.3">
      <c r="B162" s="16">
        <v>40</v>
      </c>
      <c r="C162" s="90"/>
      <c r="D162" s="98"/>
      <c r="E162" s="96"/>
      <c r="F162" s="93"/>
      <c r="G162" s="68"/>
      <c r="H162" s="68"/>
      <c r="I162" s="93"/>
      <c r="J162" s="68"/>
      <c r="K162" s="415"/>
      <c r="L162" s="415"/>
      <c r="M162" s="367"/>
      <c r="N162" s="17"/>
      <c r="O162" s="17"/>
      <c r="P162" s="17"/>
      <c r="Q162" s="17"/>
      <c r="R162" s="17"/>
      <c r="S162" s="368">
        <v>0</v>
      </c>
      <c r="T162" s="350">
        <f t="shared" si="4"/>
        <v>0</v>
      </c>
      <c r="U162" s="54"/>
    </row>
    <row r="163" spans="2:21" ht="17.25" hidden="1" x14ac:dyDescent="0.3">
      <c r="B163" s="16">
        <v>41</v>
      </c>
      <c r="C163" s="90"/>
      <c r="D163" s="98"/>
      <c r="E163" s="96"/>
      <c r="F163" s="93"/>
      <c r="G163" s="68"/>
      <c r="H163" s="68"/>
      <c r="I163" s="93"/>
      <c r="J163" s="68"/>
      <c r="K163" s="415"/>
      <c r="L163" s="415"/>
      <c r="M163" s="367"/>
      <c r="N163" s="17"/>
      <c r="O163" s="17"/>
      <c r="P163" s="17"/>
      <c r="Q163" s="17"/>
      <c r="R163" s="17"/>
      <c r="S163" s="368">
        <v>0</v>
      </c>
      <c r="T163" s="350">
        <f t="shared" si="4"/>
        <v>0</v>
      </c>
      <c r="U163" s="54"/>
    </row>
    <row r="164" spans="2:21" ht="17.25" hidden="1" x14ac:dyDescent="0.3">
      <c r="B164" s="16">
        <v>42</v>
      </c>
      <c r="C164" s="90"/>
      <c r="D164" s="98"/>
      <c r="E164" s="96"/>
      <c r="F164" s="93"/>
      <c r="G164" s="68"/>
      <c r="H164" s="68"/>
      <c r="I164" s="93"/>
      <c r="J164" s="68"/>
      <c r="K164" s="415"/>
      <c r="L164" s="415"/>
      <c r="M164" s="367"/>
      <c r="N164" s="17"/>
      <c r="O164" s="17"/>
      <c r="P164" s="17"/>
      <c r="Q164" s="17"/>
      <c r="R164" s="17"/>
      <c r="S164" s="368">
        <v>0</v>
      </c>
      <c r="T164" s="350">
        <f t="shared" si="4"/>
        <v>0</v>
      </c>
      <c r="U164" s="54"/>
    </row>
    <row r="165" spans="2:21" ht="17.25" hidden="1" x14ac:dyDescent="0.3">
      <c r="B165" s="16">
        <v>43</v>
      </c>
      <c r="C165" s="90"/>
      <c r="D165" s="98"/>
      <c r="E165" s="96"/>
      <c r="F165" s="93"/>
      <c r="G165" s="68"/>
      <c r="H165" s="68"/>
      <c r="I165" s="93"/>
      <c r="J165" s="68"/>
      <c r="K165" s="415"/>
      <c r="L165" s="415"/>
      <c r="M165" s="367"/>
      <c r="N165" s="17"/>
      <c r="O165" s="17"/>
      <c r="P165" s="17"/>
      <c r="Q165" s="17"/>
      <c r="R165" s="17"/>
      <c r="S165" s="368">
        <v>0</v>
      </c>
      <c r="T165" s="350">
        <f t="shared" si="4"/>
        <v>0</v>
      </c>
      <c r="U165" s="54"/>
    </row>
    <row r="166" spans="2:21" ht="17.25" hidden="1" x14ac:dyDescent="0.3">
      <c r="B166" s="16">
        <v>44</v>
      </c>
      <c r="C166" s="90"/>
      <c r="D166" s="98"/>
      <c r="E166" s="96"/>
      <c r="F166" s="93"/>
      <c r="G166" s="68"/>
      <c r="H166" s="68"/>
      <c r="I166" s="93"/>
      <c r="J166" s="68"/>
      <c r="K166" s="415"/>
      <c r="L166" s="415"/>
      <c r="M166" s="367"/>
      <c r="N166" s="17"/>
      <c r="O166" s="17"/>
      <c r="P166" s="17"/>
      <c r="Q166" s="17"/>
      <c r="R166" s="17"/>
      <c r="S166" s="368">
        <v>0</v>
      </c>
      <c r="T166" s="350">
        <f t="shared" si="4"/>
        <v>0</v>
      </c>
      <c r="U166" s="54"/>
    </row>
    <row r="167" spans="2:21" ht="17.25" hidden="1" x14ac:dyDescent="0.3">
      <c r="B167" s="16">
        <v>45</v>
      </c>
      <c r="C167" s="90"/>
      <c r="D167" s="98"/>
      <c r="E167" s="96"/>
      <c r="F167" s="93"/>
      <c r="G167" s="68"/>
      <c r="H167" s="68"/>
      <c r="I167" s="93"/>
      <c r="J167" s="68"/>
      <c r="K167" s="415"/>
      <c r="L167" s="415"/>
      <c r="M167" s="367"/>
      <c r="N167" s="17"/>
      <c r="O167" s="17"/>
      <c r="P167" s="17"/>
      <c r="Q167" s="17"/>
      <c r="R167" s="17"/>
      <c r="S167" s="368">
        <v>0</v>
      </c>
      <c r="T167" s="350">
        <f t="shared" si="4"/>
        <v>0</v>
      </c>
      <c r="U167" s="54"/>
    </row>
    <row r="168" spans="2:21" ht="17.25" hidden="1" x14ac:dyDescent="0.3">
      <c r="B168" s="16">
        <v>46</v>
      </c>
      <c r="C168" s="90"/>
      <c r="D168" s="98"/>
      <c r="E168" s="96"/>
      <c r="F168" s="93"/>
      <c r="G168" s="68"/>
      <c r="H168" s="68"/>
      <c r="I168" s="93"/>
      <c r="J168" s="68"/>
      <c r="K168" s="415"/>
      <c r="L168" s="415"/>
      <c r="M168" s="367"/>
      <c r="N168" s="17"/>
      <c r="O168" s="17"/>
      <c r="P168" s="17"/>
      <c r="Q168" s="17"/>
      <c r="R168" s="17"/>
      <c r="S168" s="368">
        <v>0</v>
      </c>
      <c r="T168" s="350">
        <f t="shared" si="4"/>
        <v>0</v>
      </c>
      <c r="U168" s="54"/>
    </row>
    <row r="169" spans="2:21" ht="17.25" hidden="1" x14ac:dyDescent="0.3">
      <c r="B169" s="16">
        <v>47</v>
      </c>
      <c r="C169" s="90"/>
      <c r="D169" s="98"/>
      <c r="E169" s="96"/>
      <c r="F169" s="93"/>
      <c r="G169" s="68"/>
      <c r="H169" s="68"/>
      <c r="I169" s="93"/>
      <c r="J169" s="68"/>
      <c r="K169" s="415"/>
      <c r="L169" s="415"/>
      <c r="M169" s="367"/>
      <c r="N169" s="17"/>
      <c r="O169" s="17"/>
      <c r="P169" s="17"/>
      <c r="Q169" s="17"/>
      <c r="R169" s="17"/>
      <c r="S169" s="368">
        <v>0</v>
      </c>
      <c r="T169" s="350">
        <f t="shared" si="4"/>
        <v>0</v>
      </c>
      <c r="U169" s="54"/>
    </row>
    <row r="170" spans="2:21" ht="17.25" hidden="1" x14ac:dyDescent="0.3">
      <c r="B170" s="16">
        <v>48</v>
      </c>
      <c r="C170" s="90"/>
      <c r="D170" s="98"/>
      <c r="E170" s="96"/>
      <c r="F170" s="93"/>
      <c r="G170" s="68"/>
      <c r="H170" s="68"/>
      <c r="I170" s="93"/>
      <c r="J170" s="68"/>
      <c r="K170" s="415"/>
      <c r="L170" s="415"/>
      <c r="M170" s="367"/>
      <c r="N170" s="17"/>
      <c r="O170" s="17"/>
      <c r="P170" s="17"/>
      <c r="Q170" s="17"/>
      <c r="R170" s="17"/>
      <c r="S170" s="368">
        <v>0</v>
      </c>
      <c r="T170" s="350">
        <f t="shared" si="4"/>
        <v>0</v>
      </c>
      <c r="U170" s="54"/>
    </row>
    <row r="171" spans="2:21" ht="17.25" hidden="1" x14ac:dyDescent="0.3">
      <c r="B171" s="16">
        <v>49</v>
      </c>
      <c r="C171" s="90"/>
      <c r="D171" s="98"/>
      <c r="E171" s="96"/>
      <c r="F171" s="93"/>
      <c r="G171" s="68"/>
      <c r="H171" s="68"/>
      <c r="I171" s="93"/>
      <c r="J171" s="68"/>
      <c r="K171" s="415"/>
      <c r="L171" s="415"/>
      <c r="M171" s="367"/>
      <c r="N171" s="17"/>
      <c r="O171" s="17"/>
      <c r="P171" s="17"/>
      <c r="Q171" s="17"/>
      <c r="R171" s="17"/>
      <c r="S171" s="368">
        <v>0</v>
      </c>
      <c r="T171" s="350">
        <f t="shared" si="4"/>
        <v>0</v>
      </c>
      <c r="U171" s="54"/>
    </row>
    <row r="172" spans="2:21" ht="17.25" hidden="1" x14ac:dyDescent="0.3">
      <c r="B172" s="16">
        <v>50</v>
      </c>
      <c r="C172" s="90"/>
      <c r="D172" s="98"/>
      <c r="E172" s="96"/>
      <c r="F172" s="93"/>
      <c r="G172" s="68"/>
      <c r="H172" s="68"/>
      <c r="I172" s="93"/>
      <c r="J172" s="68"/>
      <c r="K172" s="415"/>
      <c r="L172" s="415"/>
      <c r="M172" s="367"/>
      <c r="N172" s="17"/>
      <c r="O172" s="17"/>
      <c r="P172" s="17"/>
      <c r="Q172" s="17"/>
      <c r="R172" s="17"/>
      <c r="S172" s="368">
        <v>0</v>
      </c>
      <c r="T172" s="350">
        <f t="shared" si="4"/>
        <v>0</v>
      </c>
      <c r="U172" s="54"/>
    </row>
    <row r="173" spans="2:21" ht="17.25" hidden="1" x14ac:dyDescent="0.3">
      <c r="B173" s="16">
        <v>51</v>
      </c>
      <c r="C173" s="90"/>
      <c r="D173" s="98"/>
      <c r="E173" s="96"/>
      <c r="F173" s="93"/>
      <c r="G173" s="68"/>
      <c r="H173" s="68"/>
      <c r="I173" s="93"/>
      <c r="J173" s="68"/>
      <c r="K173" s="415"/>
      <c r="L173" s="415"/>
      <c r="M173" s="367"/>
      <c r="N173" s="17"/>
      <c r="O173" s="17"/>
      <c r="P173" s="17"/>
      <c r="Q173" s="17"/>
      <c r="R173" s="17"/>
      <c r="S173" s="368">
        <v>0</v>
      </c>
      <c r="T173" s="350">
        <f t="shared" si="4"/>
        <v>0</v>
      </c>
      <c r="U173" s="54"/>
    </row>
    <row r="174" spans="2:21" ht="17.25" hidden="1" x14ac:dyDescent="0.3">
      <c r="B174" s="16">
        <v>52</v>
      </c>
      <c r="C174" s="90"/>
      <c r="D174" s="98"/>
      <c r="E174" s="96"/>
      <c r="F174" s="93"/>
      <c r="G174" s="68"/>
      <c r="H174" s="68"/>
      <c r="I174" s="93"/>
      <c r="J174" s="68"/>
      <c r="K174" s="415"/>
      <c r="L174" s="415"/>
      <c r="M174" s="367"/>
      <c r="N174" s="17"/>
      <c r="O174" s="17"/>
      <c r="P174" s="17"/>
      <c r="Q174" s="17"/>
      <c r="R174" s="17"/>
      <c r="S174" s="368">
        <v>0</v>
      </c>
      <c r="T174" s="350">
        <f t="shared" si="4"/>
        <v>0</v>
      </c>
      <c r="U174" s="54"/>
    </row>
    <row r="175" spans="2:21" ht="17.25" hidden="1" x14ac:dyDescent="0.3">
      <c r="B175" s="16">
        <v>53</v>
      </c>
      <c r="C175" s="90"/>
      <c r="D175" s="98"/>
      <c r="E175" s="96"/>
      <c r="F175" s="93"/>
      <c r="G175" s="68"/>
      <c r="H175" s="68"/>
      <c r="I175" s="93"/>
      <c r="J175" s="68"/>
      <c r="K175" s="415"/>
      <c r="L175" s="415"/>
      <c r="M175" s="367"/>
      <c r="N175" s="17"/>
      <c r="O175" s="17"/>
      <c r="P175" s="17"/>
      <c r="Q175" s="17"/>
      <c r="R175" s="17"/>
      <c r="S175" s="368">
        <v>0</v>
      </c>
      <c r="T175" s="350">
        <f t="shared" si="4"/>
        <v>0</v>
      </c>
      <c r="U175" s="54"/>
    </row>
    <row r="176" spans="2:21" ht="17.25" hidden="1" x14ac:dyDescent="0.3">
      <c r="B176" s="16">
        <v>54</v>
      </c>
      <c r="C176" s="90"/>
      <c r="D176" s="98"/>
      <c r="E176" s="96"/>
      <c r="F176" s="93"/>
      <c r="G176" s="68"/>
      <c r="H176" s="68"/>
      <c r="I176" s="93"/>
      <c r="J176" s="68"/>
      <c r="K176" s="415"/>
      <c r="L176" s="415"/>
      <c r="M176" s="367"/>
      <c r="N176" s="17"/>
      <c r="O176" s="17"/>
      <c r="P176" s="17"/>
      <c r="Q176" s="17"/>
      <c r="R176" s="17"/>
      <c r="S176" s="368">
        <v>0</v>
      </c>
      <c r="T176" s="350">
        <f t="shared" si="4"/>
        <v>0</v>
      </c>
      <c r="U176" s="54"/>
    </row>
    <row r="177" spans="2:21" ht="17.25" hidden="1" x14ac:dyDescent="0.3">
      <c r="B177" s="16">
        <v>55</v>
      </c>
      <c r="C177" s="90"/>
      <c r="D177" s="98"/>
      <c r="E177" s="96"/>
      <c r="F177" s="93"/>
      <c r="G177" s="68"/>
      <c r="H177" s="68"/>
      <c r="I177" s="93"/>
      <c r="J177" s="68"/>
      <c r="K177" s="415"/>
      <c r="L177" s="415"/>
      <c r="M177" s="367"/>
      <c r="N177" s="17"/>
      <c r="O177" s="17"/>
      <c r="P177" s="17"/>
      <c r="Q177" s="17"/>
      <c r="R177" s="17"/>
      <c r="S177" s="368">
        <v>0</v>
      </c>
      <c r="T177" s="350">
        <f t="shared" si="4"/>
        <v>0</v>
      </c>
      <c r="U177" s="54"/>
    </row>
    <row r="178" spans="2:21" ht="17.25" hidden="1" x14ac:dyDescent="0.3">
      <c r="B178" s="16">
        <v>56</v>
      </c>
      <c r="C178" s="90"/>
      <c r="D178" s="98"/>
      <c r="E178" s="96"/>
      <c r="F178" s="93"/>
      <c r="G178" s="68"/>
      <c r="H178" s="68"/>
      <c r="I178" s="93"/>
      <c r="J178" s="68"/>
      <c r="K178" s="415"/>
      <c r="L178" s="415"/>
      <c r="M178" s="367"/>
      <c r="N178" s="17"/>
      <c r="O178" s="17"/>
      <c r="P178" s="17"/>
      <c r="Q178" s="17"/>
      <c r="R178" s="17"/>
      <c r="S178" s="368">
        <v>0</v>
      </c>
      <c r="T178" s="350">
        <f t="shared" si="4"/>
        <v>0</v>
      </c>
      <c r="U178" s="54"/>
    </row>
    <row r="179" spans="2:21" ht="17.25" hidden="1" x14ac:dyDescent="0.3">
      <c r="B179" s="16">
        <v>57</v>
      </c>
      <c r="C179" s="90"/>
      <c r="D179" s="98"/>
      <c r="E179" s="96"/>
      <c r="F179" s="93"/>
      <c r="G179" s="68"/>
      <c r="H179" s="68"/>
      <c r="I179" s="93"/>
      <c r="J179" s="68"/>
      <c r="K179" s="415"/>
      <c r="L179" s="415"/>
      <c r="M179" s="367"/>
      <c r="N179" s="17"/>
      <c r="O179" s="17"/>
      <c r="P179" s="17"/>
      <c r="Q179" s="17"/>
      <c r="R179" s="17"/>
      <c r="S179" s="368">
        <v>0</v>
      </c>
      <c r="T179" s="350">
        <f t="shared" si="4"/>
        <v>0</v>
      </c>
      <c r="U179" s="54"/>
    </row>
    <row r="180" spans="2:21" ht="17.25" hidden="1" x14ac:dyDescent="0.3">
      <c r="B180" s="16">
        <v>58</v>
      </c>
      <c r="C180" s="90"/>
      <c r="D180" s="98"/>
      <c r="E180" s="96"/>
      <c r="F180" s="93"/>
      <c r="G180" s="68"/>
      <c r="H180" s="68"/>
      <c r="I180" s="93"/>
      <c r="J180" s="68"/>
      <c r="K180" s="415"/>
      <c r="L180" s="415"/>
      <c r="M180" s="367"/>
      <c r="N180" s="17"/>
      <c r="O180" s="17"/>
      <c r="P180" s="17"/>
      <c r="Q180" s="17"/>
      <c r="R180" s="17"/>
      <c r="S180" s="368">
        <v>0</v>
      </c>
      <c r="T180" s="350">
        <f t="shared" si="4"/>
        <v>0</v>
      </c>
      <c r="U180" s="54"/>
    </row>
    <row r="181" spans="2:21" ht="17.25" hidden="1" x14ac:dyDescent="0.3">
      <c r="B181" s="16">
        <v>59</v>
      </c>
      <c r="C181" s="90"/>
      <c r="D181" s="98"/>
      <c r="E181" s="96"/>
      <c r="F181" s="93"/>
      <c r="G181" s="68"/>
      <c r="H181" s="68"/>
      <c r="I181" s="93"/>
      <c r="J181" s="68"/>
      <c r="K181" s="415"/>
      <c r="L181" s="415"/>
      <c r="M181" s="367"/>
      <c r="N181" s="17"/>
      <c r="O181" s="17"/>
      <c r="P181" s="17"/>
      <c r="Q181" s="17"/>
      <c r="R181" s="17"/>
      <c r="S181" s="368">
        <v>0</v>
      </c>
      <c r="T181" s="350">
        <f t="shared" si="4"/>
        <v>0</v>
      </c>
      <c r="U181" s="54"/>
    </row>
    <row r="182" spans="2:21" ht="17.25" hidden="1" x14ac:dyDescent="0.3">
      <c r="B182" s="16">
        <v>60</v>
      </c>
      <c r="C182" s="90"/>
      <c r="D182" s="98"/>
      <c r="E182" s="96"/>
      <c r="F182" s="93"/>
      <c r="G182" s="68"/>
      <c r="H182" s="68"/>
      <c r="I182" s="93"/>
      <c r="J182" s="68"/>
      <c r="K182" s="415"/>
      <c r="L182" s="415"/>
      <c r="M182" s="367"/>
      <c r="N182" s="17"/>
      <c r="O182" s="17"/>
      <c r="P182" s="17"/>
      <c r="Q182" s="17"/>
      <c r="R182" s="17"/>
      <c r="S182" s="368">
        <v>0</v>
      </c>
      <c r="T182" s="350">
        <f t="shared" si="4"/>
        <v>0</v>
      </c>
      <c r="U182" s="54"/>
    </row>
    <row r="183" spans="2:21" ht="17.25" hidden="1" x14ac:dyDescent="0.3">
      <c r="B183" s="16">
        <v>61</v>
      </c>
      <c r="C183" s="90"/>
      <c r="D183" s="98"/>
      <c r="E183" s="96"/>
      <c r="F183" s="93"/>
      <c r="G183" s="68"/>
      <c r="H183" s="68"/>
      <c r="I183" s="93"/>
      <c r="J183" s="68"/>
      <c r="K183" s="415"/>
      <c r="L183" s="415"/>
      <c r="M183" s="367"/>
      <c r="N183" s="17"/>
      <c r="O183" s="17"/>
      <c r="P183" s="17"/>
      <c r="Q183" s="17"/>
      <c r="R183" s="17"/>
      <c r="S183" s="368">
        <v>0</v>
      </c>
      <c r="T183" s="350">
        <f t="shared" si="4"/>
        <v>0</v>
      </c>
      <c r="U183" s="54"/>
    </row>
    <row r="184" spans="2:21" ht="17.25" hidden="1" x14ac:dyDescent="0.3">
      <c r="B184" s="16">
        <v>62</v>
      </c>
      <c r="C184" s="90"/>
      <c r="D184" s="98"/>
      <c r="E184" s="96"/>
      <c r="F184" s="93"/>
      <c r="G184" s="68"/>
      <c r="H184" s="68"/>
      <c r="I184" s="93"/>
      <c r="J184" s="68"/>
      <c r="K184" s="415"/>
      <c r="L184" s="415"/>
      <c r="M184" s="367"/>
      <c r="N184" s="17"/>
      <c r="O184" s="17"/>
      <c r="P184" s="17"/>
      <c r="Q184" s="17"/>
      <c r="R184" s="17"/>
      <c r="S184" s="368">
        <v>0</v>
      </c>
      <c r="T184" s="350">
        <f t="shared" si="4"/>
        <v>0</v>
      </c>
      <c r="U184" s="54"/>
    </row>
    <row r="185" spans="2:21" ht="17.25" hidden="1" x14ac:dyDescent="0.3">
      <c r="B185" s="16">
        <v>63</v>
      </c>
      <c r="C185" s="90"/>
      <c r="D185" s="98"/>
      <c r="E185" s="96"/>
      <c r="F185" s="93"/>
      <c r="G185" s="68"/>
      <c r="H185" s="68"/>
      <c r="I185" s="93"/>
      <c r="J185" s="68"/>
      <c r="K185" s="415"/>
      <c r="L185" s="415"/>
      <c r="M185" s="367"/>
      <c r="N185" s="17"/>
      <c r="O185" s="17"/>
      <c r="P185" s="17"/>
      <c r="Q185" s="17"/>
      <c r="R185" s="17"/>
      <c r="S185" s="368">
        <v>0</v>
      </c>
      <c r="T185" s="350">
        <f t="shared" si="4"/>
        <v>0</v>
      </c>
      <c r="U185" s="54"/>
    </row>
    <row r="186" spans="2:21" ht="17.25" hidden="1" x14ac:dyDescent="0.3">
      <c r="B186" s="16">
        <v>64</v>
      </c>
      <c r="C186" s="90"/>
      <c r="D186" s="98"/>
      <c r="E186" s="96"/>
      <c r="F186" s="93"/>
      <c r="G186" s="68"/>
      <c r="H186" s="68"/>
      <c r="I186" s="93"/>
      <c r="J186" s="68"/>
      <c r="K186" s="415"/>
      <c r="L186" s="415"/>
      <c r="M186" s="367"/>
      <c r="N186" s="17"/>
      <c r="O186" s="17"/>
      <c r="P186" s="17"/>
      <c r="Q186" s="17"/>
      <c r="R186" s="17"/>
      <c r="S186" s="368">
        <v>0</v>
      </c>
      <c r="T186" s="350">
        <f t="shared" si="4"/>
        <v>0</v>
      </c>
      <c r="U186" s="54"/>
    </row>
    <row r="187" spans="2:21" ht="17.25" hidden="1" x14ac:dyDescent="0.3">
      <c r="B187" s="16">
        <v>65</v>
      </c>
      <c r="C187" s="90"/>
      <c r="D187" s="98"/>
      <c r="E187" s="96"/>
      <c r="F187" s="93"/>
      <c r="G187" s="68"/>
      <c r="H187" s="68"/>
      <c r="I187" s="93"/>
      <c r="J187" s="68"/>
      <c r="K187" s="415"/>
      <c r="L187" s="415"/>
      <c r="M187" s="367"/>
      <c r="N187" s="17"/>
      <c r="O187" s="17"/>
      <c r="P187" s="17"/>
      <c r="Q187" s="17"/>
      <c r="R187" s="17"/>
      <c r="S187" s="368">
        <v>0</v>
      </c>
      <c r="T187" s="350">
        <f t="shared" ref="T187:T218" si="5">F187*S187</f>
        <v>0</v>
      </c>
      <c r="U187" s="54"/>
    </row>
    <row r="188" spans="2:21" ht="17.25" hidden="1" x14ac:dyDescent="0.3">
      <c r="B188" s="16">
        <v>66</v>
      </c>
      <c r="C188" s="90"/>
      <c r="D188" s="98"/>
      <c r="E188" s="96"/>
      <c r="F188" s="93"/>
      <c r="G188" s="68"/>
      <c r="H188" s="68"/>
      <c r="I188" s="93"/>
      <c r="J188" s="68"/>
      <c r="K188" s="415"/>
      <c r="L188" s="415"/>
      <c r="M188" s="367"/>
      <c r="N188" s="17"/>
      <c r="O188" s="17"/>
      <c r="P188" s="17"/>
      <c r="Q188" s="17"/>
      <c r="R188" s="17"/>
      <c r="S188" s="368">
        <v>0</v>
      </c>
      <c r="T188" s="350">
        <f t="shared" si="5"/>
        <v>0</v>
      </c>
      <c r="U188" s="54"/>
    </row>
    <row r="189" spans="2:21" ht="17.25" hidden="1" x14ac:dyDescent="0.3">
      <c r="B189" s="16">
        <v>67</v>
      </c>
      <c r="C189" s="90"/>
      <c r="D189" s="98"/>
      <c r="E189" s="96"/>
      <c r="F189" s="93"/>
      <c r="G189" s="68"/>
      <c r="H189" s="68"/>
      <c r="I189" s="93"/>
      <c r="J189" s="68"/>
      <c r="K189" s="415"/>
      <c r="L189" s="415"/>
      <c r="M189" s="367"/>
      <c r="N189" s="17"/>
      <c r="O189" s="17"/>
      <c r="P189" s="17"/>
      <c r="Q189" s="17"/>
      <c r="R189" s="17"/>
      <c r="S189" s="368">
        <v>0</v>
      </c>
      <c r="T189" s="350">
        <f t="shared" si="5"/>
        <v>0</v>
      </c>
      <c r="U189" s="54"/>
    </row>
    <row r="190" spans="2:21" ht="17.25" hidden="1" x14ac:dyDescent="0.3">
      <c r="B190" s="16">
        <v>68</v>
      </c>
      <c r="C190" s="90"/>
      <c r="D190" s="98"/>
      <c r="E190" s="96"/>
      <c r="F190" s="93"/>
      <c r="G190" s="68"/>
      <c r="H190" s="68"/>
      <c r="I190" s="74"/>
      <c r="J190" s="68"/>
      <c r="K190" s="415"/>
      <c r="L190" s="415"/>
      <c r="M190" s="367"/>
      <c r="N190" s="17"/>
      <c r="O190" s="17"/>
      <c r="P190" s="17"/>
      <c r="Q190" s="17"/>
      <c r="R190" s="17"/>
      <c r="S190" s="368">
        <v>0</v>
      </c>
      <c r="T190" s="350">
        <f t="shared" si="5"/>
        <v>0</v>
      </c>
      <c r="U190" s="54"/>
    </row>
    <row r="191" spans="2:21" ht="17.25" hidden="1" x14ac:dyDescent="0.3">
      <c r="B191" s="16">
        <v>69</v>
      </c>
      <c r="C191" s="90"/>
      <c r="D191" s="98"/>
      <c r="E191" s="96"/>
      <c r="F191" s="93"/>
      <c r="G191" s="68"/>
      <c r="H191" s="68"/>
      <c r="I191" s="93"/>
      <c r="J191" s="68"/>
      <c r="K191" s="415"/>
      <c r="L191" s="415"/>
      <c r="M191" s="367"/>
      <c r="N191" s="17"/>
      <c r="O191" s="17"/>
      <c r="P191" s="17"/>
      <c r="Q191" s="17"/>
      <c r="R191" s="17"/>
      <c r="S191" s="368">
        <v>0</v>
      </c>
      <c r="T191" s="350">
        <f t="shared" si="5"/>
        <v>0</v>
      </c>
      <c r="U191" s="54"/>
    </row>
    <row r="192" spans="2:21" ht="17.25" hidden="1" x14ac:dyDescent="0.3">
      <c r="B192" s="16">
        <v>70</v>
      </c>
      <c r="C192" s="90"/>
      <c r="D192" s="98"/>
      <c r="E192" s="96"/>
      <c r="F192" s="93"/>
      <c r="G192" s="68"/>
      <c r="H192" s="68"/>
      <c r="I192" s="93"/>
      <c r="J192" s="68"/>
      <c r="K192" s="415"/>
      <c r="L192" s="415"/>
      <c r="M192" s="367"/>
      <c r="N192" s="17"/>
      <c r="O192" s="17"/>
      <c r="P192" s="17"/>
      <c r="Q192" s="17"/>
      <c r="R192" s="17"/>
      <c r="S192" s="368">
        <v>0</v>
      </c>
      <c r="T192" s="350">
        <f t="shared" si="5"/>
        <v>0</v>
      </c>
      <c r="U192" s="54"/>
    </row>
    <row r="193" spans="2:21" ht="17.25" hidden="1" x14ac:dyDescent="0.3">
      <c r="B193" s="16">
        <v>71</v>
      </c>
      <c r="C193" s="90"/>
      <c r="D193" s="98"/>
      <c r="E193" s="96"/>
      <c r="F193" s="93"/>
      <c r="G193" s="68"/>
      <c r="H193" s="68"/>
      <c r="I193" s="93"/>
      <c r="J193" s="68"/>
      <c r="K193" s="415"/>
      <c r="L193" s="415"/>
      <c r="M193" s="367"/>
      <c r="N193" s="17"/>
      <c r="O193" s="17"/>
      <c r="P193" s="17"/>
      <c r="Q193" s="17"/>
      <c r="R193" s="17"/>
      <c r="S193" s="368">
        <v>0</v>
      </c>
      <c r="T193" s="350">
        <f t="shared" si="5"/>
        <v>0</v>
      </c>
      <c r="U193" s="54"/>
    </row>
    <row r="194" spans="2:21" ht="17.25" hidden="1" x14ac:dyDescent="0.3">
      <c r="B194" s="16">
        <v>72</v>
      </c>
      <c r="C194" s="90"/>
      <c r="D194" s="98"/>
      <c r="E194" s="96"/>
      <c r="F194" s="93"/>
      <c r="G194" s="68"/>
      <c r="H194" s="68"/>
      <c r="I194" s="93"/>
      <c r="J194" s="68"/>
      <c r="K194" s="415"/>
      <c r="L194" s="415"/>
      <c r="M194" s="367"/>
      <c r="N194" s="17"/>
      <c r="O194" s="17"/>
      <c r="P194" s="17"/>
      <c r="Q194" s="17"/>
      <c r="R194" s="17"/>
      <c r="S194" s="368">
        <v>0</v>
      </c>
      <c r="T194" s="350">
        <f t="shared" si="5"/>
        <v>0</v>
      </c>
      <c r="U194" s="54"/>
    </row>
    <row r="195" spans="2:21" ht="17.25" hidden="1" x14ac:dyDescent="0.3">
      <c r="B195" s="16">
        <v>73</v>
      </c>
      <c r="C195" s="90"/>
      <c r="D195" s="98"/>
      <c r="E195" s="96"/>
      <c r="F195" s="93"/>
      <c r="G195" s="68"/>
      <c r="H195" s="68"/>
      <c r="I195" s="93"/>
      <c r="J195" s="68"/>
      <c r="K195" s="415"/>
      <c r="L195" s="415"/>
      <c r="M195" s="367"/>
      <c r="N195" s="17"/>
      <c r="O195" s="17"/>
      <c r="P195" s="17"/>
      <c r="Q195" s="17"/>
      <c r="R195" s="17"/>
      <c r="S195" s="368">
        <v>0</v>
      </c>
      <c r="T195" s="350">
        <f t="shared" si="5"/>
        <v>0</v>
      </c>
      <c r="U195" s="54"/>
    </row>
    <row r="196" spans="2:21" ht="17.25" hidden="1" x14ac:dyDescent="0.3">
      <c r="B196" s="16">
        <v>74</v>
      </c>
      <c r="C196" s="90"/>
      <c r="D196" s="98"/>
      <c r="E196" s="96"/>
      <c r="F196" s="93"/>
      <c r="G196" s="68"/>
      <c r="H196" s="68"/>
      <c r="I196" s="93"/>
      <c r="J196" s="68"/>
      <c r="K196" s="415"/>
      <c r="L196" s="415"/>
      <c r="M196" s="367"/>
      <c r="N196" s="17"/>
      <c r="O196" s="17"/>
      <c r="P196" s="17"/>
      <c r="Q196" s="17"/>
      <c r="R196" s="17"/>
      <c r="S196" s="368">
        <v>0</v>
      </c>
      <c r="T196" s="350">
        <f t="shared" si="5"/>
        <v>0</v>
      </c>
      <c r="U196" s="54"/>
    </row>
    <row r="197" spans="2:21" ht="17.25" hidden="1" x14ac:dyDescent="0.3">
      <c r="B197" s="16">
        <v>75</v>
      </c>
      <c r="C197" s="90"/>
      <c r="D197" s="98"/>
      <c r="E197" s="96"/>
      <c r="F197" s="93"/>
      <c r="G197" s="68"/>
      <c r="H197" s="68"/>
      <c r="I197" s="93"/>
      <c r="J197" s="68"/>
      <c r="K197" s="415"/>
      <c r="L197" s="415"/>
      <c r="M197" s="367"/>
      <c r="N197" s="17"/>
      <c r="O197" s="17"/>
      <c r="P197" s="17"/>
      <c r="Q197" s="17"/>
      <c r="R197" s="17"/>
      <c r="S197" s="368">
        <v>0</v>
      </c>
      <c r="T197" s="350">
        <f t="shared" si="5"/>
        <v>0</v>
      </c>
      <c r="U197" s="54"/>
    </row>
    <row r="198" spans="2:21" ht="17.25" hidden="1" x14ac:dyDescent="0.3">
      <c r="B198" s="16">
        <v>76</v>
      </c>
      <c r="C198" s="90"/>
      <c r="D198" s="98"/>
      <c r="E198" s="96"/>
      <c r="F198" s="93"/>
      <c r="G198" s="68"/>
      <c r="H198" s="68"/>
      <c r="I198" s="93"/>
      <c r="J198" s="68"/>
      <c r="K198" s="415"/>
      <c r="L198" s="415"/>
      <c r="M198" s="367"/>
      <c r="N198" s="17"/>
      <c r="O198" s="17"/>
      <c r="P198" s="17"/>
      <c r="Q198" s="17"/>
      <c r="R198" s="17"/>
      <c r="S198" s="368">
        <v>0</v>
      </c>
      <c r="T198" s="350">
        <f t="shared" si="5"/>
        <v>0</v>
      </c>
      <c r="U198" s="54"/>
    </row>
    <row r="199" spans="2:21" ht="17.25" hidden="1" x14ac:dyDescent="0.3">
      <c r="B199" s="16">
        <v>77</v>
      </c>
      <c r="C199" s="90"/>
      <c r="D199" s="98"/>
      <c r="E199" s="96"/>
      <c r="F199" s="93"/>
      <c r="G199" s="68"/>
      <c r="H199" s="68"/>
      <c r="I199" s="93"/>
      <c r="J199" s="68"/>
      <c r="K199" s="415"/>
      <c r="L199" s="415"/>
      <c r="M199" s="367"/>
      <c r="N199" s="17"/>
      <c r="O199" s="17"/>
      <c r="P199" s="17"/>
      <c r="Q199" s="17"/>
      <c r="R199" s="17"/>
      <c r="S199" s="368">
        <v>0</v>
      </c>
      <c r="T199" s="350">
        <f t="shared" si="5"/>
        <v>0</v>
      </c>
      <c r="U199" s="54"/>
    </row>
    <row r="200" spans="2:21" ht="17.25" hidden="1" x14ac:dyDescent="0.3">
      <c r="B200" s="16">
        <v>78</v>
      </c>
      <c r="C200" s="90"/>
      <c r="D200" s="98"/>
      <c r="E200" s="96"/>
      <c r="F200" s="93"/>
      <c r="G200" s="68"/>
      <c r="H200" s="68"/>
      <c r="I200" s="93"/>
      <c r="J200" s="68"/>
      <c r="K200" s="415"/>
      <c r="L200" s="415"/>
      <c r="M200" s="367"/>
      <c r="N200" s="17"/>
      <c r="O200" s="17"/>
      <c r="P200" s="17"/>
      <c r="Q200" s="17"/>
      <c r="R200" s="17"/>
      <c r="S200" s="368">
        <v>0</v>
      </c>
      <c r="T200" s="350">
        <f t="shared" si="5"/>
        <v>0</v>
      </c>
      <c r="U200" s="54"/>
    </row>
    <row r="201" spans="2:21" ht="17.25" hidden="1" x14ac:dyDescent="0.3">
      <c r="B201" s="16">
        <v>79</v>
      </c>
      <c r="C201" s="90"/>
      <c r="D201" s="98"/>
      <c r="E201" s="96"/>
      <c r="F201" s="93"/>
      <c r="G201" s="68"/>
      <c r="H201" s="68"/>
      <c r="I201" s="93"/>
      <c r="J201" s="68"/>
      <c r="K201" s="415"/>
      <c r="L201" s="415"/>
      <c r="M201" s="367"/>
      <c r="N201" s="17"/>
      <c r="O201" s="17"/>
      <c r="P201" s="17"/>
      <c r="Q201" s="17"/>
      <c r="R201" s="17"/>
      <c r="S201" s="368">
        <v>0</v>
      </c>
      <c r="T201" s="350">
        <f t="shared" si="5"/>
        <v>0</v>
      </c>
      <c r="U201" s="54"/>
    </row>
    <row r="202" spans="2:21" ht="17.25" hidden="1" x14ac:dyDescent="0.3">
      <c r="B202" s="16">
        <v>80</v>
      </c>
      <c r="C202" s="90"/>
      <c r="D202" s="98"/>
      <c r="E202" s="96"/>
      <c r="F202" s="93"/>
      <c r="G202" s="68"/>
      <c r="H202" s="68"/>
      <c r="I202" s="93"/>
      <c r="J202" s="68"/>
      <c r="K202" s="415"/>
      <c r="L202" s="415"/>
      <c r="M202" s="367"/>
      <c r="N202" s="17"/>
      <c r="O202" s="17"/>
      <c r="P202" s="17"/>
      <c r="Q202" s="17"/>
      <c r="R202" s="17"/>
      <c r="S202" s="368">
        <v>0</v>
      </c>
      <c r="T202" s="350">
        <f t="shared" si="5"/>
        <v>0</v>
      </c>
      <c r="U202" s="54"/>
    </row>
    <row r="203" spans="2:21" ht="17.25" hidden="1" x14ac:dyDescent="0.3">
      <c r="B203" s="16">
        <v>81</v>
      </c>
      <c r="C203" s="90"/>
      <c r="D203" s="98"/>
      <c r="E203" s="96"/>
      <c r="F203" s="93"/>
      <c r="G203" s="68"/>
      <c r="H203" s="68"/>
      <c r="I203" s="93"/>
      <c r="J203" s="68"/>
      <c r="K203" s="415"/>
      <c r="L203" s="415"/>
      <c r="M203" s="367"/>
      <c r="N203" s="17"/>
      <c r="O203" s="17"/>
      <c r="P203" s="17"/>
      <c r="Q203" s="17"/>
      <c r="R203" s="17"/>
      <c r="S203" s="368">
        <v>0</v>
      </c>
      <c r="T203" s="350">
        <f t="shared" si="5"/>
        <v>0</v>
      </c>
      <c r="U203" s="54"/>
    </row>
    <row r="204" spans="2:21" ht="17.25" hidden="1" x14ac:dyDescent="0.3">
      <c r="B204" s="16">
        <v>82</v>
      </c>
      <c r="C204" s="90"/>
      <c r="D204" s="98"/>
      <c r="E204" s="96"/>
      <c r="F204" s="93"/>
      <c r="G204" s="68"/>
      <c r="H204" s="68"/>
      <c r="I204" s="93"/>
      <c r="J204" s="68"/>
      <c r="K204" s="415"/>
      <c r="L204" s="415"/>
      <c r="M204" s="367"/>
      <c r="N204" s="17"/>
      <c r="O204" s="17"/>
      <c r="P204" s="17"/>
      <c r="Q204" s="17"/>
      <c r="R204" s="17"/>
      <c r="S204" s="368">
        <v>0</v>
      </c>
      <c r="T204" s="350">
        <f t="shared" si="5"/>
        <v>0</v>
      </c>
      <c r="U204" s="54"/>
    </row>
    <row r="205" spans="2:21" ht="17.25" hidden="1" x14ac:dyDescent="0.3">
      <c r="B205" s="16">
        <v>83</v>
      </c>
      <c r="C205" s="90"/>
      <c r="D205" s="91"/>
      <c r="E205" s="96"/>
      <c r="F205" s="93"/>
      <c r="G205" s="68"/>
      <c r="H205" s="68"/>
      <c r="I205" s="74"/>
      <c r="J205" s="68"/>
      <c r="K205" s="415"/>
      <c r="L205" s="415"/>
      <c r="M205" s="367"/>
      <c r="N205" s="17"/>
      <c r="O205" s="17"/>
      <c r="P205" s="17"/>
      <c r="Q205" s="17"/>
      <c r="R205" s="17"/>
      <c r="S205" s="368">
        <v>0</v>
      </c>
      <c r="T205" s="350">
        <f t="shared" si="5"/>
        <v>0</v>
      </c>
      <c r="U205" s="54"/>
    </row>
    <row r="206" spans="2:21" ht="17.25" hidden="1" x14ac:dyDescent="0.3">
      <c r="B206" s="16">
        <v>84</v>
      </c>
      <c r="C206" s="90"/>
      <c r="D206" s="95"/>
      <c r="E206" s="96"/>
      <c r="F206" s="93"/>
      <c r="G206" s="68"/>
      <c r="H206" s="68"/>
      <c r="I206" s="74"/>
      <c r="J206" s="68"/>
      <c r="K206" s="415"/>
      <c r="L206" s="415"/>
      <c r="M206" s="367"/>
      <c r="N206" s="17"/>
      <c r="O206" s="17"/>
      <c r="P206" s="17"/>
      <c r="Q206" s="17"/>
      <c r="R206" s="17"/>
      <c r="S206" s="368">
        <v>0</v>
      </c>
      <c r="T206" s="350">
        <f t="shared" si="5"/>
        <v>0</v>
      </c>
      <c r="U206" s="54"/>
    </row>
    <row r="207" spans="2:21" ht="17.25" hidden="1" x14ac:dyDescent="0.3">
      <c r="B207" s="16">
        <v>85</v>
      </c>
      <c r="C207" s="90"/>
      <c r="D207" s="91"/>
      <c r="E207" s="96"/>
      <c r="F207" s="93"/>
      <c r="G207" s="68"/>
      <c r="H207" s="68"/>
      <c r="I207" s="93"/>
      <c r="J207" s="68"/>
      <c r="K207" s="415"/>
      <c r="L207" s="415"/>
      <c r="M207" s="367"/>
      <c r="N207" s="17"/>
      <c r="O207" s="17"/>
      <c r="P207" s="17"/>
      <c r="Q207" s="17"/>
      <c r="R207" s="17"/>
      <c r="S207" s="368">
        <v>0</v>
      </c>
      <c r="T207" s="350">
        <f t="shared" si="5"/>
        <v>0</v>
      </c>
      <c r="U207" s="54"/>
    </row>
    <row r="208" spans="2:21" ht="17.25" hidden="1" x14ac:dyDescent="0.3">
      <c r="B208" s="16">
        <v>86</v>
      </c>
      <c r="C208" s="90"/>
      <c r="D208" s="99"/>
      <c r="E208" s="100"/>
      <c r="F208" s="93"/>
      <c r="G208" s="68"/>
      <c r="H208" s="68"/>
      <c r="I208" s="93"/>
      <c r="J208" s="68"/>
      <c r="K208" s="415"/>
      <c r="L208" s="415"/>
      <c r="M208" s="367"/>
      <c r="N208" s="17"/>
      <c r="O208" s="17"/>
      <c r="P208" s="17"/>
      <c r="Q208" s="17"/>
      <c r="R208" s="17"/>
      <c r="S208" s="368">
        <v>0</v>
      </c>
      <c r="T208" s="350">
        <f t="shared" si="5"/>
        <v>0</v>
      </c>
      <c r="U208" s="54"/>
    </row>
    <row r="209" spans="2:21" ht="17.25" hidden="1" x14ac:dyDescent="0.3">
      <c r="B209" s="16">
        <v>87</v>
      </c>
      <c r="C209" s="90"/>
      <c r="D209" s="95"/>
      <c r="E209" s="96"/>
      <c r="F209" s="93"/>
      <c r="G209" s="68"/>
      <c r="H209" s="68"/>
      <c r="I209" s="93"/>
      <c r="J209" s="68"/>
      <c r="K209" s="415"/>
      <c r="L209" s="415"/>
      <c r="M209" s="367"/>
      <c r="N209" s="17"/>
      <c r="O209" s="17"/>
      <c r="P209" s="17"/>
      <c r="Q209" s="17"/>
      <c r="R209" s="17"/>
      <c r="S209" s="368">
        <v>0</v>
      </c>
      <c r="T209" s="350">
        <f t="shared" si="5"/>
        <v>0</v>
      </c>
      <c r="U209" s="54"/>
    </row>
    <row r="210" spans="2:21" ht="17.25" hidden="1" x14ac:dyDescent="0.3">
      <c r="B210" s="16">
        <v>88</v>
      </c>
      <c r="C210" s="90"/>
      <c r="D210" s="97"/>
      <c r="E210" s="96"/>
      <c r="F210" s="93"/>
      <c r="G210" s="68"/>
      <c r="H210" s="68"/>
      <c r="I210" s="93"/>
      <c r="J210" s="68"/>
      <c r="K210" s="415"/>
      <c r="L210" s="415"/>
      <c r="M210" s="367"/>
      <c r="N210" s="17"/>
      <c r="O210" s="17"/>
      <c r="P210" s="17"/>
      <c r="Q210" s="17"/>
      <c r="R210" s="17"/>
      <c r="S210" s="368">
        <v>0</v>
      </c>
      <c r="T210" s="350">
        <f t="shared" si="5"/>
        <v>0</v>
      </c>
      <c r="U210" s="54"/>
    </row>
    <row r="211" spans="2:21" ht="17.25" hidden="1" x14ac:dyDescent="0.3">
      <c r="B211" s="16">
        <v>89</v>
      </c>
      <c r="C211" s="90"/>
      <c r="D211" s="97"/>
      <c r="E211" s="96"/>
      <c r="F211" s="93"/>
      <c r="G211" s="68"/>
      <c r="H211" s="68"/>
      <c r="I211" s="93"/>
      <c r="J211" s="68"/>
      <c r="K211" s="415"/>
      <c r="L211" s="415"/>
      <c r="M211" s="367"/>
      <c r="N211" s="17"/>
      <c r="O211" s="17"/>
      <c r="P211" s="17"/>
      <c r="Q211" s="17"/>
      <c r="R211" s="17"/>
      <c r="S211" s="368">
        <v>0</v>
      </c>
      <c r="T211" s="350">
        <f t="shared" si="5"/>
        <v>0</v>
      </c>
      <c r="U211" s="54"/>
    </row>
    <row r="212" spans="2:21" ht="17.25" hidden="1" x14ac:dyDescent="0.3">
      <c r="B212" s="16">
        <v>90</v>
      </c>
      <c r="C212" s="90"/>
      <c r="D212" s="95"/>
      <c r="E212" s="96"/>
      <c r="F212" s="93"/>
      <c r="G212" s="68"/>
      <c r="H212" s="68"/>
      <c r="I212" s="93"/>
      <c r="J212" s="68"/>
      <c r="K212" s="415"/>
      <c r="L212" s="415"/>
      <c r="M212" s="367"/>
      <c r="N212" s="17"/>
      <c r="O212" s="17"/>
      <c r="P212" s="17"/>
      <c r="Q212" s="17"/>
      <c r="R212" s="17"/>
      <c r="S212" s="368">
        <v>0</v>
      </c>
      <c r="T212" s="350">
        <f t="shared" si="5"/>
        <v>0</v>
      </c>
      <c r="U212" s="54"/>
    </row>
    <row r="213" spans="2:21" ht="17.25" hidden="1" x14ac:dyDescent="0.3">
      <c r="B213" s="16">
        <v>91</v>
      </c>
      <c r="C213" s="90"/>
      <c r="D213" s="95"/>
      <c r="E213" s="96"/>
      <c r="F213" s="93"/>
      <c r="G213" s="68"/>
      <c r="H213" s="68"/>
      <c r="I213" s="74"/>
      <c r="J213" s="68"/>
      <c r="K213" s="415"/>
      <c r="L213" s="415"/>
      <c r="M213" s="367"/>
      <c r="N213" s="17"/>
      <c r="O213" s="17"/>
      <c r="P213" s="17"/>
      <c r="Q213" s="17"/>
      <c r="R213" s="17"/>
      <c r="S213" s="368">
        <v>0</v>
      </c>
      <c r="T213" s="350">
        <f t="shared" si="5"/>
        <v>0</v>
      </c>
      <c r="U213" s="54"/>
    </row>
    <row r="214" spans="2:21" ht="17.25" hidden="1" x14ac:dyDescent="0.3">
      <c r="B214" s="16">
        <v>92</v>
      </c>
      <c r="C214" s="90"/>
      <c r="D214" s="95"/>
      <c r="E214" s="96"/>
      <c r="F214" s="93"/>
      <c r="G214" s="68"/>
      <c r="H214" s="68"/>
      <c r="I214" s="74"/>
      <c r="J214" s="68"/>
      <c r="K214" s="415"/>
      <c r="L214" s="415"/>
      <c r="M214" s="367"/>
      <c r="N214" s="17"/>
      <c r="O214" s="17"/>
      <c r="P214" s="17"/>
      <c r="Q214" s="17"/>
      <c r="R214" s="17"/>
      <c r="S214" s="368">
        <v>0</v>
      </c>
      <c r="T214" s="350">
        <f t="shared" si="5"/>
        <v>0</v>
      </c>
      <c r="U214" s="54"/>
    </row>
    <row r="215" spans="2:21" ht="17.25" hidden="1" x14ac:dyDescent="0.3">
      <c r="B215" s="16">
        <v>93</v>
      </c>
      <c r="C215" s="90"/>
      <c r="D215" s="95"/>
      <c r="E215" s="96"/>
      <c r="F215" s="93"/>
      <c r="G215" s="68"/>
      <c r="H215" s="68"/>
      <c r="I215" s="93"/>
      <c r="J215" s="68"/>
      <c r="K215" s="415"/>
      <c r="L215" s="415"/>
      <c r="M215" s="367"/>
      <c r="N215" s="17"/>
      <c r="O215" s="17"/>
      <c r="P215" s="17"/>
      <c r="Q215" s="17"/>
      <c r="R215" s="17"/>
      <c r="S215" s="368">
        <v>0</v>
      </c>
      <c r="T215" s="350">
        <f t="shared" si="5"/>
        <v>0</v>
      </c>
      <c r="U215" s="54"/>
    </row>
    <row r="216" spans="2:21" ht="17.25" hidden="1" x14ac:dyDescent="0.3">
      <c r="B216" s="16">
        <v>94</v>
      </c>
      <c r="C216" s="101"/>
      <c r="D216" s="102"/>
      <c r="E216" s="103"/>
      <c r="F216" s="93"/>
      <c r="G216" s="68"/>
      <c r="H216" s="68"/>
      <c r="I216" s="74"/>
      <c r="J216" s="68"/>
      <c r="K216" s="415"/>
      <c r="L216" s="415"/>
      <c r="M216" s="367"/>
      <c r="N216" s="17"/>
      <c r="O216" s="17"/>
      <c r="P216" s="17"/>
      <c r="Q216" s="17"/>
      <c r="R216" s="17"/>
      <c r="S216" s="368">
        <v>0</v>
      </c>
      <c r="T216" s="350">
        <f t="shared" si="5"/>
        <v>0</v>
      </c>
      <c r="U216" s="54"/>
    </row>
    <row r="217" spans="2:21" ht="17.25" hidden="1" x14ac:dyDescent="0.3">
      <c r="B217" s="16">
        <v>95</v>
      </c>
      <c r="C217" s="90"/>
      <c r="D217" s="95"/>
      <c r="E217" s="96"/>
      <c r="F217" s="93"/>
      <c r="G217" s="68"/>
      <c r="H217" s="68"/>
      <c r="I217" s="74"/>
      <c r="J217" s="68"/>
      <c r="K217" s="415"/>
      <c r="L217" s="415"/>
      <c r="M217" s="367"/>
      <c r="N217" s="17"/>
      <c r="O217" s="17"/>
      <c r="P217" s="17"/>
      <c r="Q217" s="17"/>
      <c r="R217" s="17"/>
      <c r="S217" s="368">
        <v>0</v>
      </c>
      <c r="T217" s="350">
        <f t="shared" si="5"/>
        <v>0</v>
      </c>
      <c r="U217" s="54"/>
    </row>
    <row r="218" spans="2:21" ht="17.25" hidden="1" x14ac:dyDescent="0.3">
      <c r="B218" s="16">
        <v>96</v>
      </c>
      <c r="C218" s="90"/>
      <c r="D218" s="95"/>
      <c r="E218" s="96"/>
      <c r="F218" s="93"/>
      <c r="G218" s="68"/>
      <c r="H218" s="68"/>
      <c r="I218" s="74"/>
      <c r="J218" s="68"/>
      <c r="K218" s="415"/>
      <c r="L218" s="415"/>
      <c r="M218" s="367"/>
      <c r="N218" s="17"/>
      <c r="O218" s="17"/>
      <c r="P218" s="17"/>
      <c r="Q218" s="17"/>
      <c r="R218" s="17"/>
      <c r="S218" s="368">
        <v>0</v>
      </c>
      <c r="T218" s="350">
        <f t="shared" si="5"/>
        <v>0</v>
      </c>
      <c r="U218" s="54"/>
    </row>
    <row r="219" spans="2:21" ht="17.25" hidden="1" x14ac:dyDescent="0.3">
      <c r="B219" s="16">
        <v>97</v>
      </c>
      <c r="C219" s="16"/>
      <c r="D219" s="16"/>
      <c r="E219" s="74"/>
      <c r="F219" s="93"/>
      <c r="G219" s="68"/>
      <c r="H219" s="68"/>
      <c r="I219" s="74"/>
      <c r="J219" s="68"/>
      <c r="K219" s="415"/>
      <c r="L219" s="415"/>
      <c r="M219" s="367"/>
      <c r="N219" s="17"/>
      <c r="O219" s="17"/>
      <c r="P219" s="17"/>
      <c r="Q219" s="17"/>
      <c r="R219" s="17"/>
      <c r="S219" s="368">
        <v>0</v>
      </c>
      <c r="T219" s="350">
        <f>F219*S219</f>
        <v>0</v>
      </c>
      <c r="U219" s="54"/>
    </row>
    <row r="220" spans="2:21" ht="17.25" hidden="1" x14ac:dyDescent="0.3">
      <c r="B220" s="16">
        <v>98</v>
      </c>
      <c r="C220" s="16"/>
      <c r="D220" s="16"/>
      <c r="E220" s="74"/>
      <c r="F220" s="93"/>
      <c r="G220" s="68"/>
      <c r="H220" s="68"/>
      <c r="I220" s="74"/>
      <c r="J220" s="68"/>
      <c r="K220" s="415"/>
      <c r="L220" s="415"/>
      <c r="M220" s="367"/>
      <c r="N220" s="17"/>
      <c r="O220" s="17"/>
      <c r="P220" s="17"/>
      <c r="Q220" s="17"/>
      <c r="R220" s="17"/>
      <c r="S220" s="368">
        <v>0</v>
      </c>
      <c r="T220" s="350">
        <f>F220*S220</f>
        <v>0</v>
      </c>
      <c r="U220" s="54"/>
    </row>
    <row r="221" spans="2:21" ht="17.25" hidden="1" x14ac:dyDescent="0.3">
      <c r="B221" s="16">
        <v>99</v>
      </c>
      <c r="C221" s="68"/>
      <c r="D221" s="16"/>
      <c r="E221" s="74"/>
      <c r="F221" s="93"/>
      <c r="G221" s="68"/>
      <c r="H221" s="68"/>
      <c r="I221" s="68"/>
      <c r="J221" s="68"/>
      <c r="K221" s="415"/>
      <c r="L221" s="415"/>
      <c r="M221" s="367"/>
      <c r="N221" s="17"/>
      <c r="O221" s="17"/>
      <c r="P221" s="17"/>
      <c r="Q221" s="17"/>
      <c r="R221" s="17"/>
      <c r="S221" s="368"/>
      <c r="T221" s="350">
        <f>F221*S221</f>
        <v>0</v>
      </c>
      <c r="U221" s="54"/>
    </row>
    <row r="222" spans="2:21" ht="17.25" hidden="1" x14ac:dyDescent="0.3">
      <c r="B222" s="16">
        <v>100</v>
      </c>
      <c r="C222" s="68"/>
      <c r="D222" s="16"/>
      <c r="E222" s="74"/>
      <c r="F222" s="93"/>
      <c r="G222" s="68"/>
      <c r="H222" s="68"/>
      <c r="I222" s="68"/>
      <c r="J222" s="68"/>
      <c r="K222" s="415"/>
      <c r="L222" s="415"/>
      <c r="M222" s="367"/>
      <c r="N222" s="17"/>
      <c r="O222" s="17"/>
      <c r="P222" s="17"/>
      <c r="Q222" s="17"/>
      <c r="R222" s="17"/>
      <c r="S222" s="368"/>
      <c r="T222" s="350">
        <f>F222*S222</f>
        <v>0</v>
      </c>
      <c r="U222" s="54"/>
    </row>
    <row r="223" spans="2:21" ht="34.5" hidden="1" x14ac:dyDescent="0.3">
      <c r="C223" s="16"/>
      <c r="D223" s="81" t="s">
        <v>566</v>
      </c>
      <c r="E223" s="74"/>
      <c r="F223" s="74"/>
      <c r="G223" s="68"/>
      <c r="H223" s="68"/>
      <c r="I223" s="16"/>
      <c r="J223" s="68"/>
      <c r="K223" s="16"/>
      <c r="L223" s="16"/>
      <c r="M223" s="122"/>
      <c r="N223" s="17"/>
      <c r="O223" s="17"/>
      <c r="P223" s="17"/>
      <c r="Q223" s="17"/>
      <c r="R223" s="17"/>
      <c r="S223" s="368">
        <v>0</v>
      </c>
      <c r="T223" s="350">
        <f>F223*S223</f>
        <v>0</v>
      </c>
      <c r="U223" s="54"/>
    </row>
    <row r="224" spans="2:21" x14ac:dyDescent="0.3">
      <c r="B224" s="82"/>
      <c r="C224" s="82"/>
      <c r="D224" s="82"/>
      <c r="E224" s="86"/>
      <c r="F224" s="86"/>
      <c r="G224" s="82"/>
      <c r="H224" s="82"/>
      <c r="I224" s="82"/>
      <c r="J224" s="82"/>
      <c r="K224" s="82"/>
      <c r="L224" s="82"/>
      <c r="M224" s="82"/>
      <c r="N224" s="17"/>
      <c r="O224" s="17"/>
      <c r="P224" s="17"/>
      <c r="Q224" s="17"/>
      <c r="R224" s="17"/>
      <c r="S224" s="89"/>
      <c r="T224" s="89"/>
      <c r="U224" s="54"/>
    </row>
    <row r="225" spans="2:21" ht="41.1" hidden="1" customHeight="1" x14ac:dyDescent="0.3">
      <c r="B225" s="792" t="s">
        <v>102</v>
      </c>
      <c r="C225" s="792"/>
      <c r="D225" s="339"/>
      <c r="E225" s="340"/>
      <c r="F225" s="340"/>
      <c r="G225" s="340"/>
      <c r="H225" s="340"/>
      <c r="I225" s="340"/>
      <c r="J225" s="340"/>
      <c r="K225" s="340"/>
      <c r="L225" s="340"/>
      <c r="M225" s="340"/>
      <c r="N225" s="371"/>
      <c r="O225" s="371"/>
      <c r="P225" s="371"/>
      <c r="Q225" s="371"/>
      <c r="R225" s="371"/>
      <c r="S225" s="765"/>
      <c r="T225" s="792"/>
      <c r="U225" s="236">
        <f>SUM(T228:T328)</f>
        <v>0</v>
      </c>
    </row>
    <row r="226" spans="2:21" ht="45.6" hidden="1" customHeight="1" x14ac:dyDescent="0.3">
      <c r="B226" s="789" t="s">
        <v>35</v>
      </c>
      <c r="C226" s="789" t="s">
        <v>42</v>
      </c>
      <c r="D226" s="789" t="s">
        <v>44</v>
      </c>
      <c r="E226" s="766" t="s">
        <v>100</v>
      </c>
      <c r="F226" s="769" t="s">
        <v>49</v>
      </c>
      <c r="G226" s="769" t="s">
        <v>559</v>
      </c>
      <c r="H226" s="769" t="s">
        <v>468</v>
      </c>
      <c r="I226" s="766" t="s">
        <v>560</v>
      </c>
      <c r="J226" s="766" t="s">
        <v>424</v>
      </c>
      <c r="K226" s="766" t="s">
        <v>45</v>
      </c>
      <c r="L226" s="766"/>
      <c r="M226" s="795" t="s">
        <v>97</v>
      </c>
      <c r="N226" s="779" t="s">
        <v>705</v>
      </c>
      <c r="O226" s="780"/>
      <c r="P226" s="780"/>
      <c r="Q226" s="780"/>
      <c r="R226" s="780"/>
      <c r="S226" s="793" t="s">
        <v>51</v>
      </c>
      <c r="T226" s="799" t="s">
        <v>422</v>
      </c>
      <c r="U226" s="54"/>
    </row>
    <row r="227" spans="2:21" ht="33" hidden="1" customHeight="1" x14ac:dyDescent="0.3">
      <c r="B227" s="789"/>
      <c r="C227" s="789"/>
      <c r="D227" s="789"/>
      <c r="E227" s="766"/>
      <c r="F227" s="770"/>
      <c r="G227" s="770"/>
      <c r="H227" s="770"/>
      <c r="I227" s="766"/>
      <c r="J227" s="766"/>
      <c r="K227" s="132" t="s">
        <v>172</v>
      </c>
      <c r="L227" s="132" t="s">
        <v>101</v>
      </c>
      <c r="M227" s="795"/>
      <c r="N227" s="369" t="s">
        <v>700</v>
      </c>
      <c r="O227" s="369" t="s">
        <v>726</v>
      </c>
      <c r="P227" s="369" t="s">
        <v>702</v>
      </c>
      <c r="Q227" s="369" t="s">
        <v>703</v>
      </c>
      <c r="R227" s="369" t="s">
        <v>704</v>
      </c>
      <c r="S227" s="794"/>
      <c r="T227" s="799"/>
      <c r="U227" s="54"/>
    </row>
    <row r="228" spans="2:21" ht="17.25" hidden="1" x14ac:dyDescent="0.3">
      <c r="B228" s="16">
        <v>1</v>
      </c>
      <c r="C228" s="90"/>
      <c r="D228" s="452"/>
      <c r="E228" s="92"/>
      <c r="F228" s="93"/>
      <c r="G228" s="68"/>
      <c r="H228" s="68"/>
      <c r="I228" s="93"/>
      <c r="J228" s="68"/>
      <c r="K228" s="94"/>
      <c r="L228" s="94"/>
      <c r="M228" s="367"/>
      <c r="N228" s="17"/>
      <c r="O228" s="17"/>
      <c r="P228" s="17"/>
      <c r="Q228" s="17"/>
      <c r="R228" s="17"/>
      <c r="S228" s="368">
        <v>0</v>
      </c>
      <c r="T228" s="351">
        <f t="shared" ref="T228:T259" si="6">F228*S228</f>
        <v>0</v>
      </c>
      <c r="U228" s="54"/>
    </row>
    <row r="229" spans="2:21" ht="17.25" hidden="1" x14ac:dyDescent="0.3">
      <c r="B229" s="16">
        <v>2</v>
      </c>
      <c r="C229" s="90"/>
      <c r="D229" s="95"/>
      <c r="E229" s="92"/>
      <c r="F229" s="93"/>
      <c r="G229" s="68"/>
      <c r="H229" s="68"/>
      <c r="I229" s="93"/>
      <c r="J229" s="68"/>
      <c r="K229" s="73"/>
      <c r="L229" s="73"/>
      <c r="M229" s="367"/>
      <c r="N229" s="17"/>
      <c r="O229" s="17"/>
      <c r="P229" s="17"/>
      <c r="Q229" s="17"/>
      <c r="R229" s="17"/>
      <c r="S229" s="368">
        <v>0</v>
      </c>
      <c r="T229" s="351">
        <f t="shared" si="6"/>
        <v>0</v>
      </c>
      <c r="U229" s="54"/>
    </row>
    <row r="230" spans="2:21" ht="17.25" hidden="1" x14ac:dyDescent="0.3">
      <c r="B230" s="16">
        <v>3</v>
      </c>
      <c r="C230" s="90"/>
      <c r="D230" s="95"/>
      <c r="E230" s="96"/>
      <c r="F230" s="93"/>
      <c r="G230" s="68"/>
      <c r="H230" s="68"/>
      <c r="I230" s="93"/>
      <c r="J230" s="68"/>
      <c r="K230" s="16"/>
      <c r="L230" s="16"/>
      <c r="M230" s="367"/>
      <c r="N230" s="17"/>
      <c r="O230" s="17"/>
      <c r="P230" s="17"/>
      <c r="Q230" s="17"/>
      <c r="R230" s="17"/>
      <c r="S230" s="368">
        <v>0</v>
      </c>
      <c r="T230" s="351">
        <f t="shared" si="6"/>
        <v>0</v>
      </c>
      <c r="U230" s="54"/>
    </row>
    <row r="231" spans="2:21" ht="17.25" hidden="1" x14ac:dyDescent="0.3">
      <c r="B231" s="16">
        <v>4</v>
      </c>
      <c r="C231" s="90"/>
      <c r="D231" s="91"/>
      <c r="E231" s="96"/>
      <c r="F231" s="93"/>
      <c r="G231" s="68"/>
      <c r="H231" s="68"/>
      <c r="I231" s="93"/>
      <c r="J231" s="68"/>
      <c r="K231" s="16"/>
      <c r="L231" s="16"/>
      <c r="M231" s="367"/>
      <c r="N231" s="17"/>
      <c r="O231" s="17"/>
      <c r="P231" s="17"/>
      <c r="Q231" s="17"/>
      <c r="R231" s="17"/>
      <c r="S231" s="368">
        <v>0</v>
      </c>
      <c r="T231" s="351">
        <f t="shared" si="6"/>
        <v>0</v>
      </c>
      <c r="U231" s="54"/>
    </row>
    <row r="232" spans="2:21" ht="17.25" hidden="1" x14ac:dyDescent="0.3">
      <c r="B232" s="16">
        <v>5</v>
      </c>
      <c r="C232" s="90"/>
      <c r="D232" s="97"/>
      <c r="E232" s="96"/>
      <c r="F232" s="93"/>
      <c r="G232" s="68"/>
      <c r="H232" s="68"/>
      <c r="I232" s="93"/>
      <c r="J232" s="68"/>
      <c r="K232" s="16"/>
      <c r="L232" s="16"/>
      <c r="M232" s="367"/>
      <c r="N232" s="17"/>
      <c r="O232" s="17"/>
      <c r="P232" s="17"/>
      <c r="Q232" s="17"/>
      <c r="R232" s="17"/>
      <c r="S232" s="368">
        <v>0</v>
      </c>
      <c r="T232" s="351">
        <f t="shared" si="6"/>
        <v>0</v>
      </c>
      <c r="U232" s="54"/>
    </row>
    <row r="233" spans="2:21" ht="17.25" hidden="1" x14ac:dyDescent="0.3">
      <c r="B233" s="16">
        <v>6</v>
      </c>
      <c r="C233" s="90"/>
      <c r="D233" s="91"/>
      <c r="E233" s="96"/>
      <c r="F233" s="93"/>
      <c r="G233" s="68"/>
      <c r="H233" s="68"/>
      <c r="I233" s="74"/>
      <c r="J233" s="68"/>
      <c r="K233" s="16"/>
      <c r="L233" s="16"/>
      <c r="M233" s="367"/>
      <c r="N233" s="17"/>
      <c r="O233" s="17"/>
      <c r="P233" s="17"/>
      <c r="Q233" s="17"/>
      <c r="R233" s="17"/>
      <c r="S233" s="368">
        <v>0</v>
      </c>
      <c r="T233" s="351">
        <f t="shared" si="6"/>
        <v>0</v>
      </c>
      <c r="U233" s="54"/>
    </row>
    <row r="234" spans="2:21" ht="17.25" hidden="1" x14ac:dyDescent="0.3">
      <c r="B234" s="16">
        <v>7</v>
      </c>
      <c r="C234" s="90"/>
      <c r="D234" s="95"/>
      <c r="E234" s="96"/>
      <c r="F234" s="93"/>
      <c r="G234" s="68"/>
      <c r="H234" s="68"/>
      <c r="I234" s="74"/>
      <c r="J234" s="68"/>
      <c r="K234" s="16"/>
      <c r="L234" s="16"/>
      <c r="M234" s="367"/>
      <c r="N234" s="17"/>
      <c r="O234" s="17"/>
      <c r="P234" s="17"/>
      <c r="Q234" s="17"/>
      <c r="R234" s="17"/>
      <c r="S234" s="368">
        <v>0</v>
      </c>
      <c r="T234" s="351">
        <f t="shared" si="6"/>
        <v>0</v>
      </c>
      <c r="U234" s="54"/>
    </row>
    <row r="235" spans="2:21" ht="17.25" hidden="1" x14ac:dyDescent="0.3">
      <c r="B235" s="16">
        <v>8</v>
      </c>
      <c r="C235" s="90"/>
      <c r="D235" s="91"/>
      <c r="E235" s="96"/>
      <c r="F235" s="93"/>
      <c r="G235" s="68"/>
      <c r="H235" s="68"/>
      <c r="I235" s="74"/>
      <c r="J235" s="68"/>
      <c r="K235" s="16"/>
      <c r="L235" s="16"/>
      <c r="M235" s="367"/>
      <c r="N235" s="17"/>
      <c r="O235" s="17"/>
      <c r="P235" s="17"/>
      <c r="Q235" s="17"/>
      <c r="R235" s="17"/>
      <c r="S235" s="368">
        <v>0</v>
      </c>
      <c r="T235" s="351">
        <f t="shared" si="6"/>
        <v>0</v>
      </c>
      <c r="U235" s="54"/>
    </row>
    <row r="236" spans="2:21" ht="17.25" hidden="1" x14ac:dyDescent="0.3">
      <c r="B236" s="16">
        <v>9</v>
      </c>
      <c r="C236" s="90"/>
      <c r="D236" s="98"/>
      <c r="E236" s="96"/>
      <c r="F236" s="93"/>
      <c r="G236" s="68"/>
      <c r="H236" s="68"/>
      <c r="I236" s="93"/>
      <c r="J236" s="68"/>
      <c r="K236" s="16"/>
      <c r="L236" s="16"/>
      <c r="M236" s="367"/>
      <c r="N236" s="17"/>
      <c r="O236" s="17"/>
      <c r="P236" s="17"/>
      <c r="Q236" s="17"/>
      <c r="R236" s="17"/>
      <c r="S236" s="368">
        <v>0</v>
      </c>
      <c r="T236" s="351">
        <f t="shared" si="6"/>
        <v>0</v>
      </c>
      <c r="U236" s="54"/>
    </row>
    <row r="237" spans="2:21" ht="17.25" hidden="1" x14ac:dyDescent="0.3">
      <c r="B237" s="16">
        <v>10</v>
      </c>
      <c r="C237" s="90"/>
      <c r="D237" s="98"/>
      <c r="E237" s="96"/>
      <c r="F237" s="93"/>
      <c r="G237" s="68"/>
      <c r="H237" s="68"/>
      <c r="I237" s="93"/>
      <c r="J237" s="68"/>
      <c r="K237" s="16"/>
      <c r="L237" s="16"/>
      <c r="M237" s="367"/>
      <c r="N237" s="17"/>
      <c r="O237" s="17"/>
      <c r="P237" s="17"/>
      <c r="Q237" s="17"/>
      <c r="R237" s="17"/>
      <c r="S237" s="368">
        <v>0</v>
      </c>
      <c r="T237" s="351">
        <f t="shared" si="6"/>
        <v>0</v>
      </c>
      <c r="U237" s="54"/>
    </row>
    <row r="238" spans="2:21" ht="17.25" hidden="1" x14ac:dyDescent="0.3">
      <c r="B238" s="16">
        <v>11</v>
      </c>
      <c r="C238" s="90"/>
      <c r="D238" s="98"/>
      <c r="E238" s="96"/>
      <c r="F238" s="93"/>
      <c r="G238" s="68"/>
      <c r="H238" s="68"/>
      <c r="I238" s="93"/>
      <c r="J238" s="68"/>
      <c r="K238" s="16"/>
      <c r="L238" s="16"/>
      <c r="M238" s="367"/>
      <c r="N238" s="17"/>
      <c r="O238" s="17"/>
      <c r="P238" s="17"/>
      <c r="Q238" s="17"/>
      <c r="R238" s="17"/>
      <c r="S238" s="368">
        <v>0</v>
      </c>
      <c r="T238" s="351">
        <f t="shared" si="6"/>
        <v>0</v>
      </c>
      <c r="U238" s="54"/>
    </row>
    <row r="239" spans="2:21" ht="17.25" hidden="1" x14ac:dyDescent="0.3">
      <c r="B239" s="16">
        <v>12</v>
      </c>
      <c r="C239" s="90"/>
      <c r="D239" s="98"/>
      <c r="E239" s="96"/>
      <c r="F239" s="93"/>
      <c r="G239" s="68"/>
      <c r="H239" s="68"/>
      <c r="I239" s="93"/>
      <c r="J239" s="68"/>
      <c r="K239" s="16"/>
      <c r="L239" s="16"/>
      <c r="M239" s="367"/>
      <c r="N239" s="17"/>
      <c r="O239" s="17"/>
      <c r="P239" s="17"/>
      <c r="Q239" s="17"/>
      <c r="R239" s="17"/>
      <c r="S239" s="368">
        <v>0</v>
      </c>
      <c r="T239" s="351">
        <f t="shared" si="6"/>
        <v>0</v>
      </c>
      <c r="U239" s="54"/>
    </row>
    <row r="240" spans="2:21" ht="17.25" hidden="1" x14ac:dyDescent="0.3">
      <c r="B240" s="16">
        <v>13</v>
      </c>
      <c r="C240" s="90"/>
      <c r="D240" s="98"/>
      <c r="E240" s="96"/>
      <c r="F240" s="93"/>
      <c r="G240" s="68"/>
      <c r="H240" s="68"/>
      <c r="I240" s="93"/>
      <c r="J240" s="68"/>
      <c r="K240" s="16"/>
      <c r="L240" s="16"/>
      <c r="M240" s="367"/>
      <c r="N240" s="17"/>
      <c r="O240" s="17"/>
      <c r="P240" s="17"/>
      <c r="Q240" s="17"/>
      <c r="R240" s="17"/>
      <c r="S240" s="368">
        <v>0</v>
      </c>
      <c r="T240" s="351">
        <f t="shared" si="6"/>
        <v>0</v>
      </c>
      <c r="U240" s="54"/>
    </row>
    <row r="241" spans="2:21" ht="17.25" hidden="1" x14ac:dyDescent="0.3">
      <c r="B241" s="16">
        <v>14</v>
      </c>
      <c r="C241" s="90"/>
      <c r="D241" s="98"/>
      <c r="E241" s="96"/>
      <c r="F241" s="93"/>
      <c r="G241" s="68"/>
      <c r="H241" s="68"/>
      <c r="I241" s="93"/>
      <c r="J241" s="68"/>
      <c r="K241" s="16"/>
      <c r="L241" s="16"/>
      <c r="M241" s="367"/>
      <c r="N241" s="17"/>
      <c r="O241" s="17"/>
      <c r="P241" s="17"/>
      <c r="Q241" s="17"/>
      <c r="R241" s="17"/>
      <c r="S241" s="368">
        <v>0</v>
      </c>
      <c r="T241" s="351">
        <f t="shared" si="6"/>
        <v>0</v>
      </c>
      <c r="U241" s="54"/>
    </row>
    <row r="242" spans="2:21" ht="17.25" hidden="1" x14ac:dyDescent="0.3">
      <c r="B242" s="16">
        <v>15</v>
      </c>
      <c r="C242" s="90"/>
      <c r="D242" s="98"/>
      <c r="E242" s="96"/>
      <c r="F242" s="93"/>
      <c r="G242" s="68"/>
      <c r="H242" s="68"/>
      <c r="I242" s="93"/>
      <c r="J242" s="68"/>
      <c r="K242" s="16"/>
      <c r="L242" s="16"/>
      <c r="M242" s="367"/>
      <c r="N242" s="17"/>
      <c r="O242" s="17"/>
      <c r="P242" s="17"/>
      <c r="Q242" s="17"/>
      <c r="R242" s="17"/>
      <c r="S242" s="368">
        <v>0</v>
      </c>
      <c r="T242" s="351">
        <f t="shared" si="6"/>
        <v>0</v>
      </c>
      <c r="U242" s="54"/>
    </row>
    <row r="243" spans="2:21" ht="17.25" hidden="1" x14ac:dyDescent="0.3">
      <c r="B243" s="16">
        <v>16</v>
      </c>
      <c r="C243" s="90"/>
      <c r="D243" s="98"/>
      <c r="E243" s="96"/>
      <c r="F243" s="93"/>
      <c r="G243" s="68"/>
      <c r="H243" s="68"/>
      <c r="I243" s="93"/>
      <c r="J243" s="68"/>
      <c r="K243" s="16"/>
      <c r="L243" s="16"/>
      <c r="M243" s="367"/>
      <c r="N243" s="17"/>
      <c r="O243" s="17"/>
      <c r="P243" s="17"/>
      <c r="Q243" s="17"/>
      <c r="R243" s="17"/>
      <c r="S243" s="368">
        <v>0</v>
      </c>
      <c r="T243" s="351">
        <f t="shared" si="6"/>
        <v>0</v>
      </c>
      <c r="U243" s="54"/>
    </row>
    <row r="244" spans="2:21" ht="17.25" hidden="1" x14ac:dyDescent="0.3">
      <c r="B244" s="16">
        <v>17</v>
      </c>
      <c r="C244" s="90"/>
      <c r="D244" s="98"/>
      <c r="E244" s="96"/>
      <c r="F244" s="93"/>
      <c r="G244" s="68"/>
      <c r="H244" s="68"/>
      <c r="I244" s="93"/>
      <c r="J244" s="68"/>
      <c r="K244" s="16"/>
      <c r="L244" s="16"/>
      <c r="M244" s="367"/>
      <c r="N244" s="17"/>
      <c r="O244" s="17"/>
      <c r="P244" s="17"/>
      <c r="Q244" s="17"/>
      <c r="R244" s="17"/>
      <c r="S244" s="368">
        <v>0</v>
      </c>
      <c r="T244" s="351">
        <f t="shared" si="6"/>
        <v>0</v>
      </c>
      <c r="U244" s="54"/>
    </row>
    <row r="245" spans="2:21" ht="17.25" hidden="1" x14ac:dyDescent="0.3">
      <c r="B245" s="16">
        <v>18</v>
      </c>
      <c r="C245" s="90"/>
      <c r="D245" s="98"/>
      <c r="E245" s="96"/>
      <c r="F245" s="93"/>
      <c r="G245" s="68"/>
      <c r="H245" s="68"/>
      <c r="I245" s="93"/>
      <c r="J245" s="68"/>
      <c r="K245" s="16"/>
      <c r="L245" s="16"/>
      <c r="M245" s="367"/>
      <c r="N245" s="17"/>
      <c r="O245" s="17"/>
      <c r="P245" s="17"/>
      <c r="Q245" s="17"/>
      <c r="R245" s="17"/>
      <c r="S245" s="368">
        <v>0</v>
      </c>
      <c r="T245" s="351">
        <f t="shared" si="6"/>
        <v>0</v>
      </c>
      <c r="U245" s="54"/>
    </row>
    <row r="246" spans="2:21" ht="17.25" hidden="1" x14ac:dyDescent="0.3">
      <c r="B246" s="16">
        <v>19</v>
      </c>
      <c r="C246" s="90"/>
      <c r="D246" s="98"/>
      <c r="E246" s="96"/>
      <c r="F246" s="93"/>
      <c r="G246" s="68"/>
      <c r="H246" s="68"/>
      <c r="I246" s="93"/>
      <c r="J246" s="68"/>
      <c r="K246" s="16"/>
      <c r="L246" s="16"/>
      <c r="M246" s="367"/>
      <c r="N246" s="17"/>
      <c r="O246" s="17"/>
      <c r="P246" s="17"/>
      <c r="Q246" s="17"/>
      <c r="R246" s="17"/>
      <c r="S246" s="368">
        <v>0</v>
      </c>
      <c r="T246" s="351">
        <f t="shared" si="6"/>
        <v>0</v>
      </c>
      <c r="U246" s="54"/>
    </row>
    <row r="247" spans="2:21" ht="17.25" hidden="1" x14ac:dyDescent="0.3">
      <c r="B247" s="16">
        <v>20</v>
      </c>
      <c r="C247" s="90"/>
      <c r="D247" s="98"/>
      <c r="E247" s="96"/>
      <c r="F247" s="93"/>
      <c r="G247" s="68"/>
      <c r="H247" s="68"/>
      <c r="I247" s="93"/>
      <c r="J247" s="68"/>
      <c r="K247" s="16"/>
      <c r="L247" s="16"/>
      <c r="M247" s="367"/>
      <c r="N247" s="17"/>
      <c r="O247" s="17"/>
      <c r="P247" s="17"/>
      <c r="Q247" s="17"/>
      <c r="R247" s="17"/>
      <c r="S247" s="368">
        <v>0</v>
      </c>
      <c r="T247" s="351">
        <f t="shared" si="6"/>
        <v>0</v>
      </c>
      <c r="U247" s="54"/>
    </row>
    <row r="248" spans="2:21" ht="17.25" hidden="1" x14ac:dyDescent="0.3">
      <c r="B248" s="16">
        <v>21</v>
      </c>
      <c r="C248" s="90"/>
      <c r="D248" s="98"/>
      <c r="E248" s="96"/>
      <c r="F248" s="93"/>
      <c r="G248" s="68"/>
      <c r="H248" s="68"/>
      <c r="I248" s="93"/>
      <c r="J248" s="68"/>
      <c r="K248" s="16"/>
      <c r="L248" s="16"/>
      <c r="M248" s="367"/>
      <c r="N248" s="17"/>
      <c r="O248" s="17"/>
      <c r="P248" s="17"/>
      <c r="Q248" s="17"/>
      <c r="R248" s="17"/>
      <c r="S248" s="368">
        <v>0</v>
      </c>
      <c r="T248" s="351">
        <f t="shared" si="6"/>
        <v>0</v>
      </c>
      <c r="U248" s="54"/>
    </row>
    <row r="249" spans="2:21" ht="17.25" hidden="1" x14ac:dyDescent="0.3">
      <c r="B249" s="16">
        <v>22</v>
      </c>
      <c r="C249" s="90"/>
      <c r="D249" s="98"/>
      <c r="E249" s="96"/>
      <c r="F249" s="93"/>
      <c r="G249" s="68"/>
      <c r="H249" s="68"/>
      <c r="I249" s="93"/>
      <c r="J249" s="68"/>
      <c r="K249" s="16"/>
      <c r="L249" s="16"/>
      <c r="M249" s="367"/>
      <c r="N249" s="17"/>
      <c r="O249" s="17"/>
      <c r="P249" s="17"/>
      <c r="Q249" s="17"/>
      <c r="R249" s="17"/>
      <c r="S249" s="368">
        <v>0</v>
      </c>
      <c r="T249" s="351">
        <f t="shared" si="6"/>
        <v>0</v>
      </c>
      <c r="U249" s="54"/>
    </row>
    <row r="250" spans="2:21" ht="17.25" hidden="1" x14ac:dyDescent="0.3">
      <c r="B250" s="16">
        <v>23</v>
      </c>
      <c r="C250" s="90"/>
      <c r="D250" s="98"/>
      <c r="E250" s="96"/>
      <c r="F250" s="93"/>
      <c r="G250" s="68"/>
      <c r="H250" s="68"/>
      <c r="I250" s="93"/>
      <c r="J250" s="68"/>
      <c r="K250" s="16"/>
      <c r="L250" s="16"/>
      <c r="M250" s="367"/>
      <c r="N250" s="17"/>
      <c r="O250" s="17"/>
      <c r="P250" s="17"/>
      <c r="Q250" s="17"/>
      <c r="R250" s="17"/>
      <c r="S250" s="368">
        <v>0</v>
      </c>
      <c r="T250" s="351">
        <f t="shared" si="6"/>
        <v>0</v>
      </c>
      <c r="U250" s="54"/>
    </row>
    <row r="251" spans="2:21" ht="17.25" hidden="1" x14ac:dyDescent="0.3">
      <c r="B251" s="16">
        <v>24</v>
      </c>
      <c r="C251" s="90"/>
      <c r="D251" s="98"/>
      <c r="E251" s="96"/>
      <c r="F251" s="93"/>
      <c r="G251" s="68"/>
      <c r="H251" s="68"/>
      <c r="I251" s="93"/>
      <c r="J251" s="68"/>
      <c r="K251" s="16"/>
      <c r="L251" s="16"/>
      <c r="M251" s="367"/>
      <c r="N251" s="17"/>
      <c r="O251" s="17"/>
      <c r="P251" s="17"/>
      <c r="Q251" s="17"/>
      <c r="R251" s="17"/>
      <c r="S251" s="368">
        <v>0</v>
      </c>
      <c r="T251" s="351">
        <f t="shared" si="6"/>
        <v>0</v>
      </c>
      <c r="U251" s="54"/>
    </row>
    <row r="252" spans="2:21" ht="17.25" hidden="1" x14ac:dyDescent="0.3">
      <c r="B252" s="16">
        <v>25</v>
      </c>
      <c r="C252" s="90"/>
      <c r="D252" s="98"/>
      <c r="E252" s="96"/>
      <c r="F252" s="93"/>
      <c r="G252" s="68"/>
      <c r="H252" s="68"/>
      <c r="I252" s="93"/>
      <c r="J252" s="68"/>
      <c r="K252" s="16"/>
      <c r="L252" s="16"/>
      <c r="M252" s="367"/>
      <c r="N252" s="17"/>
      <c r="O252" s="17"/>
      <c r="P252" s="17"/>
      <c r="Q252" s="17"/>
      <c r="R252" s="17"/>
      <c r="S252" s="368">
        <v>0</v>
      </c>
      <c r="T252" s="351">
        <f t="shared" si="6"/>
        <v>0</v>
      </c>
      <c r="U252" s="54"/>
    </row>
    <row r="253" spans="2:21" ht="17.25" hidden="1" x14ac:dyDescent="0.3">
      <c r="B253" s="16">
        <v>26</v>
      </c>
      <c r="C253" s="90"/>
      <c r="D253" s="98"/>
      <c r="E253" s="96"/>
      <c r="F253" s="93"/>
      <c r="G253" s="68"/>
      <c r="H253" s="68"/>
      <c r="I253" s="93"/>
      <c r="J253" s="68"/>
      <c r="K253" s="16"/>
      <c r="L253" s="16"/>
      <c r="M253" s="367"/>
      <c r="N253" s="17"/>
      <c r="O253" s="17"/>
      <c r="P253" s="17"/>
      <c r="Q253" s="17"/>
      <c r="R253" s="17"/>
      <c r="S253" s="368">
        <v>0</v>
      </c>
      <c r="T253" s="351">
        <f t="shared" si="6"/>
        <v>0</v>
      </c>
      <c r="U253" s="54"/>
    </row>
    <row r="254" spans="2:21" ht="17.25" hidden="1" x14ac:dyDescent="0.3">
      <c r="B254" s="16">
        <v>27</v>
      </c>
      <c r="C254" s="90"/>
      <c r="D254" s="98"/>
      <c r="E254" s="96"/>
      <c r="F254" s="93"/>
      <c r="G254" s="68"/>
      <c r="H254" s="68"/>
      <c r="I254" s="93"/>
      <c r="J254" s="68"/>
      <c r="K254" s="16"/>
      <c r="L254" s="16"/>
      <c r="M254" s="367"/>
      <c r="N254" s="17"/>
      <c r="O254" s="17"/>
      <c r="P254" s="17"/>
      <c r="Q254" s="17"/>
      <c r="R254" s="17"/>
      <c r="S254" s="368">
        <v>0</v>
      </c>
      <c r="T254" s="351">
        <f t="shared" si="6"/>
        <v>0</v>
      </c>
      <c r="U254" s="54"/>
    </row>
    <row r="255" spans="2:21" ht="17.25" hidden="1" x14ac:dyDescent="0.3">
      <c r="B255" s="16">
        <v>28</v>
      </c>
      <c r="C255" s="90"/>
      <c r="D255" s="98"/>
      <c r="E255" s="96"/>
      <c r="F255" s="93"/>
      <c r="G255" s="68"/>
      <c r="H255" s="68"/>
      <c r="I255" s="93"/>
      <c r="J255" s="68"/>
      <c r="K255" s="16"/>
      <c r="L255" s="16"/>
      <c r="M255" s="367"/>
      <c r="N255" s="17"/>
      <c r="O255" s="17"/>
      <c r="P255" s="17"/>
      <c r="Q255" s="17"/>
      <c r="R255" s="17"/>
      <c r="S255" s="368">
        <v>0</v>
      </c>
      <c r="T255" s="351">
        <f t="shared" si="6"/>
        <v>0</v>
      </c>
      <c r="U255" s="54"/>
    </row>
    <row r="256" spans="2:21" ht="17.25" hidden="1" x14ac:dyDescent="0.3">
      <c r="B256" s="16">
        <v>29</v>
      </c>
      <c r="C256" s="90"/>
      <c r="D256" s="98"/>
      <c r="E256" s="96"/>
      <c r="F256" s="93"/>
      <c r="G256" s="68"/>
      <c r="H256" s="68"/>
      <c r="I256" s="93"/>
      <c r="J256" s="68"/>
      <c r="K256" s="16"/>
      <c r="L256" s="16"/>
      <c r="M256" s="367"/>
      <c r="N256" s="17"/>
      <c r="O256" s="17"/>
      <c r="P256" s="17"/>
      <c r="Q256" s="17"/>
      <c r="R256" s="17"/>
      <c r="S256" s="368">
        <v>0</v>
      </c>
      <c r="T256" s="351">
        <f t="shared" si="6"/>
        <v>0</v>
      </c>
      <c r="U256" s="54"/>
    </row>
    <row r="257" spans="2:21" ht="17.25" hidden="1" x14ac:dyDescent="0.3">
      <c r="B257" s="16">
        <v>30</v>
      </c>
      <c r="C257" s="90"/>
      <c r="D257" s="98"/>
      <c r="E257" s="96"/>
      <c r="F257" s="93"/>
      <c r="G257" s="68"/>
      <c r="H257" s="68"/>
      <c r="I257" s="93"/>
      <c r="J257" s="68"/>
      <c r="K257" s="16"/>
      <c r="L257" s="16"/>
      <c r="M257" s="367"/>
      <c r="N257" s="17"/>
      <c r="O257" s="17"/>
      <c r="P257" s="17"/>
      <c r="Q257" s="17"/>
      <c r="R257" s="17"/>
      <c r="S257" s="368">
        <v>0</v>
      </c>
      <c r="T257" s="351">
        <f t="shared" si="6"/>
        <v>0</v>
      </c>
      <c r="U257" s="54"/>
    </row>
    <row r="258" spans="2:21" ht="17.25" hidden="1" x14ac:dyDescent="0.3">
      <c r="B258" s="16">
        <v>31</v>
      </c>
      <c r="C258" s="90"/>
      <c r="D258" s="98"/>
      <c r="E258" s="96"/>
      <c r="F258" s="93"/>
      <c r="G258" s="68"/>
      <c r="H258" s="68"/>
      <c r="I258" s="93"/>
      <c r="J258" s="68"/>
      <c r="K258" s="16"/>
      <c r="L258" s="16"/>
      <c r="M258" s="367"/>
      <c r="N258" s="17"/>
      <c r="O258" s="17"/>
      <c r="P258" s="17"/>
      <c r="Q258" s="17"/>
      <c r="R258" s="17"/>
      <c r="S258" s="368">
        <v>0</v>
      </c>
      <c r="T258" s="351">
        <f t="shared" si="6"/>
        <v>0</v>
      </c>
      <c r="U258" s="54"/>
    </row>
    <row r="259" spans="2:21" ht="17.25" hidden="1" x14ac:dyDescent="0.3">
      <c r="B259" s="16">
        <v>32</v>
      </c>
      <c r="C259" s="90"/>
      <c r="D259" s="98"/>
      <c r="E259" s="96"/>
      <c r="F259" s="93"/>
      <c r="G259" s="68"/>
      <c r="H259" s="68"/>
      <c r="I259" s="93"/>
      <c r="J259" s="68"/>
      <c r="K259" s="16"/>
      <c r="L259" s="16"/>
      <c r="M259" s="367"/>
      <c r="N259" s="17"/>
      <c r="O259" s="17"/>
      <c r="P259" s="17"/>
      <c r="Q259" s="17"/>
      <c r="R259" s="17"/>
      <c r="S259" s="368">
        <v>0</v>
      </c>
      <c r="T259" s="351">
        <f t="shared" si="6"/>
        <v>0</v>
      </c>
      <c r="U259" s="54"/>
    </row>
    <row r="260" spans="2:21" ht="17.25" hidden="1" x14ac:dyDescent="0.3">
      <c r="B260" s="16">
        <v>33</v>
      </c>
      <c r="C260" s="90"/>
      <c r="D260" s="98"/>
      <c r="E260" s="96"/>
      <c r="F260" s="93"/>
      <c r="G260" s="68"/>
      <c r="H260" s="68"/>
      <c r="I260" s="93"/>
      <c r="J260" s="68"/>
      <c r="K260" s="16"/>
      <c r="L260" s="16"/>
      <c r="M260" s="367"/>
      <c r="N260" s="17"/>
      <c r="O260" s="17"/>
      <c r="P260" s="17"/>
      <c r="Q260" s="17"/>
      <c r="R260" s="17"/>
      <c r="S260" s="368">
        <v>0</v>
      </c>
      <c r="T260" s="351">
        <f t="shared" ref="T260:T291" si="7">F260*S260</f>
        <v>0</v>
      </c>
      <c r="U260" s="54"/>
    </row>
    <row r="261" spans="2:21" ht="17.25" hidden="1" x14ac:dyDescent="0.3">
      <c r="B261" s="16">
        <v>34</v>
      </c>
      <c r="C261" s="90"/>
      <c r="D261" s="98"/>
      <c r="E261" s="96"/>
      <c r="F261" s="93"/>
      <c r="G261" s="68"/>
      <c r="H261" s="68"/>
      <c r="I261" s="93"/>
      <c r="J261" s="68"/>
      <c r="K261" s="16"/>
      <c r="L261" s="16"/>
      <c r="M261" s="367"/>
      <c r="N261" s="17"/>
      <c r="O261" s="17"/>
      <c r="P261" s="17"/>
      <c r="Q261" s="17"/>
      <c r="R261" s="17"/>
      <c r="S261" s="368">
        <v>0</v>
      </c>
      <c r="T261" s="351">
        <f t="shared" si="7"/>
        <v>0</v>
      </c>
      <c r="U261" s="54"/>
    </row>
    <row r="262" spans="2:21" ht="17.25" hidden="1" x14ac:dyDescent="0.3">
      <c r="B262" s="16">
        <v>35</v>
      </c>
      <c r="C262" s="90"/>
      <c r="D262" s="98"/>
      <c r="E262" s="96"/>
      <c r="F262" s="93"/>
      <c r="G262" s="68"/>
      <c r="H262" s="68"/>
      <c r="I262" s="93"/>
      <c r="J262" s="68"/>
      <c r="K262" s="16"/>
      <c r="L262" s="16"/>
      <c r="M262" s="367"/>
      <c r="N262" s="17"/>
      <c r="O262" s="17"/>
      <c r="P262" s="17"/>
      <c r="Q262" s="17"/>
      <c r="R262" s="17"/>
      <c r="S262" s="368">
        <v>0</v>
      </c>
      <c r="T262" s="351">
        <f t="shared" si="7"/>
        <v>0</v>
      </c>
      <c r="U262" s="54"/>
    </row>
    <row r="263" spans="2:21" ht="17.25" hidden="1" x14ac:dyDescent="0.3">
      <c r="B263" s="16">
        <v>36</v>
      </c>
      <c r="C263" s="90"/>
      <c r="D263" s="98"/>
      <c r="E263" s="96"/>
      <c r="F263" s="93"/>
      <c r="G263" s="68"/>
      <c r="H263" s="68"/>
      <c r="I263" s="93"/>
      <c r="J263" s="68"/>
      <c r="K263" s="16"/>
      <c r="L263" s="16"/>
      <c r="M263" s="367"/>
      <c r="N263" s="17"/>
      <c r="O263" s="17"/>
      <c r="P263" s="17"/>
      <c r="Q263" s="17"/>
      <c r="R263" s="17"/>
      <c r="S263" s="368">
        <v>0</v>
      </c>
      <c r="T263" s="351">
        <f t="shared" si="7"/>
        <v>0</v>
      </c>
      <c r="U263" s="54"/>
    </row>
    <row r="264" spans="2:21" ht="17.25" hidden="1" x14ac:dyDescent="0.3">
      <c r="B264" s="16">
        <v>37</v>
      </c>
      <c r="C264" s="90"/>
      <c r="D264" s="98"/>
      <c r="E264" s="96"/>
      <c r="F264" s="93"/>
      <c r="G264" s="68"/>
      <c r="H264" s="68"/>
      <c r="I264" s="93"/>
      <c r="J264" s="68"/>
      <c r="K264" s="16"/>
      <c r="L264" s="16"/>
      <c r="M264" s="367"/>
      <c r="N264" s="17"/>
      <c r="O264" s="17"/>
      <c r="P264" s="17"/>
      <c r="Q264" s="17"/>
      <c r="R264" s="17"/>
      <c r="S264" s="368">
        <v>0</v>
      </c>
      <c r="T264" s="351">
        <f t="shared" si="7"/>
        <v>0</v>
      </c>
      <c r="U264" s="54"/>
    </row>
    <row r="265" spans="2:21" ht="17.25" hidden="1" x14ac:dyDescent="0.3">
      <c r="B265" s="16">
        <v>38</v>
      </c>
      <c r="C265" s="90"/>
      <c r="D265" s="98"/>
      <c r="E265" s="96"/>
      <c r="F265" s="93"/>
      <c r="G265" s="68"/>
      <c r="H265" s="68"/>
      <c r="I265" s="93"/>
      <c r="J265" s="68"/>
      <c r="K265" s="16"/>
      <c r="L265" s="16"/>
      <c r="M265" s="367"/>
      <c r="N265" s="17"/>
      <c r="O265" s="17"/>
      <c r="P265" s="17"/>
      <c r="Q265" s="17"/>
      <c r="R265" s="17"/>
      <c r="S265" s="368">
        <v>0</v>
      </c>
      <c r="T265" s="351">
        <f t="shared" si="7"/>
        <v>0</v>
      </c>
      <c r="U265" s="54"/>
    </row>
    <row r="266" spans="2:21" ht="17.25" hidden="1" x14ac:dyDescent="0.3">
      <c r="B266" s="16">
        <v>39</v>
      </c>
      <c r="C266" s="90"/>
      <c r="D266" s="98"/>
      <c r="E266" s="96"/>
      <c r="F266" s="93"/>
      <c r="G266" s="68"/>
      <c r="H266" s="68"/>
      <c r="I266" s="93"/>
      <c r="J266" s="68"/>
      <c r="K266" s="16"/>
      <c r="L266" s="16"/>
      <c r="M266" s="367"/>
      <c r="N266" s="17"/>
      <c r="O266" s="17"/>
      <c r="P266" s="17"/>
      <c r="Q266" s="17"/>
      <c r="R266" s="17"/>
      <c r="S266" s="368">
        <v>0</v>
      </c>
      <c r="T266" s="351">
        <f t="shared" si="7"/>
        <v>0</v>
      </c>
      <c r="U266" s="54"/>
    </row>
    <row r="267" spans="2:21" ht="17.25" hidden="1" x14ac:dyDescent="0.3">
      <c r="B267" s="16">
        <v>40</v>
      </c>
      <c r="C267" s="90"/>
      <c r="D267" s="98"/>
      <c r="E267" s="96"/>
      <c r="F267" s="93"/>
      <c r="G267" s="68"/>
      <c r="H267" s="68"/>
      <c r="I267" s="93"/>
      <c r="J267" s="68"/>
      <c r="K267" s="16"/>
      <c r="L267" s="16"/>
      <c r="M267" s="367"/>
      <c r="N267" s="17"/>
      <c r="O267" s="17"/>
      <c r="P267" s="17"/>
      <c r="Q267" s="17"/>
      <c r="R267" s="17"/>
      <c r="S267" s="368">
        <v>0</v>
      </c>
      <c r="T267" s="351">
        <f t="shared" si="7"/>
        <v>0</v>
      </c>
      <c r="U267" s="54"/>
    </row>
    <row r="268" spans="2:21" ht="17.25" hidden="1" x14ac:dyDescent="0.3">
      <c r="B268" s="16">
        <v>41</v>
      </c>
      <c r="C268" s="90"/>
      <c r="D268" s="98"/>
      <c r="E268" s="96"/>
      <c r="F268" s="93"/>
      <c r="G268" s="68"/>
      <c r="H268" s="68"/>
      <c r="I268" s="93"/>
      <c r="J268" s="68"/>
      <c r="K268" s="16"/>
      <c r="L268" s="16"/>
      <c r="M268" s="367"/>
      <c r="N268" s="17"/>
      <c r="O268" s="17"/>
      <c r="P268" s="17"/>
      <c r="Q268" s="17"/>
      <c r="R268" s="17"/>
      <c r="S268" s="368">
        <v>0</v>
      </c>
      <c r="T268" s="351">
        <f t="shared" si="7"/>
        <v>0</v>
      </c>
      <c r="U268" s="54"/>
    </row>
    <row r="269" spans="2:21" ht="17.25" hidden="1" x14ac:dyDescent="0.3">
      <c r="B269" s="16">
        <v>42</v>
      </c>
      <c r="C269" s="90"/>
      <c r="D269" s="98"/>
      <c r="E269" s="96"/>
      <c r="F269" s="93"/>
      <c r="G269" s="68"/>
      <c r="H269" s="68"/>
      <c r="I269" s="93"/>
      <c r="J269" s="68"/>
      <c r="K269" s="16"/>
      <c r="L269" s="16"/>
      <c r="M269" s="367"/>
      <c r="N269" s="17"/>
      <c r="O269" s="17"/>
      <c r="P269" s="17"/>
      <c r="Q269" s="17"/>
      <c r="R269" s="17"/>
      <c r="S269" s="368">
        <v>0</v>
      </c>
      <c r="T269" s="351">
        <f t="shared" si="7"/>
        <v>0</v>
      </c>
      <c r="U269" s="54"/>
    </row>
    <row r="270" spans="2:21" ht="17.25" hidden="1" x14ac:dyDescent="0.3">
      <c r="B270" s="16">
        <v>43</v>
      </c>
      <c r="C270" s="90"/>
      <c r="D270" s="98"/>
      <c r="E270" s="96"/>
      <c r="F270" s="93"/>
      <c r="G270" s="68"/>
      <c r="H270" s="68"/>
      <c r="I270" s="93"/>
      <c r="J270" s="68"/>
      <c r="K270" s="16"/>
      <c r="L270" s="16"/>
      <c r="M270" s="367"/>
      <c r="N270" s="17"/>
      <c r="O270" s="17"/>
      <c r="P270" s="17"/>
      <c r="Q270" s="17"/>
      <c r="R270" s="17"/>
      <c r="S270" s="368">
        <v>0</v>
      </c>
      <c r="T270" s="351">
        <f t="shared" si="7"/>
        <v>0</v>
      </c>
      <c r="U270" s="54"/>
    </row>
    <row r="271" spans="2:21" ht="17.25" hidden="1" x14ac:dyDescent="0.3">
      <c r="B271" s="16">
        <v>44</v>
      </c>
      <c r="C271" s="90"/>
      <c r="D271" s="98"/>
      <c r="E271" s="96"/>
      <c r="F271" s="93"/>
      <c r="G271" s="68"/>
      <c r="H271" s="68"/>
      <c r="I271" s="93"/>
      <c r="J271" s="68"/>
      <c r="K271" s="16"/>
      <c r="L271" s="16"/>
      <c r="M271" s="367"/>
      <c r="N271" s="17"/>
      <c r="O271" s="17"/>
      <c r="P271" s="17"/>
      <c r="Q271" s="17"/>
      <c r="R271" s="17"/>
      <c r="S271" s="368">
        <v>0</v>
      </c>
      <c r="T271" s="351">
        <f t="shared" si="7"/>
        <v>0</v>
      </c>
      <c r="U271" s="54"/>
    </row>
    <row r="272" spans="2:21" ht="17.25" hidden="1" x14ac:dyDescent="0.3">
      <c r="B272" s="16">
        <v>45</v>
      </c>
      <c r="C272" s="90"/>
      <c r="D272" s="98"/>
      <c r="E272" s="96"/>
      <c r="F272" s="93"/>
      <c r="G272" s="68"/>
      <c r="H272" s="68"/>
      <c r="I272" s="93"/>
      <c r="J272" s="68"/>
      <c r="K272" s="16"/>
      <c r="L272" s="16"/>
      <c r="M272" s="367"/>
      <c r="N272" s="17"/>
      <c r="O272" s="17"/>
      <c r="P272" s="17"/>
      <c r="Q272" s="17"/>
      <c r="R272" s="17"/>
      <c r="S272" s="368">
        <v>0</v>
      </c>
      <c r="T272" s="351">
        <f t="shared" si="7"/>
        <v>0</v>
      </c>
      <c r="U272" s="54"/>
    </row>
    <row r="273" spans="2:21" ht="17.25" hidden="1" x14ac:dyDescent="0.3">
      <c r="B273" s="16">
        <v>46</v>
      </c>
      <c r="C273" s="90"/>
      <c r="D273" s="98"/>
      <c r="E273" s="96"/>
      <c r="F273" s="93"/>
      <c r="G273" s="68"/>
      <c r="H273" s="68"/>
      <c r="I273" s="93"/>
      <c r="J273" s="68"/>
      <c r="K273" s="16"/>
      <c r="L273" s="16"/>
      <c r="M273" s="367"/>
      <c r="N273" s="17"/>
      <c r="O273" s="17"/>
      <c r="P273" s="17"/>
      <c r="Q273" s="17"/>
      <c r="R273" s="17"/>
      <c r="S273" s="368">
        <v>0</v>
      </c>
      <c r="T273" s="351">
        <f t="shared" si="7"/>
        <v>0</v>
      </c>
      <c r="U273" s="54"/>
    </row>
    <row r="274" spans="2:21" ht="17.25" hidden="1" x14ac:dyDescent="0.3">
      <c r="B274" s="16">
        <v>47</v>
      </c>
      <c r="C274" s="90"/>
      <c r="D274" s="98"/>
      <c r="E274" s="96"/>
      <c r="F274" s="93"/>
      <c r="G274" s="68"/>
      <c r="H274" s="68"/>
      <c r="I274" s="93"/>
      <c r="J274" s="68"/>
      <c r="K274" s="16"/>
      <c r="L274" s="16"/>
      <c r="M274" s="367"/>
      <c r="N274" s="17"/>
      <c r="O274" s="17"/>
      <c r="P274" s="17"/>
      <c r="Q274" s="17"/>
      <c r="R274" s="17"/>
      <c r="S274" s="368">
        <v>0</v>
      </c>
      <c r="T274" s="351">
        <f t="shared" si="7"/>
        <v>0</v>
      </c>
      <c r="U274" s="54"/>
    </row>
    <row r="275" spans="2:21" ht="17.25" hidden="1" x14ac:dyDescent="0.3">
      <c r="B275" s="16">
        <v>48</v>
      </c>
      <c r="C275" s="90"/>
      <c r="D275" s="98"/>
      <c r="E275" s="96"/>
      <c r="F275" s="93"/>
      <c r="G275" s="68"/>
      <c r="H275" s="68"/>
      <c r="I275" s="93"/>
      <c r="J275" s="68"/>
      <c r="K275" s="16"/>
      <c r="L275" s="16"/>
      <c r="M275" s="367"/>
      <c r="N275" s="17"/>
      <c r="O275" s="17"/>
      <c r="P275" s="17"/>
      <c r="Q275" s="17"/>
      <c r="R275" s="17"/>
      <c r="S275" s="368">
        <v>0</v>
      </c>
      <c r="T275" s="351">
        <f t="shared" si="7"/>
        <v>0</v>
      </c>
      <c r="U275" s="54"/>
    </row>
    <row r="276" spans="2:21" ht="17.25" hidden="1" x14ac:dyDescent="0.3">
      <c r="B276" s="16">
        <v>49</v>
      </c>
      <c r="C276" s="90"/>
      <c r="D276" s="98"/>
      <c r="E276" s="96"/>
      <c r="F276" s="93"/>
      <c r="G276" s="68"/>
      <c r="H276" s="68"/>
      <c r="I276" s="93"/>
      <c r="J276" s="68"/>
      <c r="K276" s="16"/>
      <c r="L276" s="16"/>
      <c r="M276" s="367"/>
      <c r="N276" s="17"/>
      <c r="O276" s="17"/>
      <c r="P276" s="17"/>
      <c r="Q276" s="17"/>
      <c r="R276" s="17"/>
      <c r="S276" s="368">
        <v>0</v>
      </c>
      <c r="T276" s="351">
        <f t="shared" si="7"/>
        <v>0</v>
      </c>
      <c r="U276" s="54"/>
    </row>
    <row r="277" spans="2:21" ht="17.25" hidden="1" x14ac:dyDescent="0.3">
      <c r="B277" s="16">
        <v>50</v>
      </c>
      <c r="C277" s="90"/>
      <c r="D277" s="98"/>
      <c r="E277" s="96"/>
      <c r="F277" s="93"/>
      <c r="G277" s="68"/>
      <c r="H277" s="68"/>
      <c r="I277" s="93"/>
      <c r="J277" s="68"/>
      <c r="K277" s="16"/>
      <c r="L277" s="16"/>
      <c r="M277" s="367"/>
      <c r="N277" s="17"/>
      <c r="O277" s="17"/>
      <c r="P277" s="17"/>
      <c r="Q277" s="17"/>
      <c r="R277" s="17"/>
      <c r="S277" s="368">
        <v>0</v>
      </c>
      <c r="T277" s="351">
        <f t="shared" si="7"/>
        <v>0</v>
      </c>
      <c r="U277" s="54"/>
    </row>
    <row r="278" spans="2:21" ht="17.25" hidden="1" x14ac:dyDescent="0.3">
      <c r="B278" s="16">
        <v>51</v>
      </c>
      <c r="C278" s="90"/>
      <c r="D278" s="98"/>
      <c r="E278" s="96"/>
      <c r="F278" s="93"/>
      <c r="G278" s="68"/>
      <c r="H278" s="68"/>
      <c r="I278" s="93"/>
      <c r="J278" s="68"/>
      <c r="K278" s="16"/>
      <c r="L278" s="16"/>
      <c r="M278" s="367"/>
      <c r="N278" s="17"/>
      <c r="O278" s="17"/>
      <c r="P278" s="17"/>
      <c r="Q278" s="17"/>
      <c r="R278" s="17"/>
      <c r="S278" s="368">
        <v>0</v>
      </c>
      <c r="T278" s="351">
        <f t="shared" si="7"/>
        <v>0</v>
      </c>
      <c r="U278" s="54"/>
    </row>
    <row r="279" spans="2:21" ht="17.25" hidden="1" x14ac:dyDescent="0.3">
      <c r="B279" s="16">
        <v>52</v>
      </c>
      <c r="C279" s="90"/>
      <c r="D279" s="98"/>
      <c r="E279" s="96"/>
      <c r="F279" s="93"/>
      <c r="G279" s="68"/>
      <c r="H279" s="68"/>
      <c r="I279" s="93"/>
      <c r="J279" s="68"/>
      <c r="K279" s="16"/>
      <c r="L279" s="16"/>
      <c r="M279" s="367"/>
      <c r="N279" s="17"/>
      <c r="O279" s="17"/>
      <c r="P279" s="17"/>
      <c r="Q279" s="17"/>
      <c r="R279" s="17"/>
      <c r="S279" s="368">
        <v>0</v>
      </c>
      <c r="T279" s="351">
        <f t="shared" si="7"/>
        <v>0</v>
      </c>
      <c r="U279" s="54"/>
    </row>
    <row r="280" spans="2:21" ht="17.25" hidden="1" x14ac:dyDescent="0.3">
      <c r="B280" s="16">
        <v>53</v>
      </c>
      <c r="C280" s="90"/>
      <c r="D280" s="98"/>
      <c r="E280" s="96"/>
      <c r="F280" s="93"/>
      <c r="G280" s="68"/>
      <c r="H280" s="68"/>
      <c r="I280" s="93"/>
      <c r="J280" s="68"/>
      <c r="K280" s="16"/>
      <c r="L280" s="16"/>
      <c r="M280" s="367"/>
      <c r="N280" s="17"/>
      <c r="O280" s="17"/>
      <c r="P280" s="17"/>
      <c r="Q280" s="17"/>
      <c r="R280" s="17"/>
      <c r="S280" s="368">
        <v>0</v>
      </c>
      <c r="T280" s="351">
        <f t="shared" si="7"/>
        <v>0</v>
      </c>
      <c r="U280" s="54"/>
    </row>
    <row r="281" spans="2:21" ht="17.25" hidden="1" x14ac:dyDescent="0.3">
      <c r="B281" s="16">
        <v>54</v>
      </c>
      <c r="C281" s="90"/>
      <c r="D281" s="98"/>
      <c r="E281" s="96"/>
      <c r="F281" s="93"/>
      <c r="G281" s="68"/>
      <c r="H281" s="68"/>
      <c r="I281" s="93"/>
      <c r="J281" s="68"/>
      <c r="K281" s="16"/>
      <c r="L281" s="16"/>
      <c r="M281" s="367"/>
      <c r="N281" s="17"/>
      <c r="O281" s="17"/>
      <c r="P281" s="17"/>
      <c r="Q281" s="17"/>
      <c r="R281" s="17"/>
      <c r="S281" s="368">
        <v>0</v>
      </c>
      <c r="T281" s="351">
        <f t="shared" si="7"/>
        <v>0</v>
      </c>
      <c r="U281" s="54"/>
    </row>
    <row r="282" spans="2:21" ht="17.25" hidden="1" x14ac:dyDescent="0.3">
      <c r="B282" s="16">
        <v>55</v>
      </c>
      <c r="C282" s="90"/>
      <c r="D282" s="98"/>
      <c r="E282" s="96"/>
      <c r="F282" s="93"/>
      <c r="G282" s="68"/>
      <c r="H282" s="68"/>
      <c r="I282" s="93"/>
      <c r="J282" s="68"/>
      <c r="K282" s="16"/>
      <c r="L282" s="16"/>
      <c r="M282" s="367"/>
      <c r="N282" s="17"/>
      <c r="O282" s="17"/>
      <c r="P282" s="17"/>
      <c r="Q282" s="17"/>
      <c r="R282" s="17"/>
      <c r="S282" s="368">
        <v>0</v>
      </c>
      <c r="T282" s="351">
        <f t="shared" si="7"/>
        <v>0</v>
      </c>
      <c r="U282" s="54"/>
    </row>
    <row r="283" spans="2:21" ht="17.25" hidden="1" x14ac:dyDescent="0.3">
      <c r="B283" s="16">
        <v>56</v>
      </c>
      <c r="C283" s="90"/>
      <c r="D283" s="98"/>
      <c r="E283" s="96"/>
      <c r="F283" s="93"/>
      <c r="G283" s="68"/>
      <c r="H283" s="68"/>
      <c r="I283" s="93"/>
      <c r="J283" s="68"/>
      <c r="K283" s="16"/>
      <c r="L283" s="16"/>
      <c r="M283" s="367"/>
      <c r="N283" s="17"/>
      <c r="O283" s="17"/>
      <c r="P283" s="17"/>
      <c r="Q283" s="17"/>
      <c r="R283" s="17"/>
      <c r="S283" s="368">
        <v>0</v>
      </c>
      <c r="T283" s="351">
        <f t="shared" si="7"/>
        <v>0</v>
      </c>
      <c r="U283" s="54"/>
    </row>
    <row r="284" spans="2:21" ht="17.25" hidden="1" x14ac:dyDescent="0.3">
      <c r="B284" s="16">
        <v>57</v>
      </c>
      <c r="C284" s="90"/>
      <c r="D284" s="98"/>
      <c r="E284" s="96"/>
      <c r="F284" s="93"/>
      <c r="G284" s="68"/>
      <c r="H284" s="68"/>
      <c r="I284" s="93"/>
      <c r="J284" s="68"/>
      <c r="K284" s="16"/>
      <c r="L284" s="16"/>
      <c r="M284" s="367"/>
      <c r="N284" s="17"/>
      <c r="O284" s="17"/>
      <c r="P284" s="17"/>
      <c r="Q284" s="17"/>
      <c r="R284" s="17"/>
      <c r="S284" s="368">
        <v>0</v>
      </c>
      <c r="T284" s="351">
        <f t="shared" si="7"/>
        <v>0</v>
      </c>
      <c r="U284" s="54"/>
    </row>
    <row r="285" spans="2:21" ht="17.25" hidden="1" x14ac:dyDescent="0.3">
      <c r="B285" s="16">
        <v>58</v>
      </c>
      <c r="C285" s="90"/>
      <c r="D285" s="98"/>
      <c r="E285" s="96"/>
      <c r="F285" s="93"/>
      <c r="G285" s="68"/>
      <c r="H285" s="68"/>
      <c r="I285" s="93"/>
      <c r="J285" s="68"/>
      <c r="K285" s="16"/>
      <c r="L285" s="16"/>
      <c r="M285" s="367"/>
      <c r="N285" s="17"/>
      <c r="O285" s="17"/>
      <c r="P285" s="17"/>
      <c r="Q285" s="17"/>
      <c r="R285" s="17"/>
      <c r="S285" s="368">
        <v>0</v>
      </c>
      <c r="T285" s="351">
        <f t="shared" si="7"/>
        <v>0</v>
      </c>
      <c r="U285" s="54"/>
    </row>
    <row r="286" spans="2:21" ht="17.25" hidden="1" x14ac:dyDescent="0.3">
      <c r="B286" s="16">
        <v>59</v>
      </c>
      <c r="C286" s="90"/>
      <c r="D286" s="98"/>
      <c r="E286" s="96"/>
      <c r="F286" s="93"/>
      <c r="G286" s="68"/>
      <c r="H286" s="68"/>
      <c r="I286" s="93"/>
      <c r="J286" s="68"/>
      <c r="K286" s="16"/>
      <c r="L286" s="16"/>
      <c r="M286" s="367"/>
      <c r="N286" s="17"/>
      <c r="O286" s="17"/>
      <c r="P286" s="17"/>
      <c r="Q286" s="17"/>
      <c r="R286" s="17"/>
      <c r="S286" s="368">
        <v>0</v>
      </c>
      <c r="T286" s="351">
        <f t="shared" si="7"/>
        <v>0</v>
      </c>
      <c r="U286" s="54"/>
    </row>
    <row r="287" spans="2:21" ht="17.25" hidden="1" x14ac:dyDescent="0.3">
      <c r="B287" s="16">
        <v>60</v>
      </c>
      <c r="C287" s="90"/>
      <c r="D287" s="98"/>
      <c r="E287" s="96"/>
      <c r="F287" s="93"/>
      <c r="G287" s="68"/>
      <c r="H287" s="68"/>
      <c r="I287" s="93"/>
      <c r="J287" s="68"/>
      <c r="K287" s="16"/>
      <c r="L287" s="16"/>
      <c r="M287" s="367"/>
      <c r="N287" s="17"/>
      <c r="O287" s="17"/>
      <c r="P287" s="17"/>
      <c r="Q287" s="17"/>
      <c r="R287" s="17"/>
      <c r="S287" s="368">
        <v>0</v>
      </c>
      <c r="T287" s="351">
        <f t="shared" si="7"/>
        <v>0</v>
      </c>
      <c r="U287" s="54"/>
    </row>
    <row r="288" spans="2:21" ht="17.25" hidden="1" x14ac:dyDescent="0.3">
      <c r="B288" s="16">
        <v>61</v>
      </c>
      <c r="C288" s="90"/>
      <c r="D288" s="98"/>
      <c r="E288" s="96"/>
      <c r="F288" s="93"/>
      <c r="G288" s="68"/>
      <c r="H288" s="68"/>
      <c r="I288" s="93"/>
      <c r="J288" s="68"/>
      <c r="K288" s="16"/>
      <c r="L288" s="16"/>
      <c r="M288" s="367"/>
      <c r="N288" s="17"/>
      <c r="O288" s="17"/>
      <c r="P288" s="17"/>
      <c r="Q288" s="17"/>
      <c r="R288" s="17"/>
      <c r="S288" s="368">
        <v>0</v>
      </c>
      <c r="T288" s="351">
        <f t="shared" si="7"/>
        <v>0</v>
      </c>
      <c r="U288" s="54"/>
    </row>
    <row r="289" spans="2:21" ht="17.25" hidden="1" x14ac:dyDescent="0.3">
      <c r="B289" s="16">
        <v>62</v>
      </c>
      <c r="C289" s="90"/>
      <c r="D289" s="98"/>
      <c r="E289" s="96"/>
      <c r="F289" s="93"/>
      <c r="G289" s="68"/>
      <c r="H289" s="68"/>
      <c r="I289" s="93"/>
      <c r="J289" s="68"/>
      <c r="K289" s="16"/>
      <c r="L289" s="16"/>
      <c r="M289" s="367"/>
      <c r="N289" s="17"/>
      <c r="O289" s="17"/>
      <c r="P289" s="17"/>
      <c r="Q289" s="17"/>
      <c r="R289" s="17"/>
      <c r="S289" s="368">
        <v>0</v>
      </c>
      <c r="T289" s="351">
        <f t="shared" si="7"/>
        <v>0</v>
      </c>
      <c r="U289" s="54"/>
    </row>
    <row r="290" spans="2:21" ht="17.25" hidden="1" x14ac:dyDescent="0.3">
      <c r="B290" s="16">
        <v>63</v>
      </c>
      <c r="C290" s="90"/>
      <c r="D290" s="98"/>
      <c r="E290" s="96"/>
      <c r="F290" s="93"/>
      <c r="G290" s="68"/>
      <c r="H290" s="68"/>
      <c r="I290" s="93"/>
      <c r="J290" s="68"/>
      <c r="K290" s="16"/>
      <c r="L290" s="16"/>
      <c r="M290" s="367"/>
      <c r="N290" s="17"/>
      <c r="O290" s="17"/>
      <c r="P290" s="17"/>
      <c r="Q290" s="17"/>
      <c r="R290" s="17"/>
      <c r="S290" s="368">
        <v>0</v>
      </c>
      <c r="T290" s="351">
        <f t="shared" si="7"/>
        <v>0</v>
      </c>
      <c r="U290" s="54"/>
    </row>
    <row r="291" spans="2:21" ht="17.25" hidden="1" x14ac:dyDescent="0.3">
      <c r="B291" s="16">
        <v>64</v>
      </c>
      <c r="C291" s="90"/>
      <c r="D291" s="98"/>
      <c r="E291" s="96"/>
      <c r="F291" s="93"/>
      <c r="G291" s="68"/>
      <c r="H291" s="68"/>
      <c r="I291" s="93"/>
      <c r="J291" s="68"/>
      <c r="K291" s="16"/>
      <c r="L291" s="16"/>
      <c r="M291" s="367"/>
      <c r="N291" s="17"/>
      <c r="O291" s="17"/>
      <c r="P291" s="17"/>
      <c r="Q291" s="17"/>
      <c r="R291" s="17"/>
      <c r="S291" s="368">
        <v>0</v>
      </c>
      <c r="T291" s="351">
        <f t="shared" si="7"/>
        <v>0</v>
      </c>
      <c r="U291" s="54"/>
    </row>
    <row r="292" spans="2:21" ht="17.25" hidden="1" x14ac:dyDescent="0.3">
      <c r="B292" s="16">
        <v>65</v>
      </c>
      <c r="C292" s="90"/>
      <c r="D292" s="98"/>
      <c r="E292" s="96"/>
      <c r="F292" s="93"/>
      <c r="G292" s="68"/>
      <c r="H292" s="68"/>
      <c r="I292" s="93"/>
      <c r="J292" s="68"/>
      <c r="K292" s="16"/>
      <c r="L292" s="16"/>
      <c r="M292" s="367"/>
      <c r="N292" s="17"/>
      <c r="O292" s="17"/>
      <c r="P292" s="17"/>
      <c r="Q292" s="17"/>
      <c r="R292" s="17"/>
      <c r="S292" s="368">
        <v>0</v>
      </c>
      <c r="T292" s="351">
        <f t="shared" ref="T292:T323" si="8">F292*S292</f>
        <v>0</v>
      </c>
      <c r="U292" s="54"/>
    </row>
    <row r="293" spans="2:21" ht="17.25" hidden="1" x14ac:dyDescent="0.3">
      <c r="B293" s="16">
        <v>66</v>
      </c>
      <c r="C293" s="90"/>
      <c r="D293" s="98"/>
      <c r="E293" s="96"/>
      <c r="F293" s="93"/>
      <c r="G293" s="68"/>
      <c r="H293" s="68"/>
      <c r="I293" s="93"/>
      <c r="J293" s="68"/>
      <c r="K293" s="16"/>
      <c r="L293" s="16"/>
      <c r="M293" s="367"/>
      <c r="N293" s="17"/>
      <c r="O293" s="17"/>
      <c r="P293" s="17"/>
      <c r="Q293" s="17"/>
      <c r="R293" s="17"/>
      <c r="S293" s="368">
        <v>0</v>
      </c>
      <c r="T293" s="351">
        <f t="shared" si="8"/>
        <v>0</v>
      </c>
      <c r="U293" s="54"/>
    </row>
    <row r="294" spans="2:21" ht="17.25" hidden="1" x14ac:dyDescent="0.3">
      <c r="B294" s="16">
        <v>67</v>
      </c>
      <c r="C294" s="90"/>
      <c r="D294" s="98"/>
      <c r="E294" s="96"/>
      <c r="F294" s="93"/>
      <c r="G294" s="68"/>
      <c r="H294" s="68"/>
      <c r="I294" s="93"/>
      <c r="J294" s="68"/>
      <c r="K294" s="16"/>
      <c r="L294" s="16"/>
      <c r="M294" s="367"/>
      <c r="N294" s="17"/>
      <c r="O294" s="17"/>
      <c r="P294" s="17"/>
      <c r="Q294" s="17"/>
      <c r="R294" s="17"/>
      <c r="S294" s="368">
        <v>0</v>
      </c>
      <c r="T294" s="351">
        <f t="shared" si="8"/>
        <v>0</v>
      </c>
      <c r="U294" s="54"/>
    </row>
    <row r="295" spans="2:21" ht="17.25" hidden="1" x14ac:dyDescent="0.3">
      <c r="B295" s="16">
        <v>68</v>
      </c>
      <c r="C295" s="90"/>
      <c r="D295" s="98"/>
      <c r="E295" s="96"/>
      <c r="F295" s="93"/>
      <c r="G295" s="68"/>
      <c r="H295" s="68"/>
      <c r="I295" s="74"/>
      <c r="J295" s="68"/>
      <c r="K295" s="16"/>
      <c r="L295" s="16"/>
      <c r="M295" s="367"/>
      <c r="N295" s="17"/>
      <c r="O295" s="17"/>
      <c r="P295" s="17"/>
      <c r="Q295" s="17"/>
      <c r="R295" s="17"/>
      <c r="S295" s="368">
        <v>0</v>
      </c>
      <c r="T295" s="351">
        <f t="shared" si="8"/>
        <v>0</v>
      </c>
      <c r="U295" s="54"/>
    </row>
    <row r="296" spans="2:21" ht="17.25" hidden="1" x14ac:dyDescent="0.3">
      <c r="B296" s="16">
        <v>69</v>
      </c>
      <c r="C296" s="90"/>
      <c r="D296" s="98"/>
      <c r="E296" s="96"/>
      <c r="F296" s="93"/>
      <c r="G296" s="68"/>
      <c r="H296" s="68"/>
      <c r="I296" s="93"/>
      <c r="J296" s="68"/>
      <c r="K296" s="16"/>
      <c r="L296" s="16"/>
      <c r="M296" s="367"/>
      <c r="N296" s="17"/>
      <c r="O296" s="17"/>
      <c r="P296" s="17"/>
      <c r="Q296" s="17"/>
      <c r="R296" s="17"/>
      <c r="S296" s="368">
        <v>0</v>
      </c>
      <c r="T296" s="351">
        <f t="shared" si="8"/>
        <v>0</v>
      </c>
      <c r="U296" s="54"/>
    </row>
    <row r="297" spans="2:21" ht="17.25" hidden="1" x14ac:dyDescent="0.3">
      <c r="B297" s="16">
        <v>70</v>
      </c>
      <c r="C297" s="90"/>
      <c r="D297" s="98"/>
      <c r="E297" s="96"/>
      <c r="F297" s="93"/>
      <c r="G297" s="68"/>
      <c r="H297" s="68"/>
      <c r="I297" s="93"/>
      <c r="J297" s="68"/>
      <c r="K297" s="16"/>
      <c r="L297" s="16"/>
      <c r="M297" s="367"/>
      <c r="N297" s="17"/>
      <c r="O297" s="17"/>
      <c r="P297" s="17"/>
      <c r="Q297" s="17"/>
      <c r="R297" s="17"/>
      <c r="S297" s="368">
        <v>0</v>
      </c>
      <c r="T297" s="351">
        <f t="shared" si="8"/>
        <v>0</v>
      </c>
      <c r="U297" s="54"/>
    </row>
    <row r="298" spans="2:21" ht="17.25" hidden="1" x14ac:dyDescent="0.3">
      <c r="B298" s="16">
        <v>71</v>
      </c>
      <c r="C298" s="90"/>
      <c r="D298" s="98"/>
      <c r="E298" s="96"/>
      <c r="F298" s="93"/>
      <c r="G298" s="68"/>
      <c r="H298" s="68"/>
      <c r="I298" s="93"/>
      <c r="J298" s="68"/>
      <c r="K298" s="16"/>
      <c r="L298" s="16"/>
      <c r="M298" s="367"/>
      <c r="N298" s="17"/>
      <c r="O298" s="17"/>
      <c r="P298" s="17"/>
      <c r="Q298" s="17"/>
      <c r="R298" s="17"/>
      <c r="S298" s="368">
        <v>0</v>
      </c>
      <c r="T298" s="351">
        <f t="shared" si="8"/>
        <v>0</v>
      </c>
      <c r="U298" s="54"/>
    </row>
    <row r="299" spans="2:21" ht="17.25" hidden="1" x14ac:dyDescent="0.3">
      <c r="B299" s="16">
        <v>72</v>
      </c>
      <c r="C299" s="90"/>
      <c r="D299" s="98"/>
      <c r="E299" s="96"/>
      <c r="F299" s="93"/>
      <c r="G299" s="68"/>
      <c r="H299" s="68"/>
      <c r="I299" s="93"/>
      <c r="J299" s="68"/>
      <c r="K299" s="16"/>
      <c r="L299" s="16"/>
      <c r="M299" s="367"/>
      <c r="N299" s="17"/>
      <c r="O299" s="17"/>
      <c r="P299" s="17"/>
      <c r="Q299" s="17"/>
      <c r="R299" s="17"/>
      <c r="S299" s="368">
        <v>0</v>
      </c>
      <c r="T299" s="351">
        <f t="shared" si="8"/>
        <v>0</v>
      </c>
      <c r="U299" s="54"/>
    </row>
    <row r="300" spans="2:21" ht="17.25" hidden="1" x14ac:dyDescent="0.3">
      <c r="B300" s="16">
        <v>73</v>
      </c>
      <c r="C300" s="90"/>
      <c r="D300" s="98"/>
      <c r="E300" s="96"/>
      <c r="F300" s="93"/>
      <c r="G300" s="68"/>
      <c r="H300" s="68"/>
      <c r="I300" s="93"/>
      <c r="J300" s="68"/>
      <c r="K300" s="16"/>
      <c r="L300" s="16"/>
      <c r="M300" s="367"/>
      <c r="N300" s="17"/>
      <c r="O300" s="17"/>
      <c r="P300" s="17"/>
      <c r="Q300" s="17"/>
      <c r="R300" s="17"/>
      <c r="S300" s="368">
        <v>0</v>
      </c>
      <c r="T300" s="351">
        <f t="shared" si="8"/>
        <v>0</v>
      </c>
      <c r="U300" s="54"/>
    </row>
    <row r="301" spans="2:21" ht="17.25" hidden="1" x14ac:dyDescent="0.3">
      <c r="B301" s="16">
        <v>74</v>
      </c>
      <c r="C301" s="90"/>
      <c r="D301" s="98"/>
      <c r="E301" s="96"/>
      <c r="F301" s="93"/>
      <c r="G301" s="68"/>
      <c r="H301" s="68"/>
      <c r="I301" s="93"/>
      <c r="J301" s="68"/>
      <c r="K301" s="16"/>
      <c r="L301" s="16"/>
      <c r="M301" s="367"/>
      <c r="N301" s="17"/>
      <c r="O301" s="17"/>
      <c r="P301" s="17"/>
      <c r="Q301" s="17"/>
      <c r="R301" s="17"/>
      <c r="S301" s="368">
        <v>0</v>
      </c>
      <c r="T301" s="351">
        <f t="shared" si="8"/>
        <v>0</v>
      </c>
      <c r="U301" s="54"/>
    </row>
    <row r="302" spans="2:21" ht="17.25" hidden="1" x14ac:dyDescent="0.3">
      <c r="B302" s="16">
        <v>75</v>
      </c>
      <c r="C302" s="90"/>
      <c r="D302" s="98"/>
      <c r="E302" s="96"/>
      <c r="F302" s="93"/>
      <c r="G302" s="68"/>
      <c r="H302" s="68"/>
      <c r="I302" s="93"/>
      <c r="J302" s="68"/>
      <c r="K302" s="16"/>
      <c r="L302" s="16"/>
      <c r="M302" s="367"/>
      <c r="N302" s="17"/>
      <c r="O302" s="17"/>
      <c r="P302" s="17"/>
      <c r="Q302" s="17"/>
      <c r="R302" s="17"/>
      <c r="S302" s="368">
        <v>0</v>
      </c>
      <c r="T302" s="351">
        <f t="shared" si="8"/>
        <v>0</v>
      </c>
      <c r="U302" s="54"/>
    </row>
    <row r="303" spans="2:21" ht="17.25" hidden="1" x14ac:dyDescent="0.3">
      <c r="B303" s="16">
        <v>76</v>
      </c>
      <c r="C303" s="90"/>
      <c r="D303" s="98"/>
      <c r="E303" s="96"/>
      <c r="F303" s="93"/>
      <c r="G303" s="68"/>
      <c r="H303" s="68"/>
      <c r="I303" s="93"/>
      <c r="J303" s="68"/>
      <c r="K303" s="16"/>
      <c r="L303" s="16"/>
      <c r="M303" s="367"/>
      <c r="N303" s="17"/>
      <c r="O303" s="17"/>
      <c r="P303" s="17"/>
      <c r="Q303" s="17"/>
      <c r="R303" s="17"/>
      <c r="S303" s="368">
        <v>0</v>
      </c>
      <c r="T303" s="351">
        <f t="shared" si="8"/>
        <v>0</v>
      </c>
      <c r="U303" s="54"/>
    </row>
    <row r="304" spans="2:21" ht="17.25" hidden="1" x14ac:dyDescent="0.3">
      <c r="B304" s="16">
        <v>77</v>
      </c>
      <c r="C304" s="90"/>
      <c r="D304" s="98"/>
      <c r="E304" s="96"/>
      <c r="F304" s="93"/>
      <c r="G304" s="68"/>
      <c r="H304" s="68"/>
      <c r="I304" s="93"/>
      <c r="J304" s="68"/>
      <c r="K304" s="16"/>
      <c r="L304" s="16"/>
      <c r="M304" s="367"/>
      <c r="N304" s="17"/>
      <c r="O304" s="17"/>
      <c r="P304" s="17"/>
      <c r="Q304" s="17"/>
      <c r="R304" s="17"/>
      <c r="S304" s="368">
        <v>0</v>
      </c>
      <c r="T304" s="351">
        <f t="shared" si="8"/>
        <v>0</v>
      </c>
      <c r="U304" s="54"/>
    </row>
    <row r="305" spans="2:21" ht="17.25" hidden="1" x14ac:dyDescent="0.3">
      <c r="B305" s="16">
        <v>78</v>
      </c>
      <c r="C305" s="90"/>
      <c r="D305" s="98"/>
      <c r="E305" s="96"/>
      <c r="F305" s="93"/>
      <c r="G305" s="68"/>
      <c r="H305" s="68"/>
      <c r="I305" s="93"/>
      <c r="J305" s="68"/>
      <c r="K305" s="16"/>
      <c r="L305" s="16"/>
      <c r="M305" s="367"/>
      <c r="N305" s="17"/>
      <c r="O305" s="17"/>
      <c r="P305" s="17"/>
      <c r="Q305" s="17"/>
      <c r="R305" s="17"/>
      <c r="S305" s="368">
        <v>0</v>
      </c>
      <c r="T305" s="351">
        <f t="shared" si="8"/>
        <v>0</v>
      </c>
      <c r="U305" s="54"/>
    </row>
    <row r="306" spans="2:21" ht="17.25" hidden="1" x14ac:dyDescent="0.3">
      <c r="B306" s="16">
        <v>79</v>
      </c>
      <c r="C306" s="90"/>
      <c r="D306" s="98"/>
      <c r="E306" s="96"/>
      <c r="F306" s="93"/>
      <c r="G306" s="68"/>
      <c r="H306" s="68"/>
      <c r="I306" s="93"/>
      <c r="J306" s="68"/>
      <c r="K306" s="16"/>
      <c r="L306" s="16"/>
      <c r="M306" s="367"/>
      <c r="N306" s="17"/>
      <c r="O306" s="17"/>
      <c r="P306" s="17"/>
      <c r="Q306" s="17"/>
      <c r="R306" s="17"/>
      <c r="S306" s="368">
        <v>0</v>
      </c>
      <c r="T306" s="351">
        <f t="shared" si="8"/>
        <v>0</v>
      </c>
      <c r="U306" s="54"/>
    </row>
    <row r="307" spans="2:21" ht="17.25" hidden="1" x14ac:dyDescent="0.3">
      <c r="B307" s="16">
        <v>80</v>
      </c>
      <c r="C307" s="90"/>
      <c r="D307" s="98"/>
      <c r="E307" s="96"/>
      <c r="F307" s="93"/>
      <c r="G307" s="68"/>
      <c r="H307" s="68"/>
      <c r="I307" s="93"/>
      <c r="J307" s="68"/>
      <c r="K307" s="16"/>
      <c r="L307" s="16"/>
      <c r="M307" s="367"/>
      <c r="N307" s="17"/>
      <c r="O307" s="17"/>
      <c r="P307" s="17"/>
      <c r="Q307" s="17"/>
      <c r="R307" s="17"/>
      <c r="S307" s="368">
        <v>0</v>
      </c>
      <c r="T307" s="351">
        <f t="shared" si="8"/>
        <v>0</v>
      </c>
      <c r="U307" s="54"/>
    </row>
    <row r="308" spans="2:21" ht="17.25" hidden="1" x14ac:dyDescent="0.3">
      <c r="B308" s="16">
        <v>81</v>
      </c>
      <c r="C308" s="90"/>
      <c r="D308" s="98"/>
      <c r="E308" s="96"/>
      <c r="F308" s="93"/>
      <c r="G308" s="68"/>
      <c r="H308" s="68"/>
      <c r="I308" s="93"/>
      <c r="J308" s="68"/>
      <c r="K308" s="16"/>
      <c r="L308" s="16"/>
      <c r="M308" s="367"/>
      <c r="N308" s="17"/>
      <c r="O308" s="17"/>
      <c r="P308" s="17"/>
      <c r="Q308" s="17"/>
      <c r="R308" s="17"/>
      <c r="S308" s="368">
        <v>0</v>
      </c>
      <c r="T308" s="351">
        <f t="shared" si="8"/>
        <v>0</v>
      </c>
      <c r="U308" s="54"/>
    </row>
    <row r="309" spans="2:21" ht="17.25" hidden="1" x14ac:dyDescent="0.3">
      <c r="B309" s="16">
        <v>82</v>
      </c>
      <c r="C309" s="90"/>
      <c r="D309" s="98"/>
      <c r="E309" s="96"/>
      <c r="F309" s="93"/>
      <c r="G309" s="68"/>
      <c r="H309" s="68"/>
      <c r="I309" s="93"/>
      <c r="J309" s="68"/>
      <c r="K309" s="16"/>
      <c r="L309" s="16"/>
      <c r="M309" s="367"/>
      <c r="N309" s="17"/>
      <c r="O309" s="17"/>
      <c r="P309" s="17"/>
      <c r="Q309" s="17"/>
      <c r="R309" s="17"/>
      <c r="S309" s="368">
        <v>0</v>
      </c>
      <c r="T309" s="351">
        <f t="shared" si="8"/>
        <v>0</v>
      </c>
      <c r="U309" s="54"/>
    </row>
    <row r="310" spans="2:21" ht="17.25" hidden="1" x14ac:dyDescent="0.3">
      <c r="B310" s="16">
        <v>83</v>
      </c>
      <c r="C310" s="90"/>
      <c r="D310" s="91"/>
      <c r="E310" s="96"/>
      <c r="F310" s="93"/>
      <c r="G310" s="68"/>
      <c r="H310" s="68"/>
      <c r="I310" s="74"/>
      <c r="J310" s="68"/>
      <c r="K310" s="16"/>
      <c r="L310" s="16"/>
      <c r="M310" s="367"/>
      <c r="N310" s="17"/>
      <c r="O310" s="17"/>
      <c r="P310" s="17"/>
      <c r="Q310" s="17"/>
      <c r="R310" s="17"/>
      <c r="S310" s="368">
        <v>0</v>
      </c>
      <c r="T310" s="351">
        <f t="shared" si="8"/>
        <v>0</v>
      </c>
      <c r="U310" s="54"/>
    </row>
    <row r="311" spans="2:21" ht="17.25" hidden="1" x14ac:dyDescent="0.3">
      <c r="B311" s="16">
        <v>84</v>
      </c>
      <c r="C311" s="90"/>
      <c r="D311" s="95"/>
      <c r="E311" s="96"/>
      <c r="F311" s="93"/>
      <c r="G311" s="68"/>
      <c r="H311" s="68"/>
      <c r="I311" s="74"/>
      <c r="J311" s="68"/>
      <c r="K311" s="16"/>
      <c r="L311" s="16"/>
      <c r="M311" s="367"/>
      <c r="N311" s="17"/>
      <c r="O311" s="17"/>
      <c r="P311" s="17"/>
      <c r="Q311" s="17"/>
      <c r="R311" s="17"/>
      <c r="S311" s="368">
        <v>0</v>
      </c>
      <c r="T311" s="351">
        <f t="shared" si="8"/>
        <v>0</v>
      </c>
      <c r="U311" s="54"/>
    </row>
    <row r="312" spans="2:21" ht="17.25" hidden="1" x14ac:dyDescent="0.3">
      <c r="B312" s="16">
        <v>85</v>
      </c>
      <c r="C312" s="90"/>
      <c r="D312" s="91"/>
      <c r="E312" s="96"/>
      <c r="F312" s="93"/>
      <c r="G312" s="68"/>
      <c r="H312" s="68"/>
      <c r="I312" s="93"/>
      <c r="J312" s="68"/>
      <c r="K312" s="16"/>
      <c r="L312" s="16"/>
      <c r="M312" s="367"/>
      <c r="N312" s="17"/>
      <c r="O312" s="17"/>
      <c r="P312" s="17"/>
      <c r="Q312" s="17"/>
      <c r="R312" s="17"/>
      <c r="S312" s="368">
        <v>0</v>
      </c>
      <c r="T312" s="351">
        <f t="shared" si="8"/>
        <v>0</v>
      </c>
      <c r="U312" s="54"/>
    </row>
    <row r="313" spans="2:21" ht="17.25" hidden="1" x14ac:dyDescent="0.3">
      <c r="B313" s="16">
        <v>86</v>
      </c>
      <c r="C313" s="90"/>
      <c r="D313" s="99"/>
      <c r="E313" s="100"/>
      <c r="F313" s="93"/>
      <c r="G313" s="68"/>
      <c r="H313" s="68"/>
      <c r="I313" s="93"/>
      <c r="J313" s="68"/>
      <c r="K313" s="16"/>
      <c r="L313" s="16"/>
      <c r="M313" s="367"/>
      <c r="N313" s="17"/>
      <c r="O313" s="17"/>
      <c r="P313" s="17"/>
      <c r="Q313" s="17"/>
      <c r="R313" s="17"/>
      <c r="S313" s="368">
        <v>0</v>
      </c>
      <c r="T313" s="351">
        <f t="shared" si="8"/>
        <v>0</v>
      </c>
      <c r="U313" s="54"/>
    </row>
    <row r="314" spans="2:21" ht="17.25" hidden="1" x14ac:dyDescent="0.3">
      <c r="B314" s="16">
        <v>87</v>
      </c>
      <c r="C314" s="90"/>
      <c r="D314" s="95"/>
      <c r="E314" s="96"/>
      <c r="F314" s="93"/>
      <c r="G314" s="68"/>
      <c r="H314" s="68"/>
      <c r="I314" s="93"/>
      <c r="J314" s="68"/>
      <c r="K314" s="16"/>
      <c r="L314" s="16"/>
      <c r="M314" s="367"/>
      <c r="N314" s="17"/>
      <c r="O314" s="17"/>
      <c r="P314" s="17"/>
      <c r="Q314" s="17"/>
      <c r="R314" s="17"/>
      <c r="S314" s="368">
        <v>0</v>
      </c>
      <c r="T314" s="351">
        <f t="shared" si="8"/>
        <v>0</v>
      </c>
      <c r="U314" s="54"/>
    </row>
    <row r="315" spans="2:21" ht="17.25" hidden="1" x14ac:dyDescent="0.3">
      <c r="B315" s="16">
        <v>88</v>
      </c>
      <c r="C315" s="90"/>
      <c r="D315" s="97"/>
      <c r="E315" s="96"/>
      <c r="F315" s="93"/>
      <c r="G315" s="68"/>
      <c r="H315" s="68"/>
      <c r="I315" s="93"/>
      <c r="J315" s="68"/>
      <c r="K315" s="16"/>
      <c r="L315" s="16"/>
      <c r="M315" s="367"/>
      <c r="N315" s="17"/>
      <c r="O315" s="17"/>
      <c r="P315" s="17"/>
      <c r="Q315" s="17"/>
      <c r="R315" s="17"/>
      <c r="S315" s="368">
        <v>0</v>
      </c>
      <c r="T315" s="351">
        <f t="shared" si="8"/>
        <v>0</v>
      </c>
      <c r="U315" s="54"/>
    </row>
    <row r="316" spans="2:21" ht="17.25" hidden="1" x14ac:dyDescent="0.3">
      <c r="B316" s="16">
        <v>89</v>
      </c>
      <c r="C316" s="90"/>
      <c r="D316" s="97"/>
      <c r="E316" s="96"/>
      <c r="F316" s="93"/>
      <c r="G316" s="68"/>
      <c r="H316" s="68"/>
      <c r="I316" s="93"/>
      <c r="J316" s="68"/>
      <c r="K316" s="16"/>
      <c r="L316" s="16"/>
      <c r="M316" s="367"/>
      <c r="N316" s="17"/>
      <c r="O316" s="17"/>
      <c r="P316" s="17"/>
      <c r="Q316" s="17"/>
      <c r="R316" s="17"/>
      <c r="S316" s="368">
        <v>0</v>
      </c>
      <c r="T316" s="351">
        <f t="shared" si="8"/>
        <v>0</v>
      </c>
      <c r="U316" s="54"/>
    </row>
    <row r="317" spans="2:21" ht="17.25" hidden="1" x14ac:dyDescent="0.3">
      <c r="B317" s="16">
        <v>90</v>
      </c>
      <c r="C317" s="90"/>
      <c r="D317" s="95"/>
      <c r="E317" s="96"/>
      <c r="F317" s="93"/>
      <c r="G317" s="68"/>
      <c r="H317" s="68"/>
      <c r="I317" s="93"/>
      <c r="J317" s="68"/>
      <c r="K317" s="16"/>
      <c r="L317" s="16"/>
      <c r="M317" s="367"/>
      <c r="N317" s="17"/>
      <c r="O317" s="17"/>
      <c r="P317" s="17"/>
      <c r="Q317" s="17"/>
      <c r="R317" s="17"/>
      <c r="S317" s="368">
        <v>0</v>
      </c>
      <c r="T317" s="351">
        <f t="shared" si="8"/>
        <v>0</v>
      </c>
      <c r="U317" s="54"/>
    </row>
    <row r="318" spans="2:21" ht="17.25" hidden="1" x14ac:dyDescent="0.3">
      <c r="B318" s="16">
        <v>91</v>
      </c>
      <c r="C318" s="90"/>
      <c r="D318" s="95"/>
      <c r="E318" s="96"/>
      <c r="F318" s="93"/>
      <c r="G318" s="68"/>
      <c r="H318" s="68"/>
      <c r="I318" s="74"/>
      <c r="J318" s="68"/>
      <c r="K318" s="16"/>
      <c r="L318" s="16"/>
      <c r="M318" s="367"/>
      <c r="N318" s="17"/>
      <c r="O318" s="17"/>
      <c r="P318" s="17"/>
      <c r="Q318" s="17"/>
      <c r="R318" s="17"/>
      <c r="S318" s="368">
        <v>0</v>
      </c>
      <c r="T318" s="351">
        <f t="shared" si="8"/>
        <v>0</v>
      </c>
      <c r="U318" s="54"/>
    </row>
    <row r="319" spans="2:21" ht="17.25" hidden="1" x14ac:dyDescent="0.3">
      <c r="B319" s="16">
        <v>92</v>
      </c>
      <c r="C319" s="90"/>
      <c r="D319" s="95"/>
      <c r="E319" s="96"/>
      <c r="F319" s="93"/>
      <c r="G319" s="68"/>
      <c r="H319" s="68"/>
      <c r="I319" s="74"/>
      <c r="J319" s="68"/>
      <c r="K319" s="16"/>
      <c r="L319" s="16"/>
      <c r="M319" s="367"/>
      <c r="N319" s="17"/>
      <c r="O319" s="17"/>
      <c r="P319" s="17"/>
      <c r="Q319" s="17"/>
      <c r="R319" s="17"/>
      <c r="S319" s="368">
        <v>0</v>
      </c>
      <c r="T319" s="351">
        <f t="shared" si="8"/>
        <v>0</v>
      </c>
      <c r="U319" s="54"/>
    </row>
    <row r="320" spans="2:21" ht="17.25" hidden="1" x14ac:dyDescent="0.3">
      <c r="B320" s="16">
        <v>93</v>
      </c>
      <c r="C320" s="90"/>
      <c r="D320" s="95"/>
      <c r="E320" s="96"/>
      <c r="F320" s="93"/>
      <c r="G320" s="68"/>
      <c r="H320" s="68"/>
      <c r="I320" s="93"/>
      <c r="J320" s="68"/>
      <c r="K320" s="16"/>
      <c r="L320" s="16"/>
      <c r="M320" s="367"/>
      <c r="N320" s="17"/>
      <c r="O320" s="17"/>
      <c r="P320" s="17"/>
      <c r="Q320" s="17"/>
      <c r="R320" s="17"/>
      <c r="S320" s="368">
        <v>0</v>
      </c>
      <c r="T320" s="351">
        <f t="shared" si="8"/>
        <v>0</v>
      </c>
      <c r="U320" s="54"/>
    </row>
    <row r="321" spans="2:21" ht="17.25" hidden="1" x14ac:dyDescent="0.3">
      <c r="B321" s="16">
        <v>94</v>
      </c>
      <c r="C321" s="101"/>
      <c r="D321" s="102"/>
      <c r="E321" s="103"/>
      <c r="F321" s="93"/>
      <c r="G321" s="68"/>
      <c r="H321" s="68"/>
      <c r="I321" s="74"/>
      <c r="J321" s="68"/>
      <c r="K321" s="16"/>
      <c r="L321" s="16"/>
      <c r="M321" s="367"/>
      <c r="N321" s="17"/>
      <c r="O321" s="17"/>
      <c r="P321" s="17"/>
      <c r="Q321" s="17"/>
      <c r="R321" s="17"/>
      <c r="S321" s="368">
        <v>0</v>
      </c>
      <c r="T321" s="351">
        <f t="shared" si="8"/>
        <v>0</v>
      </c>
      <c r="U321" s="54"/>
    </row>
    <row r="322" spans="2:21" ht="17.25" hidden="1" x14ac:dyDescent="0.3">
      <c r="B322" s="16">
        <v>95</v>
      </c>
      <c r="C322" s="90"/>
      <c r="D322" s="95"/>
      <c r="E322" s="96"/>
      <c r="F322" s="93"/>
      <c r="G322" s="68"/>
      <c r="H322" s="68"/>
      <c r="I322" s="74"/>
      <c r="J322" s="68"/>
      <c r="K322" s="16"/>
      <c r="L322" s="16"/>
      <c r="M322" s="367"/>
      <c r="N322" s="17"/>
      <c r="O322" s="17"/>
      <c r="P322" s="17"/>
      <c r="Q322" s="17"/>
      <c r="R322" s="17"/>
      <c r="S322" s="368">
        <v>0</v>
      </c>
      <c r="T322" s="351">
        <f t="shared" si="8"/>
        <v>0</v>
      </c>
      <c r="U322" s="54"/>
    </row>
    <row r="323" spans="2:21" ht="17.25" hidden="1" x14ac:dyDescent="0.3">
      <c r="B323" s="16">
        <v>96</v>
      </c>
      <c r="C323" s="90"/>
      <c r="D323" s="95"/>
      <c r="E323" s="96"/>
      <c r="F323" s="93"/>
      <c r="G323" s="68"/>
      <c r="H323" s="68"/>
      <c r="I323" s="74"/>
      <c r="J323" s="68"/>
      <c r="K323" s="16"/>
      <c r="L323" s="16"/>
      <c r="M323" s="367"/>
      <c r="N323" s="17"/>
      <c r="O323" s="17"/>
      <c r="P323" s="17"/>
      <c r="Q323" s="17"/>
      <c r="R323" s="17"/>
      <c r="S323" s="368">
        <v>0</v>
      </c>
      <c r="T323" s="351">
        <f t="shared" si="8"/>
        <v>0</v>
      </c>
      <c r="U323" s="54"/>
    </row>
    <row r="324" spans="2:21" ht="17.25" hidden="1" x14ac:dyDescent="0.3">
      <c r="B324" s="16">
        <v>97</v>
      </c>
      <c r="C324" s="16"/>
      <c r="D324" s="16"/>
      <c r="E324" s="74"/>
      <c r="F324" s="93"/>
      <c r="G324" s="68"/>
      <c r="H324" s="68"/>
      <c r="I324" s="74"/>
      <c r="J324" s="68"/>
      <c r="K324" s="16"/>
      <c r="L324" s="16"/>
      <c r="M324" s="367"/>
      <c r="N324" s="17"/>
      <c r="O324" s="17"/>
      <c r="P324" s="17"/>
      <c r="Q324" s="17"/>
      <c r="R324" s="17"/>
      <c r="S324" s="368">
        <v>0</v>
      </c>
      <c r="T324" s="351">
        <f>F324*S324</f>
        <v>0</v>
      </c>
      <c r="U324" s="54"/>
    </row>
    <row r="325" spans="2:21" ht="17.25" hidden="1" x14ac:dyDescent="0.3">
      <c r="B325" s="16">
        <v>98</v>
      </c>
      <c r="C325" s="16"/>
      <c r="D325" s="16"/>
      <c r="E325" s="74"/>
      <c r="F325" s="93"/>
      <c r="G325" s="68"/>
      <c r="H325" s="68"/>
      <c r="I325" s="74"/>
      <c r="J325" s="68"/>
      <c r="K325" s="16"/>
      <c r="L325" s="16"/>
      <c r="M325" s="367"/>
      <c r="N325" s="17"/>
      <c r="O325" s="17"/>
      <c r="P325" s="17"/>
      <c r="Q325" s="17"/>
      <c r="R325" s="17"/>
      <c r="S325" s="368">
        <v>0</v>
      </c>
      <c r="T325" s="351">
        <f>F325*S325</f>
        <v>0</v>
      </c>
      <c r="U325" s="54"/>
    </row>
    <row r="326" spans="2:21" ht="17.25" hidden="1" x14ac:dyDescent="0.3">
      <c r="B326" s="16">
        <v>99</v>
      </c>
      <c r="C326" s="16"/>
      <c r="D326" s="16"/>
      <c r="E326" s="74"/>
      <c r="F326" s="93"/>
      <c r="G326" s="68"/>
      <c r="H326" s="68"/>
      <c r="I326" s="74"/>
      <c r="J326" s="68"/>
      <c r="K326" s="16"/>
      <c r="L326" s="16"/>
      <c r="M326" s="367"/>
      <c r="N326" s="17"/>
      <c r="O326" s="17"/>
      <c r="P326" s="17"/>
      <c r="Q326" s="17"/>
      <c r="R326" s="17"/>
      <c r="S326" s="368">
        <v>0</v>
      </c>
      <c r="T326" s="351">
        <f>F326*S326</f>
        <v>0</v>
      </c>
      <c r="U326" s="54"/>
    </row>
    <row r="327" spans="2:21" ht="17.25" hidden="1" x14ac:dyDescent="0.3">
      <c r="B327" s="16">
        <v>100</v>
      </c>
      <c r="C327" s="16"/>
      <c r="D327" s="16"/>
      <c r="E327" s="74"/>
      <c r="F327" s="93"/>
      <c r="G327" s="68"/>
      <c r="H327" s="68"/>
      <c r="I327" s="74"/>
      <c r="J327" s="68"/>
      <c r="K327" s="16"/>
      <c r="L327" s="16"/>
      <c r="M327" s="367"/>
      <c r="N327" s="17"/>
      <c r="O327" s="17"/>
      <c r="P327" s="17"/>
      <c r="Q327" s="17"/>
      <c r="R327" s="17"/>
      <c r="S327" s="368">
        <v>0</v>
      </c>
      <c r="T327" s="351">
        <f>F327*S327</f>
        <v>0</v>
      </c>
      <c r="U327" s="54"/>
    </row>
    <row r="328" spans="2:21" ht="34.5" hidden="1" x14ac:dyDescent="0.3">
      <c r="C328" s="16"/>
      <c r="D328" s="81" t="s">
        <v>566</v>
      </c>
      <c r="E328" s="74"/>
      <c r="F328" s="93"/>
      <c r="G328" s="68"/>
      <c r="H328" s="68"/>
      <c r="I328" s="74"/>
      <c r="J328" s="68"/>
      <c r="K328" s="16"/>
      <c r="L328" s="16"/>
      <c r="M328" s="367"/>
      <c r="N328" s="17"/>
      <c r="O328" s="17"/>
      <c r="P328" s="17"/>
      <c r="Q328" s="17"/>
      <c r="R328" s="17"/>
      <c r="S328" s="368">
        <v>0</v>
      </c>
      <c r="T328" s="351">
        <f>F328*S328</f>
        <v>0</v>
      </c>
      <c r="U328" s="54"/>
    </row>
    <row r="329" spans="2:21" ht="17.25" hidden="1" x14ac:dyDescent="0.3">
      <c r="B329" s="82"/>
      <c r="C329" s="82"/>
      <c r="D329" s="82"/>
      <c r="E329" s="86"/>
      <c r="F329" s="104"/>
      <c r="G329" s="83"/>
      <c r="H329" s="83"/>
      <c r="I329" s="86"/>
      <c r="J329" s="82"/>
      <c r="K329" s="82"/>
      <c r="L329" s="82"/>
      <c r="M329" s="82"/>
      <c r="N329" s="17"/>
      <c r="O329" s="17"/>
      <c r="P329" s="17"/>
      <c r="Q329" s="17"/>
      <c r="R329" s="17"/>
      <c r="S329" s="105"/>
      <c r="T329" s="105"/>
      <c r="U329" s="106"/>
    </row>
    <row r="330" spans="2:21" ht="41.1" hidden="1" customHeight="1" x14ac:dyDescent="0.3">
      <c r="B330" s="792" t="s">
        <v>102</v>
      </c>
      <c r="C330" s="792"/>
      <c r="D330" s="342"/>
      <c r="E330" s="342"/>
      <c r="F330" s="342"/>
      <c r="G330" s="342"/>
      <c r="H330" s="342"/>
      <c r="I330" s="342"/>
      <c r="J330" s="342"/>
      <c r="K330" s="342"/>
      <c r="L330" s="342"/>
      <c r="M330" s="339"/>
      <c r="N330" s="371"/>
      <c r="O330" s="371"/>
      <c r="P330" s="371"/>
      <c r="Q330" s="371"/>
      <c r="R330" s="371"/>
      <c r="S330" s="128"/>
      <c r="T330" s="342"/>
      <c r="U330" s="236">
        <f>SUM(T333:T433)</f>
        <v>0</v>
      </c>
    </row>
    <row r="331" spans="2:21" ht="55.5" hidden="1" customHeight="1" x14ac:dyDescent="0.3">
      <c r="B331" s="789" t="s">
        <v>35</v>
      </c>
      <c r="C331" s="789" t="s">
        <v>42</v>
      </c>
      <c r="D331" s="789" t="s">
        <v>44</v>
      </c>
      <c r="E331" s="766" t="s">
        <v>100</v>
      </c>
      <c r="F331" s="769" t="s">
        <v>49</v>
      </c>
      <c r="G331" s="769" t="s">
        <v>559</v>
      </c>
      <c r="H331" s="769" t="s">
        <v>468</v>
      </c>
      <c r="I331" s="766" t="s">
        <v>560</v>
      </c>
      <c r="J331" s="766" t="s">
        <v>424</v>
      </c>
      <c r="K331" s="766" t="s">
        <v>45</v>
      </c>
      <c r="L331" s="766"/>
      <c r="M331" s="795" t="s">
        <v>97</v>
      </c>
      <c r="N331" s="779" t="s">
        <v>705</v>
      </c>
      <c r="O331" s="780"/>
      <c r="P331" s="780"/>
      <c r="Q331" s="780"/>
      <c r="R331" s="780"/>
      <c r="S331" s="793" t="s">
        <v>51</v>
      </c>
      <c r="T331" s="799" t="s">
        <v>422</v>
      </c>
      <c r="U331" s="54"/>
    </row>
    <row r="332" spans="2:21" ht="33" hidden="1" customHeight="1" x14ac:dyDescent="0.3">
      <c r="B332" s="789"/>
      <c r="C332" s="789"/>
      <c r="D332" s="789"/>
      <c r="E332" s="766"/>
      <c r="F332" s="770"/>
      <c r="G332" s="770"/>
      <c r="H332" s="770"/>
      <c r="I332" s="766"/>
      <c r="J332" s="766"/>
      <c r="K332" s="132" t="s">
        <v>172</v>
      </c>
      <c r="L332" s="132" t="s">
        <v>101</v>
      </c>
      <c r="M332" s="795"/>
      <c r="N332" s="369" t="s">
        <v>700</v>
      </c>
      <c r="O332" s="369" t="s">
        <v>726</v>
      </c>
      <c r="P332" s="369" t="s">
        <v>702</v>
      </c>
      <c r="Q332" s="369" t="s">
        <v>703</v>
      </c>
      <c r="R332" s="369" t="s">
        <v>704</v>
      </c>
      <c r="S332" s="794"/>
      <c r="T332" s="799"/>
      <c r="U332" s="54"/>
    </row>
    <row r="333" spans="2:21" ht="17.25" hidden="1" x14ac:dyDescent="0.3">
      <c r="B333" s="16">
        <v>1</v>
      </c>
      <c r="C333" s="107"/>
      <c r="D333" s="71"/>
      <c r="E333" s="72"/>
      <c r="F333" s="108"/>
      <c r="G333" s="68"/>
      <c r="H333" s="68"/>
      <c r="I333" s="93"/>
      <c r="J333" s="68"/>
      <c r="K333" s="94"/>
      <c r="L333" s="94"/>
      <c r="M333" s="367"/>
      <c r="N333" s="17"/>
      <c r="O333" s="17"/>
      <c r="P333" s="17"/>
      <c r="Q333" s="17"/>
      <c r="R333" s="17"/>
      <c r="S333" s="368">
        <v>0</v>
      </c>
      <c r="T333" s="351">
        <f t="shared" ref="T333:T364" si="9">F333*S333</f>
        <v>0</v>
      </c>
      <c r="U333" s="54"/>
    </row>
    <row r="334" spans="2:21" ht="17.25" hidden="1" x14ac:dyDescent="0.3">
      <c r="B334" s="16">
        <v>2</v>
      </c>
      <c r="C334" s="107"/>
      <c r="D334" s="71"/>
      <c r="E334" s="72"/>
      <c r="F334" s="108"/>
      <c r="G334" s="68"/>
      <c r="H334" s="68"/>
      <c r="I334" s="93"/>
      <c r="J334" s="68"/>
      <c r="K334" s="108"/>
      <c r="L334" s="108"/>
      <c r="M334" s="367"/>
      <c r="N334" s="17"/>
      <c r="O334" s="17"/>
      <c r="P334" s="17"/>
      <c r="Q334" s="17"/>
      <c r="R334" s="17"/>
      <c r="S334" s="368">
        <v>0</v>
      </c>
      <c r="T334" s="351">
        <f t="shared" si="9"/>
        <v>0</v>
      </c>
      <c r="U334" s="54"/>
    </row>
    <row r="335" spans="2:21" ht="17.25" hidden="1" x14ac:dyDescent="0.3">
      <c r="B335" s="16">
        <v>3</v>
      </c>
      <c r="C335" s="107"/>
      <c r="D335" s="71"/>
      <c r="E335" s="107"/>
      <c r="F335" s="108"/>
      <c r="G335" s="68"/>
      <c r="H335" s="68"/>
      <c r="I335" s="93"/>
      <c r="J335" s="68"/>
      <c r="K335" s="108"/>
      <c r="L335" s="108"/>
      <c r="M335" s="367"/>
      <c r="N335" s="17"/>
      <c r="O335" s="17"/>
      <c r="P335" s="17"/>
      <c r="Q335" s="17"/>
      <c r="R335" s="17"/>
      <c r="S335" s="368">
        <v>0</v>
      </c>
      <c r="T335" s="351">
        <f t="shared" si="9"/>
        <v>0</v>
      </c>
      <c r="U335" s="54"/>
    </row>
    <row r="336" spans="2:21" ht="17.25" hidden="1" x14ac:dyDescent="0.3">
      <c r="B336" s="16">
        <v>4</v>
      </c>
      <c r="C336" s="107"/>
      <c r="D336" s="71"/>
      <c r="E336" s="107"/>
      <c r="F336" s="108"/>
      <c r="G336" s="68"/>
      <c r="H336" s="68"/>
      <c r="I336" s="93"/>
      <c r="J336" s="68"/>
      <c r="K336" s="108"/>
      <c r="L336" s="108"/>
      <c r="M336" s="367"/>
      <c r="N336" s="17"/>
      <c r="O336" s="17"/>
      <c r="P336" s="17"/>
      <c r="Q336" s="17"/>
      <c r="R336" s="17"/>
      <c r="S336" s="368">
        <v>0</v>
      </c>
      <c r="T336" s="351">
        <f t="shared" si="9"/>
        <v>0</v>
      </c>
      <c r="U336" s="54"/>
    </row>
    <row r="337" spans="2:21" ht="17.25" hidden="1" x14ac:dyDescent="0.3">
      <c r="B337" s="16">
        <v>5</v>
      </c>
      <c r="C337" s="107"/>
      <c r="D337" s="71"/>
      <c r="E337" s="107"/>
      <c r="F337" s="108"/>
      <c r="G337" s="68"/>
      <c r="H337" s="68"/>
      <c r="I337" s="93"/>
      <c r="J337" s="68"/>
      <c r="K337" s="108"/>
      <c r="L337" s="108"/>
      <c r="M337" s="367"/>
      <c r="N337" s="17"/>
      <c r="O337" s="17"/>
      <c r="P337" s="17"/>
      <c r="Q337" s="17"/>
      <c r="R337" s="17"/>
      <c r="S337" s="368">
        <v>0</v>
      </c>
      <c r="T337" s="351">
        <f t="shared" si="9"/>
        <v>0</v>
      </c>
      <c r="U337" s="54"/>
    </row>
    <row r="338" spans="2:21" ht="17.25" hidden="1" x14ac:dyDescent="0.3">
      <c r="B338" s="16">
        <v>6</v>
      </c>
      <c r="C338" s="107"/>
      <c r="D338" s="71"/>
      <c r="E338" s="107"/>
      <c r="F338" s="108"/>
      <c r="G338" s="68"/>
      <c r="H338" s="68"/>
      <c r="I338" s="93"/>
      <c r="J338" s="68"/>
      <c r="K338" s="108"/>
      <c r="L338" s="108"/>
      <c r="M338" s="367"/>
      <c r="N338" s="17"/>
      <c r="O338" s="17"/>
      <c r="P338" s="17"/>
      <c r="Q338" s="17"/>
      <c r="R338" s="17"/>
      <c r="S338" s="368">
        <v>0</v>
      </c>
      <c r="T338" s="351">
        <f t="shared" si="9"/>
        <v>0</v>
      </c>
      <c r="U338" s="54"/>
    </row>
    <row r="339" spans="2:21" ht="17.25" hidden="1" x14ac:dyDescent="0.3">
      <c r="B339" s="16">
        <v>7</v>
      </c>
      <c r="C339" s="107"/>
      <c r="D339" s="71"/>
      <c r="E339" s="107"/>
      <c r="F339" s="108"/>
      <c r="G339" s="68"/>
      <c r="H339" s="68"/>
      <c r="I339" s="93"/>
      <c r="J339" s="68"/>
      <c r="K339" s="108"/>
      <c r="L339" s="108"/>
      <c r="M339" s="367"/>
      <c r="N339" s="17"/>
      <c r="O339" s="17"/>
      <c r="P339" s="17"/>
      <c r="Q339" s="17"/>
      <c r="R339" s="17"/>
      <c r="S339" s="368">
        <v>0</v>
      </c>
      <c r="T339" s="351">
        <f t="shared" si="9"/>
        <v>0</v>
      </c>
      <c r="U339" s="54"/>
    </row>
    <row r="340" spans="2:21" ht="17.25" hidden="1" x14ac:dyDescent="0.3">
      <c r="B340" s="16">
        <v>8</v>
      </c>
      <c r="C340" s="107"/>
      <c r="D340" s="71"/>
      <c r="E340" s="107"/>
      <c r="F340" s="108"/>
      <c r="G340" s="68"/>
      <c r="H340" s="68"/>
      <c r="I340" s="93"/>
      <c r="J340" s="68"/>
      <c r="K340" s="108"/>
      <c r="L340" s="108"/>
      <c r="M340" s="367"/>
      <c r="N340" s="17"/>
      <c r="O340" s="17"/>
      <c r="P340" s="17"/>
      <c r="Q340" s="17"/>
      <c r="R340" s="17"/>
      <c r="S340" s="368">
        <v>0</v>
      </c>
      <c r="T340" s="351">
        <f t="shared" si="9"/>
        <v>0</v>
      </c>
      <c r="U340" s="54"/>
    </row>
    <row r="341" spans="2:21" ht="17.25" hidden="1" x14ac:dyDescent="0.3">
      <c r="B341" s="16">
        <v>9</v>
      </c>
      <c r="C341" s="107"/>
      <c r="D341" s="71"/>
      <c r="E341" s="107"/>
      <c r="F341" s="108"/>
      <c r="G341" s="68"/>
      <c r="H341" s="68"/>
      <c r="I341" s="93"/>
      <c r="J341" s="68"/>
      <c r="K341" s="108"/>
      <c r="L341" s="108"/>
      <c r="M341" s="367"/>
      <c r="N341" s="17"/>
      <c r="O341" s="17"/>
      <c r="P341" s="17"/>
      <c r="Q341" s="17"/>
      <c r="R341" s="17"/>
      <c r="S341" s="368">
        <v>0</v>
      </c>
      <c r="T341" s="351">
        <f t="shared" si="9"/>
        <v>0</v>
      </c>
      <c r="U341" s="54"/>
    </row>
    <row r="342" spans="2:21" ht="17.25" hidden="1" x14ac:dyDescent="0.3">
      <c r="B342" s="16">
        <v>10</v>
      </c>
      <c r="C342" s="107"/>
      <c r="D342" s="71"/>
      <c r="E342" s="107"/>
      <c r="F342" s="108"/>
      <c r="G342" s="68"/>
      <c r="H342" s="68"/>
      <c r="I342" s="93"/>
      <c r="J342" s="68"/>
      <c r="K342" s="108"/>
      <c r="L342" s="108"/>
      <c r="M342" s="367"/>
      <c r="N342" s="17"/>
      <c r="O342" s="17"/>
      <c r="P342" s="17"/>
      <c r="Q342" s="17"/>
      <c r="R342" s="17"/>
      <c r="S342" s="368">
        <v>0</v>
      </c>
      <c r="T342" s="351">
        <f t="shared" si="9"/>
        <v>0</v>
      </c>
      <c r="U342" s="54"/>
    </row>
    <row r="343" spans="2:21" ht="17.25" hidden="1" x14ac:dyDescent="0.3">
      <c r="B343" s="16">
        <v>11</v>
      </c>
      <c r="C343" s="107"/>
      <c r="D343" s="71"/>
      <c r="E343" s="107"/>
      <c r="F343" s="108"/>
      <c r="G343" s="68"/>
      <c r="H343" s="68"/>
      <c r="I343" s="93"/>
      <c r="J343" s="68"/>
      <c r="K343" s="108"/>
      <c r="L343" s="108"/>
      <c r="M343" s="367"/>
      <c r="N343" s="17"/>
      <c r="O343" s="17"/>
      <c r="P343" s="17"/>
      <c r="Q343" s="17"/>
      <c r="R343" s="17"/>
      <c r="S343" s="368">
        <v>0</v>
      </c>
      <c r="T343" s="351">
        <f t="shared" si="9"/>
        <v>0</v>
      </c>
      <c r="U343" s="54"/>
    </row>
    <row r="344" spans="2:21" ht="17.25" hidden="1" x14ac:dyDescent="0.3">
      <c r="B344" s="16">
        <v>12</v>
      </c>
      <c r="C344" s="107"/>
      <c r="D344" s="71"/>
      <c r="E344" s="107"/>
      <c r="F344" s="108"/>
      <c r="G344" s="68"/>
      <c r="H344" s="68"/>
      <c r="I344" s="93"/>
      <c r="J344" s="68"/>
      <c r="K344" s="108"/>
      <c r="L344" s="108"/>
      <c r="M344" s="367"/>
      <c r="N344" s="17"/>
      <c r="O344" s="17"/>
      <c r="P344" s="17"/>
      <c r="Q344" s="17"/>
      <c r="R344" s="17"/>
      <c r="S344" s="368">
        <v>0</v>
      </c>
      <c r="T344" s="351">
        <f t="shared" si="9"/>
        <v>0</v>
      </c>
      <c r="U344" s="54"/>
    </row>
    <row r="345" spans="2:21" ht="17.25" hidden="1" x14ac:dyDescent="0.3">
      <c r="B345" s="16">
        <v>13</v>
      </c>
      <c r="C345" s="107"/>
      <c r="D345" s="71"/>
      <c r="E345" s="107"/>
      <c r="F345" s="108"/>
      <c r="G345" s="68"/>
      <c r="H345" s="68"/>
      <c r="I345" s="93"/>
      <c r="J345" s="68"/>
      <c r="K345" s="108"/>
      <c r="L345" s="108"/>
      <c r="M345" s="367"/>
      <c r="N345" s="17"/>
      <c r="O345" s="17"/>
      <c r="P345" s="17"/>
      <c r="Q345" s="17"/>
      <c r="R345" s="17"/>
      <c r="S345" s="368">
        <v>0</v>
      </c>
      <c r="T345" s="351">
        <f t="shared" si="9"/>
        <v>0</v>
      </c>
      <c r="U345" s="54"/>
    </row>
    <row r="346" spans="2:21" ht="17.25" hidden="1" x14ac:dyDescent="0.3">
      <c r="B346" s="16">
        <v>14</v>
      </c>
      <c r="C346" s="107"/>
      <c r="D346" s="71"/>
      <c r="E346" s="107"/>
      <c r="F346" s="108"/>
      <c r="G346" s="68"/>
      <c r="H346" s="68"/>
      <c r="I346" s="93"/>
      <c r="J346" s="68"/>
      <c r="K346" s="108"/>
      <c r="L346" s="108"/>
      <c r="M346" s="367"/>
      <c r="N346" s="17"/>
      <c r="O346" s="17"/>
      <c r="P346" s="17"/>
      <c r="Q346" s="17"/>
      <c r="R346" s="17"/>
      <c r="S346" s="368">
        <v>0</v>
      </c>
      <c r="T346" s="351">
        <f t="shared" si="9"/>
        <v>0</v>
      </c>
      <c r="U346" s="54"/>
    </row>
    <row r="347" spans="2:21" ht="17.25" hidden="1" x14ac:dyDescent="0.3">
      <c r="B347" s="16">
        <v>15</v>
      </c>
      <c r="C347" s="107"/>
      <c r="D347" s="71"/>
      <c r="E347" s="107"/>
      <c r="F347" s="108"/>
      <c r="G347" s="68"/>
      <c r="H347" s="68"/>
      <c r="I347" s="93"/>
      <c r="J347" s="68"/>
      <c r="K347" s="108"/>
      <c r="L347" s="108"/>
      <c r="M347" s="367"/>
      <c r="N347" s="17"/>
      <c r="O347" s="17"/>
      <c r="P347" s="17"/>
      <c r="Q347" s="17"/>
      <c r="R347" s="17"/>
      <c r="S347" s="368">
        <v>0</v>
      </c>
      <c r="T347" s="351">
        <f t="shared" si="9"/>
        <v>0</v>
      </c>
      <c r="U347" s="54"/>
    </row>
    <row r="348" spans="2:21" ht="17.25" hidden="1" x14ac:dyDescent="0.3">
      <c r="B348" s="16">
        <v>16</v>
      </c>
      <c r="C348" s="107"/>
      <c r="D348" s="71"/>
      <c r="E348" s="107"/>
      <c r="F348" s="108"/>
      <c r="G348" s="68"/>
      <c r="H348" s="68"/>
      <c r="I348" s="93"/>
      <c r="J348" s="68"/>
      <c r="K348" s="108"/>
      <c r="L348" s="108"/>
      <c r="M348" s="367"/>
      <c r="N348" s="17"/>
      <c r="O348" s="17"/>
      <c r="P348" s="17"/>
      <c r="Q348" s="17"/>
      <c r="R348" s="17"/>
      <c r="S348" s="368">
        <v>0</v>
      </c>
      <c r="T348" s="351">
        <f t="shared" si="9"/>
        <v>0</v>
      </c>
      <c r="U348" s="54"/>
    </row>
    <row r="349" spans="2:21" ht="17.25" hidden="1" x14ac:dyDescent="0.3">
      <c r="B349" s="16">
        <v>17</v>
      </c>
      <c r="C349" s="107"/>
      <c r="D349" s="71"/>
      <c r="E349" s="107"/>
      <c r="F349" s="108"/>
      <c r="G349" s="68"/>
      <c r="H349" s="68"/>
      <c r="I349" s="93"/>
      <c r="J349" s="68"/>
      <c r="K349" s="108"/>
      <c r="L349" s="108"/>
      <c r="M349" s="367"/>
      <c r="N349" s="17"/>
      <c r="O349" s="17"/>
      <c r="P349" s="17"/>
      <c r="Q349" s="17"/>
      <c r="R349" s="17"/>
      <c r="S349" s="368">
        <v>0</v>
      </c>
      <c r="T349" s="351">
        <f t="shared" si="9"/>
        <v>0</v>
      </c>
      <c r="U349" s="54"/>
    </row>
    <row r="350" spans="2:21" ht="17.25" hidden="1" x14ac:dyDescent="0.3">
      <c r="B350" s="16">
        <v>18</v>
      </c>
      <c r="C350" s="107"/>
      <c r="D350" s="71"/>
      <c r="E350" s="107"/>
      <c r="F350" s="108"/>
      <c r="G350" s="68"/>
      <c r="H350" s="68"/>
      <c r="I350" s="93"/>
      <c r="J350" s="68"/>
      <c r="K350" s="108"/>
      <c r="L350" s="108"/>
      <c r="M350" s="367"/>
      <c r="N350" s="17"/>
      <c r="O350" s="17"/>
      <c r="P350" s="17"/>
      <c r="Q350" s="17"/>
      <c r="R350" s="17"/>
      <c r="S350" s="368">
        <v>0</v>
      </c>
      <c r="T350" s="351">
        <f t="shared" si="9"/>
        <v>0</v>
      </c>
      <c r="U350" s="54"/>
    </row>
    <row r="351" spans="2:21" ht="17.25" hidden="1" x14ac:dyDescent="0.3">
      <c r="B351" s="16">
        <v>19</v>
      </c>
      <c r="C351" s="107"/>
      <c r="D351" s="71"/>
      <c r="E351" s="107"/>
      <c r="F351" s="108"/>
      <c r="G351" s="68"/>
      <c r="H351" s="68"/>
      <c r="I351" s="93"/>
      <c r="J351" s="68"/>
      <c r="K351" s="108"/>
      <c r="L351" s="108"/>
      <c r="M351" s="367"/>
      <c r="N351" s="17"/>
      <c r="O351" s="17"/>
      <c r="P351" s="17"/>
      <c r="Q351" s="17"/>
      <c r="R351" s="17"/>
      <c r="S351" s="368">
        <v>0</v>
      </c>
      <c r="T351" s="351">
        <f t="shared" si="9"/>
        <v>0</v>
      </c>
      <c r="U351" s="54"/>
    </row>
    <row r="352" spans="2:21" ht="17.25" hidden="1" x14ac:dyDescent="0.3">
      <c r="B352" s="16">
        <v>20</v>
      </c>
      <c r="C352" s="107"/>
      <c r="D352" s="71"/>
      <c r="E352" s="107"/>
      <c r="F352" s="108"/>
      <c r="G352" s="68"/>
      <c r="H352" s="68"/>
      <c r="I352" s="93"/>
      <c r="J352" s="68"/>
      <c r="K352" s="108"/>
      <c r="L352" s="108"/>
      <c r="M352" s="367"/>
      <c r="N352" s="17"/>
      <c r="O352" s="17"/>
      <c r="P352" s="17"/>
      <c r="Q352" s="17"/>
      <c r="R352" s="17"/>
      <c r="S352" s="368">
        <v>0</v>
      </c>
      <c r="T352" s="351">
        <f t="shared" si="9"/>
        <v>0</v>
      </c>
      <c r="U352" s="54"/>
    </row>
    <row r="353" spans="2:21" ht="17.25" hidden="1" x14ac:dyDescent="0.3">
      <c r="B353" s="16">
        <v>21</v>
      </c>
      <c r="C353" s="107"/>
      <c r="D353" s="71"/>
      <c r="E353" s="107"/>
      <c r="F353" s="108"/>
      <c r="G353" s="68"/>
      <c r="H353" s="68"/>
      <c r="I353" s="93"/>
      <c r="J353" s="68"/>
      <c r="K353" s="108"/>
      <c r="L353" s="108"/>
      <c r="M353" s="367"/>
      <c r="N353" s="17"/>
      <c r="O353" s="17"/>
      <c r="P353" s="17"/>
      <c r="Q353" s="17"/>
      <c r="R353" s="17"/>
      <c r="S353" s="368">
        <v>0</v>
      </c>
      <c r="T353" s="351">
        <f t="shared" si="9"/>
        <v>0</v>
      </c>
      <c r="U353" s="54"/>
    </row>
    <row r="354" spans="2:21" ht="17.25" hidden="1" x14ac:dyDescent="0.3">
      <c r="B354" s="16">
        <v>22</v>
      </c>
      <c r="C354" s="107"/>
      <c r="D354" s="71"/>
      <c r="E354" s="107"/>
      <c r="F354" s="108"/>
      <c r="G354" s="68"/>
      <c r="H354" s="68"/>
      <c r="I354" s="93"/>
      <c r="J354" s="68"/>
      <c r="K354" s="108"/>
      <c r="L354" s="108"/>
      <c r="M354" s="367"/>
      <c r="N354" s="17"/>
      <c r="O354" s="17"/>
      <c r="P354" s="17"/>
      <c r="Q354" s="17"/>
      <c r="R354" s="17"/>
      <c r="S354" s="368">
        <v>0</v>
      </c>
      <c r="T354" s="351">
        <f t="shared" si="9"/>
        <v>0</v>
      </c>
      <c r="U354" s="54"/>
    </row>
    <row r="355" spans="2:21" ht="17.25" hidden="1" x14ac:dyDescent="0.3">
      <c r="B355" s="16">
        <v>23</v>
      </c>
      <c r="C355" s="107"/>
      <c r="D355" s="71"/>
      <c r="E355" s="107"/>
      <c r="F355" s="108"/>
      <c r="G355" s="68"/>
      <c r="H355" s="68"/>
      <c r="I355" s="93"/>
      <c r="J355" s="68"/>
      <c r="K355" s="108"/>
      <c r="L355" s="108"/>
      <c r="M355" s="367"/>
      <c r="N355" s="17"/>
      <c r="O355" s="17"/>
      <c r="P355" s="17"/>
      <c r="Q355" s="17"/>
      <c r="R355" s="17"/>
      <c r="S355" s="368">
        <v>0</v>
      </c>
      <c r="T355" s="351">
        <f t="shared" si="9"/>
        <v>0</v>
      </c>
      <c r="U355" s="54"/>
    </row>
    <row r="356" spans="2:21" ht="17.25" hidden="1" x14ac:dyDescent="0.3">
      <c r="B356" s="16">
        <v>24</v>
      </c>
      <c r="C356" s="107"/>
      <c r="D356" s="71"/>
      <c r="E356" s="107"/>
      <c r="F356" s="108"/>
      <c r="G356" s="68"/>
      <c r="H356" s="68"/>
      <c r="I356" s="93"/>
      <c r="J356" s="68"/>
      <c r="K356" s="108"/>
      <c r="L356" s="108"/>
      <c r="M356" s="367"/>
      <c r="N356" s="17"/>
      <c r="O356" s="17"/>
      <c r="P356" s="17"/>
      <c r="Q356" s="17"/>
      <c r="R356" s="17"/>
      <c r="S356" s="368">
        <v>0</v>
      </c>
      <c r="T356" s="351">
        <f t="shared" si="9"/>
        <v>0</v>
      </c>
      <c r="U356" s="54"/>
    </row>
    <row r="357" spans="2:21" ht="17.25" hidden="1" x14ac:dyDescent="0.3">
      <c r="B357" s="16">
        <v>25</v>
      </c>
      <c r="C357" s="107"/>
      <c r="D357" s="71"/>
      <c r="E357" s="107"/>
      <c r="F357" s="108"/>
      <c r="G357" s="68"/>
      <c r="H357" s="68"/>
      <c r="I357" s="93"/>
      <c r="J357" s="68"/>
      <c r="K357" s="108"/>
      <c r="L357" s="108"/>
      <c r="M357" s="367"/>
      <c r="N357" s="17"/>
      <c r="O357" s="17"/>
      <c r="P357" s="17"/>
      <c r="Q357" s="17"/>
      <c r="R357" s="17"/>
      <c r="S357" s="368">
        <v>0</v>
      </c>
      <c r="T357" s="351">
        <f t="shared" si="9"/>
        <v>0</v>
      </c>
      <c r="U357" s="54"/>
    </row>
    <row r="358" spans="2:21" ht="17.25" hidden="1" x14ac:dyDescent="0.3">
      <c r="B358" s="16">
        <v>26</v>
      </c>
      <c r="C358" s="107"/>
      <c r="D358" s="71"/>
      <c r="E358" s="107"/>
      <c r="F358" s="108"/>
      <c r="G358" s="68"/>
      <c r="H358" s="68"/>
      <c r="I358" s="93"/>
      <c r="J358" s="68"/>
      <c r="K358" s="108"/>
      <c r="L358" s="108"/>
      <c r="M358" s="367"/>
      <c r="N358" s="17"/>
      <c r="O358" s="17"/>
      <c r="P358" s="17"/>
      <c r="Q358" s="17"/>
      <c r="R358" s="17"/>
      <c r="S358" s="368">
        <v>0</v>
      </c>
      <c r="T358" s="351">
        <f t="shared" si="9"/>
        <v>0</v>
      </c>
      <c r="U358" s="54"/>
    </row>
    <row r="359" spans="2:21" ht="17.25" hidden="1" x14ac:dyDescent="0.3">
      <c r="B359" s="16">
        <v>27</v>
      </c>
      <c r="C359" s="107"/>
      <c r="D359" s="71"/>
      <c r="E359" s="107"/>
      <c r="F359" s="108"/>
      <c r="G359" s="68"/>
      <c r="H359" s="68"/>
      <c r="I359" s="93"/>
      <c r="J359" s="68"/>
      <c r="K359" s="108"/>
      <c r="L359" s="108"/>
      <c r="M359" s="367"/>
      <c r="N359" s="17"/>
      <c r="O359" s="17"/>
      <c r="P359" s="17"/>
      <c r="Q359" s="17"/>
      <c r="R359" s="17"/>
      <c r="S359" s="368">
        <v>0</v>
      </c>
      <c r="T359" s="351">
        <f t="shared" si="9"/>
        <v>0</v>
      </c>
      <c r="U359" s="54"/>
    </row>
    <row r="360" spans="2:21" ht="17.25" hidden="1" x14ac:dyDescent="0.3">
      <c r="B360" s="16">
        <v>28</v>
      </c>
      <c r="C360" s="107"/>
      <c r="D360" s="71"/>
      <c r="E360" s="107"/>
      <c r="F360" s="108"/>
      <c r="G360" s="68"/>
      <c r="H360" s="68"/>
      <c r="I360" s="93"/>
      <c r="J360" s="68"/>
      <c r="K360" s="108"/>
      <c r="L360" s="108"/>
      <c r="M360" s="367"/>
      <c r="N360" s="17"/>
      <c r="O360" s="17"/>
      <c r="P360" s="17"/>
      <c r="Q360" s="17"/>
      <c r="R360" s="17"/>
      <c r="S360" s="368">
        <v>0</v>
      </c>
      <c r="T360" s="351">
        <f t="shared" si="9"/>
        <v>0</v>
      </c>
      <c r="U360" s="54"/>
    </row>
    <row r="361" spans="2:21" ht="17.25" hidden="1" x14ac:dyDescent="0.3">
      <c r="B361" s="16">
        <v>29</v>
      </c>
      <c r="C361" s="107"/>
      <c r="D361" s="71"/>
      <c r="E361" s="107"/>
      <c r="F361" s="108"/>
      <c r="G361" s="68"/>
      <c r="H361" s="68"/>
      <c r="I361" s="93"/>
      <c r="J361" s="68"/>
      <c r="K361" s="108"/>
      <c r="L361" s="108"/>
      <c r="M361" s="367"/>
      <c r="N361" s="17"/>
      <c r="O361" s="17"/>
      <c r="P361" s="17"/>
      <c r="Q361" s="17"/>
      <c r="R361" s="17"/>
      <c r="S361" s="368">
        <v>0</v>
      </c>
      <c r="T361" s="351">
        <f t="shared" si="9"/>
        <v>0</v>
      </c>
      <c r="U361" s="54"/>
    </row>
    <row r="362" spans="2:21" ht="17.25" hidden="1" x14ac:dyDescent="0.3">
      <c r="B362" s="16">
        <v>30</v>
      </c>
      <c r="C362" s="107"/>
      <c r="D362" s="71"/>
      <c r="E362" s="107"/>
      <c r="F362" s="108"/>
      <c r="G362" s="68"/>
      <c r="H362" s="68"/>
      <c r="I362" s="93"/>
      <c r="J362" s="68"/>
      <c r="K362" s="108"/>
      <c r="L362" s="108"/>
      <c r="M362" s="367"/>
      <c r="N362" s="17"/>
      <c r="O362" s="17"/>
      <c r="P362" s="17"/>
      <c r="Q362" s="17"/>
      <c r="R362" s="17"/>
      <c r="S362" s="368">
        <v>0</v>
      </c>
      <c r="T362" s="351">
        <f t="shared" si="9"/>
        <v>0</v>
      </c>
      <c r="U362" s="54"/>
    </row>
    <row r="363" spans="2:21" ht="17.25" hidden="1" x14ac:dyDescent="0.3">
      <c r="B363" s="16">
        <v>31</v>
      </c>
      <c r="C363" s="107"/>
      <c r="D363" s="71"/>
      <c r="E363" s="107"/>
      <c r="F363" s="108"/>
      <c r="G363" s="68"/>
      <c r="H363" s="68"/>
      <c r="I363" s="93"/>
      <c r="J363" s="68"/>
      <c r="K363" s="108"/>
      <c r="L363" s="108"/>
      <c r="M363" s="367"/>
      <c r="N363" s="17"/>
      <c r="O363" s="17"/>
      <c r="P363" s="17"/>
      <c r="Q363" s="17"/>
      <c r="R363" s="17"/>
      <c r="S363" s="368">
        <v>0</v>
      </c>
      <c r="T363" s="351">
        <f t="shared" si="9"/>
        <v>0</v>
      </c>
      <c r="U363" s="54"/>
    </row>
    <row r="364" spans="2:21" ht="17.25" hidden="1" x14ac:dyDescent="0.3">
      <c r="B364" s="16">
        <v>32</v>
      </c>
      <c r="C364" s="107"/>
      <c r="D364" s="71"/>
      <c r="E364" s="107"/>
      <c r="F364" s="108"/>
      <c r="G364" s="68"/>
      <c r="H364" s="68"/>
      <c r="I364" s="93"/>
      <c r="J364" s="68"/>
      <c r="K364" s="108"/>
      <c r="L364" s="108"/>
      <c r="M364" s="367"/>
      <c r="N364" s="17"/>
      <c r="O364" s="17"/>
      <c r="P364" s="17"/>
      <c r="Q364" s="17"/>
      <c r="R364" s="17"/>
      <c r="S364" s="368">
        <v>0</v>
      </c>
      <c r="T364" s="351">
        <f t="shared" si="9"/>
        <v>0</v>
      </c>
      <c r="U364" s="54"/>
    </row>
    <row r="365" spans="2:21" ht="17.25" hidden="1" x14ac:dyDescent="0.3">
      <c r="B365" s="16">
        <v>33</v>
      </c>
      <c r="C365" s="107"/>
      <c r="D365" s="71"/>
      <c r="E365" s="107"/>
      <c r="F365" s="108"/>
      <c r="G365" s="68"/>
      <c r="H365" s="68"/>
      <c r="I365" s="93"/>
      <c r="J365" s="68"/>
      <c r="K365" s="108"/>
      <c r="L365" s="108"/>
      <c r="M365" s="367"/>
      <c r="N365" s="17"/>
      <c r="O365" s="17"/>
      <c r="P365" s="17"/>
      <c r="Q365" s="17"/>
      <c r="R365" s="17"/>
      <c r="S365" s="368">
        <v>0</v>
      </c>
      <c r="T365" s="351">
        <f t="shared" ref="T365:T396" si="10">F365*S365</f>
        <v>0</v>
      </c>
      <c r="U365" s="54"/>
    </row>
    <row r="366" spans="2:21" ht="17.25" hidden="1" x14ac:dyDescent="0.3">
      <c r="B366" s="16">
        <v>34</v>
      </c>
      <c r="C366" s="107"/>
      <c r="D366" s="71"/>
      <c r="E366" s="107"/>
      <c r="F366" s="108"/>
      <c r="G366" s="68"/>
      <c r="H366" s="68"/>
      <c r="I366" s="93"/>
      <c r="J366" s="68"/>
      <c r="K366" s="108"/>
      <c r="L366" s="108"/>
      <c r="M366" s="367"/>
      <c r="N366" s="17"/>
      <c r="O366" s="17"/>
      <c r="P366" s="17"/>
      <c r="Q366" s="17"/>
      <c r="R366" s="17"/>
      <c r="S366" s="368">
        <v>0</v>
      </c>
      <c r="T366" s="351">
        <f t="shared" si="10"/>
        <v>0</v>
      </c>
      <c r="U366" s="54"/>
    </row>
    <row r="367" spans="2:21" ht="17.25" hidden="1" x14ac:dyDescent="0.3">
      <c r="B367" s="16">
        <v>35</v>
      </c>
      <c r="C367" s="107"/>
      <c r="D367" s="71"/>
      <c r="E367" s="107"/>
      <c r="F367" s="108"/>
      <c r="G367" s="68"/>
      <c r="H367" s="68"/>
      <c r="I367" s="93"/>
      <c r="J367" s="68"/>
      <c r="K367" s="108"/>
      <c r="L367" s="108"/>
      <c r="M367" s="367"/>
      <c r="N367" s="17"/>
      <c r="O367" s="17"/>
      <c r="P367" s="17"/>
      <c r="Q367" s="17"/>
      <c r="R367" s="17"/>
      <c r="S367" s="368">
        <v>0</v>
      </c>
      <c r="T367" s="351">
        <f t="shared" si="10"/>
        <v>0</v>
      </c>
      <c r="U367" s="54"/>
    </row>
    <row r="368" spans="2:21" ht="17.25" hidden="1" x14ac:dyDescent="0.3">
      <c r="B368" s="16">
        <v>36</v>
      </c>
      <c r="C368" s="107"/>
      <c r="D368" s="71"/>
      <c r="E368" s="107"/>
      <c r="F368" s="108"/>
      <c r="G368" s="68"/>
      <c r="H368" s="68"/>
      <c r="I368" s="93"/>
      <c r="J368" s="68"/>
      <c r="K368" s="108"/>
      <c r="L368" s="108"/>
      <c r="M368" s="367"/>
      <c r="N368" s="17"/>
      <c r="O368" s="17"/>
      <c r="P368" s="17"/>
      <c r="Q368" s="17"/>
      <c r="R368" s="17"/>
      <c r="S368" s="368">
        <v>0</v>
      </c>
      <c r="T368" s="351">
        <f t="shared" si="10"/>
        <v>0</v>
      </c>
      <c r="U368" s="54"/>
    </row>
    <row r="369" spans="2:21" ht="17.25" hidden="1" x14ac:dyDescent="0.3">
      <c r="B369" s="16">
        <v>37</v>
      </c>
      <c r="C369" s="107"/>
      <c r="D369" s="71"/>
      <c r="E369" s="107"/>
      <c r="F369" s="108"/>
      <c r="G369" s="68"/>
      <c r="H369" s="68"/>
      <c r="I369" s="93"/>
      <c r="J369" s="68"/>
      <c r="K369" s="108"/>
      <c r="L369" s="108"/>
      <c r="M369" s="367"/>
      <c r="N369" s="17"/>
      <c r="O369" s="17"/>
      <c r="P369" s="17"/>
      <c r="Q369" s="17"/>
      <c r="R369" s="17"/>
      <c r="S369" s="368">
        <v>0</v>
      </c>
      <c r="T369" s="351">
        <f t="shared" si="10"/>
        <v>0</v>
      </c>
      <c r="U369" s="54"/>
    </row>
    <row r="370" spans="2:21" ht="17.25" hidden="1" x14ac:dyDescent="0.3">
      <c r="B370" s="16">
        <v>38</v>
      </c>
      <c r="C370" s="107"/>
      <c r="D370" s="71"/>
      <c r="E370" s="107"/>
      <c r="F370" s="108"/>
      <c r="G370" s="68"/>
      <c r="H370" s="68"/>
      <c r="I370" s="93"/>
      <c r="J370" s="68"/>
      <c r="K370" s="108"/>
      <c r="L370" s="108"/>
      <c r="M370" s="367"/>
      <c r="N370" s="17"/>
      <c r="O370" s="17"/>
      <c r="P370" s="17"/>
      <c r="Q370" s="17"/>
      <c r="R370" s="17"/>
      <c r="S370" s="368">
        <v>0</v>
      </c>
      <c r="T370" s="351">
        <f t="shared" si="10"/>
        <v>0</v>
      </c>
      <c r="U370" s="54"/>
    </row>
    <row r="371" spans="2:21" ht="17.25" hidden="1" x14ac:dyDescent="0.3">
      <c r="B371" s="16">
        <v>39</v>
      </c>
      <c r="C371" s="107"/>
      <c r="D371" s="71"/>
      <c r="E371" s="107"/>
      <c r="F371" s="108"/>
      <c r="G371" s="68"/>
      <c r="H371" s="68"/>
      <c r="I371" s="93"/>
      <c r="J371" s="68"/>
      <c r="K371" s="108"/>
      <c r="L371" s="108"/>
      <c r="M371" s="367"/>
      <c r="N371" s="17"/>
      <c r="O371" s="17"/>
      <c r="P371" s="17"/>
      <c r="Q371" s="17"/>
      <c r="R371" s="17"/>
      <c r="S371" s="368">
        <v>0</v>
      </c>
      <c r="T371" s="351">
        <f t="shared" si="10"/>
        <v>0</v>
      </c>
      <c r="U371" s="54"/>
    </row>
    <row r="372" spans="2:21" ht="17.25" hidden="1" x14ac:dyDescent="0.3">
      <c r="B372" s="16">
        <v>40</v>
      </c>
      <c r="C372" s="107"/>
      <c r="D372" s="71"/>
      <c r="E372" s="107"/>
      <c r="F372" s="108"/>
      <c r="G372" s="68"/>
      <c r="H372" s="68"/>
      <c r="I372" s="93"/>
      <c r="J372" s="68"/>
      <c r="K372" s="108"/>
      <c r="L372" s="108"/>
      <c r="M372" s="367"/>
      <c r="N372" s="17"/>
      <c r="O372" s="17"/>
      <c r="P372" s="17"/>
      <c r="Q372" s="17"/>
      <c r="R372" s="17"/>
      <c r="S372" s="368">
        <v>0</v>
      </c>
      <c r="T372" s="351">
        <f t="shared" si="10"/>
        <v>0</v>
      </c>
      <c r="U372" s="54"/>
    </row>
    <row r="373" spans="2:21" ht="17.25" hidden="1" x14ac:dyDescent="0.3">
      <c r="B373" s="16">
        <v>41</v>
      </c>
      <c r="C373" s="107"/>
      <c r="D373" s="71"/>
      <c r="E373" s="107"/>
      <c r="F373" s="108"/>
      <c r="G373" s="68"/>
      <c r="H373" s="68"/>
      <c r="I373" s="93"/>
      <c r="J373" s="68"/>
      <c r="K373" s="108"/>
      <c r="L373" s="108"/>
      <c r="M373" s="367"/>
      <c r="N373" s="17"/>
      <c r="O373" s="17"/>
      <c r="P373" s="17"/>
      <c r="Q373" s="17"/>
      <c r="R373" s="17"/>
      <c r="S373" s="368">
        <v>0</v>
      </c>
      <c r="T373" s="351">
        <f t="shared" si="10"/>
        <v>0</v>
      </c>
      <c r="U373" s="54"/>
    </row>
    <row r="374" spans="2:21" ht="17.25" hidden="1" x14ac:dyDescent="0.3">
      <c r="B374" s="16">
        <v>42</v>
      </c>
      <c r="C374" s="107"/>
      <c r="D374" s="71"/>
      <c r="E374" s="107"/>
      <c r="F374" s="108"/>
      <c r="G374" s="68"/>
      <c r="H374" s="68"/>
      <c r="I374" s="93"/>
      <c r="J374" s="68"/>
      <c r="K374" s="108"/>
      <c r="L374" s="108"/>
      <c r="M374" s="367"/>
      <c r="N374" s="17"/>
      <c r="O374" s="17"/>
      <c r="P374" s="17"/>
      <c r="Q374" s="17"/>
      <c r="R374" s="17"/>
      <c r="S374" s="368">
        <v>0</v>
      </c>
      <c r="T374" s="351">
        <f t="shared" si="10"/>
        <v>0</v>
      </c>
      <c r="U374" s="54"/>
    </row>
    <row r="375" spans="2:21" ht="17.25" hidden="1" x14ac:dyDescent="0.3">
      <c r="B375" s="16">
        <v>43</v>
      </c>
      <c r="C375" s="107"/>
      <c r="D375" s="71"/>
      <c r="E375" s="107"/>
      <c r="F375" s="108"/>
      <c r="G375" s="68"/>
      <c r="H375" s="68"/>
      <c r="I375" s="93"/>
      <c r="J375" s="68"/>
      <c r="K375" s="108"/>
      <c r="L375" s="108"/>
      <c r="M375" s="367"/>
      <c r="N375" s="17"/>
      <c r="O375" s="17"/>
      <c r="P375" s="17"/>
      <c r="Q375" s="17"/>
      <c r="R375" s="17"/>
      <c r="S375" s="368">
        <v>0</v>
      </c>
      <c r="T375" s="351">
        <f t="shared" si="10"/>
        <v>0</v>
      </c>
      <c r="U375" s="54"/>
    </row>
    <row r="376" spans="2:21" ht="17.25" hidden="1" x14ac:dyDescent="0.3">
      <c r="B376" s="16">
        <v>44</v>
      </c>
      <c r="C376" s="107"/>
      <c r="D376" s="71"/>
      <c r="E376" s="107"/>
      <c r="F376" s="108"/>
      <c r="G376" s="68"/>
      <c r="H376" s="68"/>
      <c r="I376" s="93"/>
      <c r="J376" s="68"/>
      <c r="K376" s="108"/>
      <c r="L376" s="108"/>
      <c r="M376" s="367"/>
      <c r="N376" s="17"/>
      <c r="O376" s="17"/>
      <c r="P376" s="17"/>
      <c r="Q376" s="17"/>
      <c r="R376" s="17"/>
      <c r="S376" s="368">
        <v>0</v>
      </c>
      <c r="T376" s="351">
        <f t="shared" si="10"/>
        <v>0</v>
      </c>
      <c r="U376" s="54"/>
    </row>
    <row r="377" spans="2:21" ht="17.25" hidden="1" x14ac:dyDescent="0.3">
      <c r="B377" s="16">
        <v>45</v>
      </c>
      <c r="C377" s="107"/>
      <c r="D377" s="71"/>
      <c r="E377" s="107"/>
      <c r="F377" s="108"/>
      <c r="G377" s="68"/>
      <c r="H377" s="68"/>
      <c r="I377" s="93"/>
      <c r="J377" s="68"/>
      <c r="K377" s="108"/>
      <c r="L377" s="108"/>
      <c r="M377" s="367"/>
      <c r="N377" s="17"/>
      <c r="O377" s="17"/>
      <c r="P377" s="17"/>
      <c r="Q377" s="17"/>
      <c r="R377" s="17"/>
      <c r="S377" s="368">
        <v>0</v>
      </c>
      <c r="T377" s="351">
        <f t="shared" si="10"/>
        <v>0</v>
      </c>
      <c r="U377" s="54"/>
    </row>
    <row r="378" spans="2:21" ht="17.25" hidden="1" x14ac:dyDescent="0.3">
      <c r="B378" s="16">
        <v>46</v>
      </c>
      <c r="C378" s="107"/>
      <c r="D378" s="71"/>
      <c r="E378" s="107"/>
      <c r="F378" s="108"/>
      <c r="G378" s="68"/>
      <c r="H378" s="68"/>
      <c r="I378" s="93"/>
      <c r="J378" s="68"/>
      <c r="K378" s="108"/>
      <c r="L378" s="108"/>
      <c r="M378" s="367"/>
      <c r="N378" s="17"/>
      <c r="O378" s="17"/>
      <c r="P378" s="17"/>
      <c r="Q378" s="17"/>
      <c r="R378" s="17"/>
      <c r="S378" s="368">
        <v>0</v>
      </c>
      <c r="T378" s="351">
        <f t="shared" si="10"/>
        <v>0</v>
      </c>
      <c r="U378" s="54"/>
    </row>
    <row r="379" spans="2:21" ht="17.25" hidden="1" x14ac:dyDescent="0.3">
      <c r="B379" s="16">
        <v>47</v>
      </c>
      <c r="C379" s="107"/>
      <c r="D379" s="71"/>
      <c r="E379" s="107"/>
      <c r="F379" s="108"/>
      <c r="G379" s="68"/>
      <c r="H379" s="68"/>
      <c r="I379" s="93"/>
      <c r="J379" s="68"/>
      <c r="K379" s="108"/>
      <c r="L379" s="108"/>
      <c r="M379" s="367"/>
      <c r="N379" s="17"/>
      <c r="O379" s="17"/>
      <c r="P379" s="17"/>
      <c r="Q379" s="17"/>
      <c r="R379" s="17"/>
      <c r="S379" s="368">
        <v>0</v>
      </c>
      <c r="T379" s="351">
        <f t="shared" si="10"/>
        <v>0</v>
      </c>
      <c r="U379" s="54"/>
    </row>
    <row r="380" spans="2:21" ht="17.25" hidden="1" x14ac:dyDescent="0.3">
      <c r="B380" s="16">
        <v>48</v>
      </c>
      <c r="C380" s="107"/>
      <c r="D380" s="71"/>
      <c r="E380" s="107"/>
      <c r="F380" s="108"/>
      <c r="G380" s="68"/>
      <c r="H380" s="68"/>
      <c r="I380" s="93"/>
      <c r="J380" s="68"/>
      <c r="K380" s="108"/>
      <c r="L380" s="108"/>
      <c r="M380" s="367"/>
      <c r="N380" s="17"/>
      <c r="O380" s="17"/>
      <c r="P380" s="17"/>
      <c r="Q380" s="17"/>
      <c r="R380" s="17"/>
      <c r="S380" s="368">
        <v>0</v>
      </c>
      <c r="T380" s="351">
        <f t="shared" si="10"/>
        <v>0</v>
      </c>
      <c r="U380" s="54"/>
    </row>
    <row r="381" spans="2:21" ht="17.25" hidden="1" x14ac:dyDescent="0.3">
      <c r="B381" s="16">
        <v>49</v>
      </c>
      <c r="C381" s="107"/>
      <c r="D381" s="71"/>
      <c r="E381" s="107"/>
      <c r="F381" s="108"/>
      <c r="G381" s="68"/>
      <c r="H381" s="68"/>
      <c r="I381" s="93"/>
      <c r="J381" s="68"/>
      <c r="K381" s="108"/>
      <c r="L381" s="108"/>
      <c r="M381" s="367"/>
      <c r="N381" s="17"/>
      <c r="O381" s="17"/>
      <c r="P381" s="17"/>
      <c r="Q381" s="17"/>
      <c r="R381" s="17"/>
      <c r="S381" s="368">
        <v>0</v>
      </c>
      <c r="T381" s="351">
        <f t="shared" si="10"/>
        <v>0</v>
      </c>
      <c r="U381" s="54"/>
    </row>
    <row r="382" spans="2:21" ht="17.25" hidden="1" x14ac:dyDescent="0.3">
      <c r="B382" s="16">
        <v>50</v>
      </c>
      <c r="C382" s="107"/>
      <c r="D382" s="71"/>
      <c r="E382" s="107"/>
      <c r="F382" s="108"/>
      <c r="G382" s="68"/>
      <c r="H382" s="68"/>
      <c r="I382" s="93"/>
      <c r="J382" s="68"/>
      <c r="K382" s="108"/>
      <c r="L382" s="108"/>
      <c r="M382" s="367"/>
      <c r="N382" s="17"/>
      <c r="O382" s="17"/>
      <c r="P382" s="17"/>
      <c r="Q382" s="17"/>
      <c r="R382" s="17"/>
      <c r="S382" s="368">
        <v>0</v>
      </c>
      <c r="T382" s="351">
        <f t="shared" si="10"/>
        <v>0</v>
      </c>
      <c r="U382" s="54"/>
    </row>
    <row r="383" spans="2:21" ht="17.25" hidden="1" x14ac:dyDescent="0.3">
      <c r="B383" s="16">
        <v>51</v>
      </c>
      <c r="C383" s="107"/>
      <c r="D383" s="71"/>
      <c r="E383" s="107"/>
      <c r="F383" s="108"/>
      <c r="G383" s="68"/>
      <c r="H383" s="68"/>
      <c r="I383" s="93"/>
      <c r="J383" s="68"/>
      <c r="K383" s="108"/>
      <c r="L383" s="108"/>
      <c r="M383" s="367"/>
      <c r="N383" s="17"/>
      <c r="O383" s="17"/>
      <c r="P383" s="17"/>
      <c r="Q383" s="17"/>
      <c r="R383" s="17"/>
      <c r="S383" s="368">
        <v>0</v>
      </c>
      <c r="T383" s="351">
        <f t="shared" si="10"/>
        <v>0</v>
      </c>
      <c r="U383" s="54"/>
    </row>
    <row r="384" spans="2:21" ht="17.25" hidden="1" x14ac:dyDescent="0.3">
      <c r="B384" s="16">
        <v>52</v>
      </c>
      <c r="C384" s="107"/>
      <c r="D384" s="71"/>
      <c r="E384" s="107"/>
      <c r="F384" s="108"/>
      <c r="G384" s="68"/>
      <c r="H384" s="68"/>
      <c r="I384" s="93"/>
      <c r="J384" s="68"/>
      <c r="K384" s="108"/>
      <c r="L384" s="108"/>
      <c r="M384" s="367"/>
      <c r="N384" s="17"/>
      <c r="O384" s="17"/>
      <c r="P384" s="17"/>
      <c r="Q384" s="17"/>
      <c r="R384" s="17"/>
      <c r="S384" s="368">
        <v>0</v>
      </c>
      <c r="T384" s="351">
        <f t="shared" si="10"/>
        <v>0</v>
      </c>
      <c r="U384" s="54"/>
    </row>
    <row r="385" spans="2:21" ht="17.25" hidden="1" x14ac:dyDescent="0.3">
      <c r="B385" s="16">
        <v>53</v>
      </c>
      <c r="C385" s="107"/>
      <c r="D385" s="71"/>
      <c r="E385" s="107"/>
      <c r="F385" s="108"/>
      <c r="G385" s="68"/>
      <c r="H385" s="68"/>
      <c r="I385" s="93"/>
      <c r="J385" s="68"/>
      <c r="K385" s="108"/>
      <c r="L385" s="108"/>
      <c r="M385" s="367"/>
      <c r="N385" s="17"/>
      <c r="O385" s="17"/>
      <c r="P385" s="17"/>
      <c r="Q385" s="17"/>
      <c r="R385" s="17"/>
      <c r="S385" s="368">
        <v>0</v>
      </c>
      <c r="T385" s="351">
        <f t="shared" si="10"/>
        <v>0</v>
      </c>
      <c r="U385" s="54"/>
    </row>
    <row r="386" spans="2:21" ht="17.25" hidden="1" x14ac:dyDescent="0.3">
      <c r="B386" s="16">
        <v>54</v>
      </c>
      <c r="C386" s="107"/>
      <c r="D386" s="71"/>
      <c r="E386" s="107"/>
      <c r="F386" s="108"/>
      <c r="G386" s="68"/>
      <c r="H386" s="68"/>
      <c r="I386" s="93"/>
      <c r="J386" s="68"/>
      <c r="K386" s="108"/>
      <c r="L386" s="108"/>
      <c r="M386" s="367"/>
      <c r="N386" s="17"/>
      <c r="O386" s="17"/>
      <c r="P386" s="17"/>
      <c r="Q386" s="17"/>
      <c r="R386" s="17"/>
      <c r="S386" s="368">
        <v>0</v>
      </c>
      <c r="T386" s="351">
        <f t="shared" si="10"/>
        <v>0</v>
      </c>
      <c r="U386" s="54"/>
    </row>
    <row r="387" spans="2:21" ht="17.25" hidden="1" x14ac:dyDescent="0.3">
      <c r="B387" s="16">
        <v>55</v>
      </c>
      <c r="C387" s="107"/>
      <c r="D387" s="71"/>
      <c r="E387" s="107"/>
      <c r="F387" s="108"/>
      <c r="G387" s="68"/>
      <c r="H387" s="68"/>
      <c r="I387" s="93"/>
      <c r="J387" s="68"/>
      <c r="K387" s="108"/>
      <c r="L387" s="108"/>
      <c r="M387" s="367"/>
      <c r="N387" s="17"/>
      <c r="O387" s="17"/>
      <c r="P387" s="17"/>
      <c r="Q387" s="17"/>
      <c r="R387" s="17"/>
      <c r="S387" s="368">
        <v>0</v>
      </c>
      <c r="T387" s="351">
        <f t="shared" si="10"/>
        <v>0</v>
      </c>
      <c r="U387" s="54"/>
    </row>
    <row r="388" spans="2:21" ht="17.25" hidden="1" x14ac:dyDescent="0.3">
      <c r="B388" s="16">
        <v>56</v>
      </c>
      <c r="C388" s="107"/>
      <c r="D388" s="71"/>
      <c r="E388" s="107"/>
      <c r="F388" s="108"/>
      <c r="G388" s="68"/>
      <c r="H388" s="68"/>
      <c r="I388" s="93"/>
      <c r="J388" s="68"/>
      <c r="K388" s="108"/>
      <c r="L388" s="108"/>
      <c r="M388" s="367"/>
      <c r="N388" s="17"/>
      <c r="O388" s="17"/>
      <c r="P388" s="17"/>
      <c r="Q388" s="17"/>
      <c r="R388" s="17"/>
      <c r="S388" s="368">
        <v>0</v>
      </c>
      <c r="T388" s="351">
        <f t="shared" si="10"/>
        <v>0</v>
      </c>
      <c r="U388" s="54"/>
    </row>
    <row r="389" spans="2:21" ht="17.25" hidden="1" x14ac:dyDescent="0.3">
      <c r="B389" s="16">
        <v>57</v>
      </c>
      <c r="C389" s="107"/>
      <c r="D389" s="71"/>
      <c r="E389" s="107"/>
      <c r="F389" s="108"/>
      <c r="G389" s="68"/>
      <c r="H389" s="68"/>
      <c r="I389" s="93"/>
      <c r="J389" s="68"/>
      <c r="K389" s="108"/>
      <c r="L389" s="108"/>
      <c r="M389" s="367"/>
      <c r="N389" s="17"/>
      <c r="O389" s="17"/>
      <c r="P389" s="17"/>
      <c r="Q389" s="17"/>
      <c r="R389" s="17"/>
      <c r="S389" s="368">
        <v>0</v>
      </c>
      <c r="T389" s="351">
        <f t="shared" si="10"/>
        <v>0</v>
      </c>
      <c r="U389" s="54"/>
    </row>
    <row r="390" spans="2:21" ht="17.25" hidden="1" x14ac:dyDescent="0.3">
      <c r="B390" s="16">
        <v>58</v>
      </c>
      <c r="C390" s="107"/>
      <c r="D390" s="71"/>
      <c r="E390" s="107"/>
      <c r="F390" s="108"/>
      <c r="G390" s="68"/>
      <c r="H390" s="68"/>
      <c r="I390" s="93"/>
      <c r="J390" s="68"/>
      <c r="K390" s="108"/>
      <c r="L390" s="108"/>
      <c r="M390" s="367"/>
      <c r="N390" s="17"/>
      <c r="O390" s="17"/>
      <c r="P390" s="17"/>
      <c r="Q390" s="17"/>
      <c r="R390" s="17"/>
      <c r="S390" s="368">
        <v>0</v>
      </c>
      <c r="T390" s="351">
        <f t="shared" si="10"/>
        <v>0</v>
      </c>
      <c r="U390" s="54"/>
    </row>
    <row r="391" spans="2:21" ht="17.25" hidden="1" x14ac:dyDescent="0.3">
      <c r="B391" s="16">
        <v>59</v>
      </c>
      <c r="C391" s="107"/>
      <c r="D391" s="71"/>
      <c r="E391" s="107"/>
      <c r="F391" s="108"/>
      <c r="G391" s="68"/>
      <c r="H391" s="68"/>
      <c r="I391" s="93"/>
      <c r="J391" s="68"/>
      <c r="K391" s="108"/>
      <c r="L391" s="108"/>
      <c r="M391" s="367"/>
      <c r="N391" s="17"/>
      <c r="O391" s="17"/>
      <c r="P391" s="17"/>
      <c r="Q391" s="17"/>
      <c r="R391" s="17"/>
      <c r="S391" s="368">
        <v>0</v>
      </c>
      <c r="T391" s="351">
        <f t="shared" si="10"/>
        <v>0</v>
      </c>
      <c r="U391" s="54"/>
    </row>
    <row r="392" spans="2:21" ht="17.25" hidden="1" x14ac:dyDescent="0.3">
      <c r="B392" s="16">
        <v>60</v>
      </c>
      <c r="C392" s="107"/>
      <c r="D392" s="71"/>
      <c r="E392" s="107"/>
      <c r="F392" s="108"/>
      <c r="G392" s="68"/>
      <c r="H392" s="68"/>
      <c r="I392" s="93"/>
      <c r="J392" s="68"/>
      <c r="K392" s="108"/>
      <c r="L392" s="108"/>
      <c r="M392" s="367"/>
      <c r="N392" s="17"/>
      <c r="O392" s="17"/>
      <c r="P392" s="17"/>
      <c r="Q392" s="17"/>
      <c r="R392" s="17"/>
      <c r="S392" s="368">
        <v>0</v>
      </c>
      <c r="T392" s="351">
        <f t="shared" si="10"/>
        <v>0</v>
      </c>
      <c r="U392" s="54"/>
    </row>
    <row r="393" spans="2:21" ht="17.25" hidden="1" x14ac:dyDescent="0.3">
      <c r="B393" s="16">
        <v>61</v>
      </c>
      <c r="C393" s="107"/>
      <c r="D393" s="71"/>
      <c r="E393" s="107"/>
      <c r="F393" s="108"/>
      <c r="G393" s="68"/>
      <c r="H393" s="68"/>
      <c r="I393" s="93"/>
      <c r="J393" s="68"/>
      <c r="K393" s="108"/>
      <c r="L393" s="108"/>
      <c r="M393" s="367"/>
      <c r="N393" s="17"/>
      <c r="O393" s="17"/>
      <c r="P393" s="17"/>
      <c r="Q393" s="17"/>
      <c r="R393" s="17"/>
      <c r="S393" s="368">
        <v>0</v>
      </c>
      <c r="T393" s="351">
        <f t="shared" si="10"/>
        <v>0</v>
      </c>
      <c r="U393" s="54"/>
    </row>
    <row r="394" spans="2:21" ht="17.25" hidden="1" x14ac:dyDescent="0.3">
      <c r="B394" s="16">
        <v>62</v>
      </c>
      <c r="C394" s="107"/>
      <c r="D394" s="71"/>
      <c r="E394" s="107"/>
      <c r="F394" s="108"/>
      <c r="G394" s="68"/>
      <c r="H394" s="68"/>
      <c r="I394" s="93"/>
      <c r="J394" s="68"/>
      <c r="K394" s="108"/>
      <c r="L394" s="108"/>
      <c r="M394" s="367"/>
      <c r="N394" s="17"/>
      <c r="O394" s="17"/>
      <c r="P394" s="17"/>
      <c r="Q394" s="17"/>
      <c r="R394" s="17"/>
      <c r="S394" s="368">
        <v>0</v>
      </c>
      <c r="T394" s="351">
        <f t="shared" si="10"/>
        <v>0</v>
      </c>
      <c r="U394" s="54"/>
    </row>
    <row r="395" spans="2:21" ht="17.25" hidden="1" x14ac:dyDescent="0.3">
      <c r="B395" s="16">
        <v>63</v>
      </c>
      <c r="C395" s="107"/>
      <c r="D395" s="71"/>
      <c r="E395" s="107"/>
      <c r="F395" s="108"/>
      <c r="G395" s="68"/>
      <c r="H395" s="68"/>
      <c r="I395" s="93"/>
      <c r="J395" s="68"/>
      <c r="K395" s="108"/>
      <c r="L395" s="108"/>
      <c r="M395" s="367"/>
      <c r="N395" s="17"/>
      <c r="O395" s="17"/>
      <c r="P395" s="17"/>
      <c r="Q395" s="17"/>
      <c r="R395" s="17"/>
      <c r="S395" s="368">
        <v>0</v>
      </c>
      <c r="T395" s="351">
        <f t="shared" si="10"/>
        <v>0</v>
      </c>
      <c r="U395" s="54"/>
    </row>
    <row r="396" spans="2:21" ht="17.25" hidden="1" x14ac:dyDescent="0.3">
      <c r="B396" s="16">
        <v>64</v>
      </c>
      <c r="C396" s="107"/>
      <c r="D396" s="71"/>
      <c r="E396" s="107"/>
      <c r="F396" s="108"/>
      <c r="G396" s="68"/>
      <c r="H396" s="68"/>
      <c r="I396" s="93"/>
      <c r="J396" s="68"/>
      <c r="K396" s="108"/>
      <c r="L396" s="108"/>
      <c r="M396" s="367"/>
      <c r="N396" s="17"/>
      <c r="O396" s="17"/>
      <c r="P396" s="17"/>
      <c r="Q396" s="17"/>
      <c r="R396" s="17"/>
      <c r="S396" s="368">
        <v>0</v>
      </c>
      <c r="T396" s="351">
        <f t="shared" si="10"/>
        <v>0</v>
      </c>
      <c r="U396" s="54"/>
    </row>
    <row r="397" spans="2:21" ht="17.25" hidden="1" x14ac:dyDescent="0.3">
      <c r="B397" s="16">
        <v>65</v>
      </c>
      <c r="C397" s="107"/>
      <c r="D397" s="71"/>
      <c r="E397" s="107"/>
      <c r="F397" s="108"/>
      <c r="G397" s="68"/>
      <c r="H397" s="68"/>
      <c r="I397" s="93"/>
      <c r="J397" s="68"/>
      <c r="K397" s="108"/>
      <c r="L397" s="108"/>
      <c r="M397" s="367"/>
      <c r="N397" s="17"/>
      <c r="O397" s="17"/>
      <c r="P397" s="17"/>
      <c r="Q397" s="17"/>
      <c r="R397" s="17"/>
      <c r="S397" s="368">
        <v>0</v>
      </c>
      <c r="T397" s="351">
        <f t="shared" ref="T397:T428" si="11">F397*S397</f>
        <v>0</v>
      </c>
      <c r="U397" s="54"/>
    </row>
    <row r="398" spans="2:21" ht="17.25" hidden="1" x14ac:dyDescent="0.3">
      <c r="B398" s="16">
        <v>66</v>
      </c>
      <c r="C398" s="107"/>
      <c r="D398" s="71"/>
      <c r="E398" s="107"/>
      <c r="F398" s="108"/>
      <c r="G398" s="68"/>
      <c r="H398" s="68"/>
      <c r="I398" s="93"/>
      <c r="J398" s="68"/>
      <c r="K398" s="108"/>
      <c r="L398" s="108"/>
      <c r="M398" s="367"/>
      <c r="N398" s="17"/>
      <c r="O398" s="17"/>
      <c r="P398" s="17"/>
      <c r="Q398" s="17"/>
      <c r="R398" s="17"/>
      <c r="S398" s="368">
        <v>0</v>
      </c>
      <c r="T398" s="351">
        <f t="shared" si="11"/>
        <v>0</v>
      </c>
      <c r="U398" s="54"/>
    </row>
    <row r="399" spans="2:21" ht="17.25" hidden="1" x14ac:dyDescent="0.3">
      <c r="B399" s="16">
        <v>67</v>
      </c>
      <c r="C399" s="107"/>
      <c r="D399" s="71"/>
      <c r="E399" s="107"/>
      <c r="F399" s="108"/>
      <c r="G399" s="68"/>
      <c r="H399" s="68"/>
      <c r="I399" s="93"/>
      <c r="J399" s="68"/>
      <c r="K399" s="108"/>
      <c r="L399" s="108"/>
      <c r="M399" s="367"/>
      <c r="N399" s="17"/>
      <c r="O399" s="17"/>
      <c r="P399" s="17"/>
      <c r="Q399" s="17"/>
      <c r="R399" s="17"/>
      <c r="S399" s="368">
        <v>0</v>
      </c>
      <c r="T399" s="351">
        <f t="shared" si="11"/>
        <v>0</v>
      </c>
      <c r="U399" s="54"/>
    </row>
    <row r="400" spans="2:21" ht="17.25" hidden="1" x14ac:dyDescent="0.3">
      <c r="B400" s="16">
        <v>68</v>
      </c>
      <c r="C400" s="107"/>
      <c r="D400" s="71"/>
      <c r="E400" s="107"/>
      <c r="F400" s="108"/>
      <c r="G400" s="68"/>
      <c r="H400" s="68"/>
      <c r="I400" s="93"/>
      <c r="J400" s="68"/>
      <c r="K400" s="108"/>
      <c r="L400" s="108"/>
      <c r="M400" s="367"/>
      <c r="N400" s="17"/>
      <c r="O400" s="17"/>
      <c r="P400" s="17"/>
      <c r="Q400" s="17"/>
      <c r="R400" s="17"/>
      <c r="S400" s="368">
        <v>0</v>
      </c>
      <c r="T400" s="351">
        <f t="shared" si="11"/>
        <v>0</v>
      </c>
      <c r="U400" s="54"/>
    </row>
    <row r="401" spans="2:21" ht="17.25" hidden="1" x14ac:dyDescent="0.3">
      <c r="B401" s="16">
        <v>69</v>
      </c>
      <c r="C401" s="107"/>
      <c r="D401" s="71"/>
      <c r="E401" s="107"/>
      <c r="F401" s="108"/>
      <c r="G401" s="68"/>
      <c r="H401" s="68"/>
      <c r="I401" s="93"/>
      <c r="J401" s="68"/>
      <c r="K401" s="108"/>
      <c r="L401" s="108"/>
      <c r="M401" s="367"/>
      <c r="N401" s="17"/>
      <c r="O401" s="17"/>
      <c r="P401" s="17"/>
      <c r="Q401" s="17"/>
      <c r="R401" s="17"/>
      <c r="S401" s="368">
        <v>0</v>
      </c>
      <c r="T401" s="351">
        <f t="shared" si="11"/>
        <v>0</v>
      </c>
      <c r="U401" s="54"/>
    </row>
    <row r="402" spans="2:21" ht="17.25" hidden="1" x14ac:dyDescent="0.3">
      <c r="B402" s="16">
        <v>70</v>
      </c>
      <c r="C402" s="107"/>
      <c r="D402" s="71"/>
      <c r="E402" s="107"/>
      <c r="F402" s="108"/>
      <c r="G402" s="68"/>
      <c r="H402" s="68"/>
      <c r="I402" s="93"/>
      <c r="J402" s="68"/>
      <c r="K402" s="108"/>
      <c r="L402" s="108"/>
      <c r="M402" s="367"/>
      <c r="N402" s="17"/>
      <c r="O402" s="17"/>
      <c r="P402" s="17"/>
      <c r="Q402" s="17"/>
      <c r="R402" s="17"/>
      <c r="S402" s="368">
        <v>0</v>
      </c>
      <c r="T402" s="351">
        <f t="shared" si="11"/>
        <v>0</v>
      </c>
      <c r="U402" s="54"/>
    </row>
    <row r="403" spans="2:21" ht="17.25" hidden="1" x14ac:dyDescent="0.3">
      <c r="B403" s="16">
        <v>71</v>
      </c>
      <c r="C403" s="107"/>
      <c r="D403" s="71"/>
      <c r="E403" s="107"/>
      <c r="F403" s="108"/>
      <c r="G403" s="68"/>
      <c r="H403" s="68"/>
      <c r="I403" s="93"/>
      <c r="J403" s="68"/>
      <c r="K403" s="108"/>
      <c r="L403" s="108"/>
      <c r="M403" s="367"/>
      <c r="N403" s="17"/>
      <c r="O403" s="17"/>
      <c r="P403" s="17"/>
      <c r="Q403" s="17"/>
      <c r="R403" s="17"/>
      <c r="S403" s="368">
        <v>0</v>
      </c>
      <c r="T403" s="351">
        <f t="shared" si="11"/>
        <v>0</v>
      </c>
      <c r="U403" s="54"/>
    </row>
    <row r="404" spans="2:21" ht="17.25" hidden="1" x14ac:dyDescent="0.3">
      <c r="B404" s="16">
        <v>72</v>
      </c>
      <c r="C404" s="107"/>
      <c r="D404" s="71"/>
      <c r="E404" s="107"/>
      <c r="F404" s="108"/>
      <c r="G404" s="68"/>
      <c r="H404" s="68"/>
      <c r="I404" s="93"/>
      <c r="J404" s="68"/>
      <c r="K404" s="108"/>
      <c r="L404" s="108"/>
      <c r="M404" s="367"/>
      <c r="N404" s="17"/>
      <c r="O404" s="17"/>
      <c r="P404" s="17"/>
      <c r="Q404" s="17"/>
      <c r="R404" s="17"/>
      <c r="S404" s="368">
        <v>0</v>
      </c>
      <c r="T404" s="351">
        <f t="shared" si="11"/>
        <v>0</v>
      </c>
      <c r="U404" s="54"/>
    </row>
    <row r="405" spans="2:21" ht="17.25" hidden="1" x14ac:dyDescent="0.3">
      <c r="B405" s="16">
        <v>73</v>
      </c>
      <c r="C405" s="107"/>
      <c r="D405" s="71"/>
      <c r="E405" s="107"/>
      <c r="F405" s="108"/>
      <c r="G405" s="68"/>
      <c r="H405" s="68"/>
      <c r="I405" s="93"/>
      <c r="J405" s="68"/>
      <c r="K405" s="108"/>
      <c r="L405" s="108"/>
      <c r="M405" s="367"/>
      <c r="N405" s="17"/>
      <c r="O405" s="17"/>
      <c r="P405" s="17"/>
      <c r="Q405" s="17"/>
      <c r="R405" s="17"/>
      <c r="S405" s="368">
        <v>0</v>
      </c>
      <c r="T405" s="351">
        <f t="shared" si="11"/>
        <v>0</v>
      </c>
      <c r="U405" s="54"/>
    </row>
    <row r="406" spans="2:21" ht="17.25" hidden="1" x14ac:dyDescent="0.3">
      <c r="B406" s="16">
        <v>74</v>
      </c>
      <c r="C406" s="107"/>
      <c r="D406" s="71"/>
      <c r="E406" s="107"/>
      <c r="F406" s="108"/>
      <c r="G406" s="68"/>
      <c r="H406" s="68"/>
      <c r="I406" s="93"/>
      <c r="J406" s="68"/>
      <c r="K406" s="108"/>
      <c r="L406" s="108"/>
      <c r="M406" s="367"/>
      <c r="N406" s="17"/>
      <c r="O406" s="17"/>
      <c r="P406" s="17"/>
      <c r="Q406" s="17"/>
      <c r="R406" s="17"/>
      <c r="S406" s="368">
        <v>0</v>
      </c>
      <c r="T406" s="351">
        <f t="shared" si="11"/>
        <v>0</v>
      </c>
      <c r="U406" s="54"/>
    </row>
    <row r="407" spans="2:21" ht="17.25" hidden="1" x14ac:dyDescent="0.3">
      <c r="B407" s="16">
        <v>75</v>
      </c>
      <c r="C407" s="107"/>
      <c r="D407" s="71"/>
      <c r="E407" s="107"/>
      <c r="F407" s="108"/>
      <c r="G407" s="68"/>
      <c r="H407" s="68"/>
      <c r="I407" s="93"/>
      <c r="J407" s="68"/>
      <c r="K407" s="108"/>
      <c r="L407" s="108"/>
      <c r="M407" s="367"/>
      <c r="N407" s="17"/>
      <c r="O407" s="17"/>
      <c r="P407" s="17"/>
      <c r="Q407" s="17"/>
      <c r="R407" s="17"/>
      <c r="S407" s="368">
        <v>0</v>
      </c>
      <c r="T407" s="351">
        <f t="shared" si="11"/>
        <v>0</v>
      </c>
      <c r="U407" s="54"/>
    </row>
    <row r="408" spans="2:21" ht="17.25" hidden="1" x14ac:dyDescent="0.3">
      <c r="B408" s="16">
        <v>76</v>
      </c>
      <c r="C408" s="107"/>
      <c r="D408" s="71"/>
      <c r="E408" s="107"/>
      <c r="F408" s="108"/>
      <c r="G408" s="68"/>
      <c r="H408" s="68"/>
      <c r="I408" s="93"/>
      <c r="J408" s="68"/>
      <c r="K408" s="108"/>
      <c r="L408" s="108"/>
      <c r="M408" s="367"/>
      <c r="N408" s="17"/>
      <c r="O408" s="17"/>
      <c r="P408" s="17"/>
      <c r="Q408" s="17"/>
      <c r="R408" s="17"/>
      <c r="S408" s="368">
        <v>0</v>
      </c>
      <c r="T408" s="351">
        <f t="shared" si="11"/>
        <v>0</v>
      </c>
      <c r="U408" s="54"/>
    </row>
    <row r="409" spans="2:21" ht="17.25" hidden="1" x14ac:dyDescent="0.3">
      <c r="B409" s="16">
        <v>77</v>
      </c>
      <c r="C409" s="107"/>
      <c r="D409" s="71"/>
      <c r="E409" s="107"/>
      <c r="F409" s="108"/>
      <c r="G409" s="68"/>
      <c r="H409" s="68"/>
      <c r="I409" s="93"/>
      <c r="J409" s="68"/>
      <c r="K409" s="108"/>
      <c r="L409" s="108"/>
      <c r="M409" s="367"/>
      <c r="N409" s="17"/>
      <c r="O409" s="17"/>
      <c r="P409" s="17"/>
      <c r="Q409" s="17"/>
      <c r="R409" s="17"/>
      <c r="S409" s="368">
        <v>0</v>
      </c>
      <c r="T409" s="351">
        <f t="shared" si="11"/>
        <v>0</v>
      </c>
      <c r="U409" s="54"/>
    </row>
    <row r="410" spans="2:21" ht="17.25" hidden="1" x14ac:dyDescent="0.3">
      <c r="B410" s="16">
        <v>78</v>
      </c>
      <c r="C410" s="107"/>
      <c r="D410" s="71"/>
      <c r="E410" s="107"/>
      <c r="F410" s="108"/>
      <c r="G410" s="68"/>
      <c r="H410" s="68"/>
      <c r="I410" s="93"/>
      <c r="J410" s="68"/>
      <c r="K410" s="108"/>
      <c r="L410" s="108"/>
      <c r="M410" s="367"/>
      <c r="N410" s="17"/>
      <c r="O410" s="17"/>
      <c r="P410" s="17"/>
      <c r="Q410" s="17"/>
      <c r="R410" s="17"/>
      <c r="S410" s="368">
        <v>0</v>
      </c>
      <c r="T410" s="351">
        <f t="shared" si="11"/>
        <v>0</v>
      </c>
      <c r="U410" s="54"/>
    </row>
    <row r="411" spans="2:21" ht="17.25" hidden="1" x14ac:dyDescent="0.3">
      <c r="B411" s="16">
        <v>79</v>
      </c>
      <c r="C411" s="107"/>
      <c r="D411" s="71"/>
      <c r="E411" s="107"/>
      <c r="F411" s="108"/>
      <c r="G411" s="68"/>
      <c r="H411" s="68"/>
      <c r="I411" s="93"/>
      <c r="J411" s="68"/>
      <c r="K411" s="108"/>
      <c r="L411" s="108"/>
      <c r="M411" s="367"/>
      <c r="N411" s="17"/>
      <c r="O411" s="17"/>
      <c r="P411" s="17"/>
      <c r="Q411" s="17"/>
      <c r="R411" s="17"/>
      <c r="S411" s="368">
        <v>0</v>
      </c>
      <c r="T411" s="351">
        <f t="shared" si="11"/>
        <v>0</v>
      </c>
      <c r="U411" s="54"/>
    </row>
    <row r="412" spans="2:21" ht="17.25" hidden="1" x14ac:dyDescent="0.3">
      <c r="B412" s="16">
        <v>80</v>
      </c>
      <c r="C412" s="107"/>
      <c r="D412" s="71"/>
      <c r="E412" s="107"/>
      <c r="F412" s="108"/>
      <c r="G412" s="68"/>
      <c r="H412" s="68"/>
      <c r="I412" s="93"/>
      <c r="J412" s="68"/>
      <c r="K412" s="108"/>
      <c r="L412" s="108"/>
      <c r="M412" s="367"/>
      <c r="N412" s="17"/>
      <c r="O412" s="17"/>
      <c r="P412" s="17"/>
      <c r="Q412" s="17"/>
      <c r="R412" s="17"/>
      <c r="S412" s="368">
        <v>0</v>
      </c>
      <c r="T412" s="351">
        <f t="shared" si="11"/>
        <v>0</v>
      </c>
      <c r="U412" s="54"/>
    </row>
    <row r="413" spans="2:21" ht="17.25" hidden="1" x14ac:dyDescent="0.3">
      <c r="B413" s="16">
        <v>81</v>
      </c>
      <c r="C413" s="107"/>
      <c r="D413" s="71"/>
      <c r="E413" s="107"/>
      <c r="F413" s="108"/>
      <c r="G413" s="68"/>
      <c r="H413" s="68"/>
      <c r="I413" s="93"/>
      <c r="J413" s="68"/>
      <c r="K413" s="108"/>
      <c r="L413" s="108"/>
      <c r="M413" s="367"/>
      <c r="N413" s="17"/>
      <c r="O413" s="17"/>
      <c r="P413" s="17"/>
      <c r="Q413" s="17"/>
      <c r="R413" s="17"/>
      <c r="S413" s="368">
        <v>0</v>
      </c>
      <c r="T413" s="351">
        <f t="shared" si="11"/>
        <v>0</v>
      </c>
      <c r="U413" s="54"/>
    </row>
    <row r="414" spans="2:21" ht="17.25" hidden="1" x14ac:dyDescent="0.3">
      <c r="B414" s="16">
        <v>82</v>
      </c>
      <c r="C414" s="107"/>
      <c r="D414" s="109"/>
      <c r="E414" s="72"/>
      <c r="F414" s="108"/>
      <c r="G414" s="68"/>
      <c r="H414" s="68"/>
      <c r="I414" s="93"/>
      <c r="J414" s="68"/>
      <c r="K414" s="108"/>
      <c r="L414" s="108"/>
      <c r="M414" s="367"/>
      <c r="N414" s="17"/>
      <c r="O414" s="17"/>
      <c r="P414" s="17"/>
      <c r="Q414" s="17"/>
      <c r="R414" s="17"/>
      <c r="S414" s="368">
        <v>0</v>
      </c>
      <c r="T414" s="351">
        <f t="shared" si="11"/>
        <v>0</v>
      </c>
      <c r="U414" s="54"/>
    </row>
    <row r="415" spans="2:21" ht="17.25" hidden="1" x14ac:dyDescent="0.3">
      <c r="B415" s="16">
        <v>83</v>
      </c>
      <c r="C415" s="107"/>
      <c r="D415" s="110"/>
      <c r="E415" s="72"/>
      <c r="F415" s="108"/>
      <c r="G415" s="68"/>
      <c r="H415" s="68"/>
      <c r="I415" s="108"/>
      <c r="J415" s="68"/>
      <c r="K415" s="108"/>
      <c r="L415" s="108"/>
      <c r="M415" s="367"/>
      <c r="N415" s="17"/>
      <c r="O415" s="17"/>
      <c r="P415" s="17"/>
      <c r="Q415" s="17"/>
      <c r="R415" s="17"/>
      <c r="S415" s="368">
        <v>0</v>
      </c>
      <c r="T415" s="351">
        <f t="shared" si="11"/>
        <v>0</v>
      </c>
      <c r="U415" s="54"/>
    </row>
    <row r="416" spans="2:21" ht="30.75" hidden="1" customHeight="1" x14ac:dyDescent="0.3">
      <c r="B416" s="16">
        <v>84</v>
      </c>
      <c r="C416" s="107"/>
      <c r="D416" s="111"/>
      <c r="E416" s="72"/>
      <c r="F416" s="108"/>
      <c r="G416" s="68"/>
      <c r="H416" s="68"/>
      <c r="I416" s="108"/>
      <c r="J416" s="68"/>
      <c r="K416" s="108"/>
      <c r="L416" s="108"/>
      <c r="M416" s="367"/>
      <c r="N416" s="17"/>
      <c r="O416" s="17"/>
      <c r="P416" s="17"/>
      <c r="Q416" s="17"/>
      <c r="R416" s="17"/>
      <c r="S416" s="368">
        <v>0</v>
      </c>
      <c r="T416" s="351">
        <f t="shared" si="11"/>
        <v>0</v>
      </c>
      <c r="U416" s="54"/>
    </row>
    <row r="417" spans="2:21" ht="17.25" hidden="1" x14ac:dyDescent="0.3">
      <c r="B417" s="16">
        <v>85</v>
      </c>
      <c r="C417" s="107"/>
      <c r="D417" s="111"/>
      <c r="E417" s="72"/>
      <c r="F417" s="108"/>
      <c r="G417" s="68"/>
      <c r="H417" s="68"/>
      <c r="I417" s="108"/>
      <c r="J417" s="68"/>
      <c r="K417" s="108"/>
      <c r="L417" s="108"/>
      <c r="M417" s="367"/>
      <c r="N417" s="17"/>
      <c r="O417" s="17"/>
      <c r="P417" s="17"/>
      <c r="Q417" s="17"/>
      <c r="R417" s="17"/>
      <c r="S417" s="368">
        <v>0</v>
      </c>
      <c r="T417" s="351">
        <f t="shared" si="11"/>
        <v>0</v>
      </c>
      <c r="U417" s="54"/>
    </row>
    <row r="418" spans="2:21" ht="17.25" hidden="1" x14ac:dyDescent="0.3">
      <c r="B418" s="16">
        <v>86</v>
      </c>
      <c r="C418" s="107"/>
      <c r="D418" s="111"/>
      <c r="E418" s="72"/>
      <c r="F418" s="108"/>
      <c r="G418" s="68"/>
      <c r="H418" s="68"/>
      <c r="I418" s="108"/>
      <c r="J418" s="68"/>
      <c r="K418" s="108"/>
      <c r="L418" s="108"/>
      <c r="M418" s="367"/>
      <c r="N418" s="17"/>
      <c r="O418" s="17"/>
      <c r="P418" s="17"/>
      <c r="Q418" s="17"/>
      <c r="R418" s="17"/>
      <c r="S418" s="368">
        <v>0</v>
      </c>
      <c r="T418" s="351">
        <f t="shared" si="11"/>
        <v>0</v>
      </c>
      <c r="U418" s="54"/>
    </row>
    <row r="419" spans="2:21" ht="17.25" hidden="1" x14ac:dyDescent="0.3">
      <c r="B419" s="16">
        <v>87</v>
      </c>
      <c r="C419" s="107"/>
      <c r="D419" s="110"/>
      <c r="E419" s="72"/>
      <c r="F419" s="108"/>
      <c r="G419" s="68"/>
      <c r="H419" s="68"/>
      <c r="I419" s="108"/>
      <c r="J419" s="68"/>
      <c r="K419" s="108"/>
      <c r="L419" s="108"/>
      <c r="M419" s="367"/>
      <c r="N419" s="17"/>
      <c r="O419" s="17"/>
      <c r="P419" s="17"/>
      <c r="Q419" s="17"/>
      <c r="R419" s="17"/>
      <c r="S419" s="368">
        <v>0</v>
      </c>
      <c r="T419" s="351">
        <f t="shared" si="11"/>
        <v>0</v>
      </c>
      <c r="U419" s="54"/>
    </row>
    <row r="420" spans="2:21" ht="17.25" hidden="1" x14ac:dyDescent="0.3">
      <c r="B420" s="16">
        <v>88</v>
      </c>
      <c r="C420" s="107"/>
      <c r="D420" s="110"/>
      <c r="E420" s="112"/>
      <c r="F420" s="108"/>
      <c r="G420" s="68"/>
      <c r="H420" s="68"/>
      <c r="I420" s="93"/>
      <c r="J420" s="68"/>
      <c r="K420" s="108"/>
      <c r="L420" s="108"/>
      <c r="M420" s="367"/>
      <c r="N420" s="17"/>
      <c r="O420" s="17"/>
      <c r="P420" s="17"/>
      <c r="Q420" s="17"/>
      <c r="R420" s="17"/>
      <c r="S420" s="368">
        <v>0</v>
      </c>
      <c r="T420" s="351">
        <f t="shared" si="11"/>
        <v>0</v>
      </c>
      <c r="U420" s="54"/>
    </row>
    <row r="421" spans="2:21" ht="17.25" hidden="1" x14ac:dyDescent="0.3">
      <c r="B421" s="16">
        <v>89</v>
      </c>
      <c r="C421" s="107"/>
      <c r="D421" s="76"/>
      <c r="E421" s="72"/>
      <c r="F421" s="108"/>
      <c r="G421" s="68"/>
      <c r="H421" s="68"/>
      <c r="I421" s="108"/>
      <c r="J421" s="68"/>
      <c r="K421" s="108"/>
      <c r="L421" s="108"/>
      <c r="M421" s="367"/>
      <c r="N421" s="17"/>
      <c r="O421" s="17"/>
      <c r="P421" s="17"/>
      <c r="Q421" s="17"/>
      <c r="R421" s="17"/>
      <c r="S421" s="368">
        <v>0</v>
      </c>
      <c r="T421" s="351">
        <f t="shared" si="11"/>
        <v>0</v>
      </c>
      <c r="U421" s="54"/>
    </row>
    <row r="422" spans="2:21" ht="17.25" hidden="1" x14ac:dyDescent="0.3">
      <c r="B422" s="16">
        <v>90</v>
      </c>
      <c r="C422" s="16"/>
      <c r="D422" s="16"/>
      <c r="E422" s="74"/>
      <c r="F422" s="108"/>
      <c r="G422" s="68"/>
      <c r="H422" s="68"/>
      <c r="I422" s="108"/>
      <c r="J422" s="68"/>
      <c r="K422" s="108"/>
      <c r="L422" s="108"/>
      <c r="M422" s="367"/>
      <c r="N422" s="17"/>
      <c r="O422" s="17"/>
      <c r="P422" s="17"/>
      <c r="Q422" s="17"/>
      <c r="R422" s="17"/>
      <c r="S422" s="368">
        <v>0</v>
      </c>
      <c r="T422" s="351">
        <f t="shared" si="11"/>
        <v>0</v>
      </c>
      <c r="U422" s="54"/>
    </row>
    <row r="423" spans="2:21" ht="17.25" hidden="1" x14ac:dyDescent="0.3">
      <c r="B423" s="16">
        <v>91</v>
      </c>
      <c r="C423" s="16"/>
      <c r="D423" s="16"/>
      <c r="E423" s="74"/>
      <c r="F423" s="108"/>
      <c r="G423" s="68"/>
      <c r="H423" s="68"/>
      <c r="I423" s="108"/>
      <c r="J423" s="68"/>
      <c r="K423" s="108"/>
      <c r="L423" s="108"/>
      <c r="M423" s="367"/>
      <c r="N423" s="17"/>
      <c r="O423" s="17"/>
      <c r="P423" s="17"/>
      <c r="Q423" s="17"/>
      <c r="R423" s="17"/>
      <c r="S423" s="368">
        <v>0</v>
      </c>
      <c r="T423" s="351">
        <f t="shared" si="11"/>
        <v>0</v>
      </c>
      <c r="U423" s="54"/>
    </row>
    <row r="424" spans="2:21" ht="17.25" hidden="1" x14ac:dyDescent="0.3">
      <c r="B424" s="16">
        <v>92</v>
      </c>
      <c r="C424" s="16"/>
      <c r="D424" s="16"/>
      <c r="E424" s="74"/>
      <c r="F424" s="108"/>
      <c r="G424" s="68"/>
      <c r="H424" s="68"/>
      <c r="I424" s="108"/>
      <c r="J424" s="68"/>
      <c r="K424" s="108"/>
      <c r="L424" s="108"/>
      <c r="M424" s="367"/>
      <c r="N424" s="17"/>
      <c r="O424" s="17"/>
      <c r="P424" s="17"/>
      <c r="Q424" s="17"/>
      <c r="R424" s="17"/>
      <c r="S424" s="368">
        <v>0</v>
      </c>
      <c r="T424" s="351">
        <f t="shared" si="11"/>
        <v>0</v>
      </c>
      <c r="U424" s="54"/>
    </row>
    <row r="425" spans="2:21" ht="17.25" hidden="1" x14ac:dyDescent="0.3">
      <c r="B425" s="16">
        <v>93</v>
      </c>
      <c r="C425" s="16"/>
      <c r="D425" s="16"/>
      <c r="E425" s="74"/>
      <c r="F425" s="108"/>
      <c r="G425" s="68"/>
      <c r="H425" s="68"/>
      <c r="I425" s="108"/>
      <c r="J425" s="68"/>
      <c r="K425" s="108"/>
      <c r="L425" s="108"/>
      <c r="M425" s="367"/>
      <c r="N425" s="17"/>
      <c r="O425" s="17"/>
      <c r="P425" s="17"/>
      <c r="Q425" s="17"/>
      <c r="R425" s="17"/>
      <c r="S425" s="368">
        <v>0</v>
      </c>
      <c r="T425" s="351">
        <f t="shared" si="11"/>
        <v>0</v>
      </c>
      <c r="U425" s="54"/>
    </row>
    <row r="426" spans="2:21" ht="17.25" hidden="1" x14ac:dyDescent="0.3">
      <c r="B426" s="16">
        <v>94</v>
      </c>
      <c r="C426" s="16"/>
      <c r="D426" s="16"/>
      <c r="E426" s="74"/>
      <c r="F426" s="108"/>
      <c r="G426" s="68"/>
      <c r="H426" s="68"/>
      <c r="I426" s="108"/>
      <c r="J426" s="68"/>
      <c r="K426" s="108"/>
      <c r="L426" s="108"/>
      <c r="M426" s="367"/>
      <c r="N426" s="17"/>
      <c r="O426" s="17"/>
      <c r="P426" s="17"/>
      <c r="Q426" s="17"/>
      <c r="R426" s="17"/>
      <c r="S426" s="368">
        <v>0</v>
      </c>
      <c r="T426" s="351">
        <f t="shared" si="11"/>
        <v>0</v>
      </c>
      <c r="U426" s="54"/>
    </row>
    <row r="427" spans="2:21" ht="17.25" hidden="1" x14ac:dyDescent="0.3">
      <c r="B427" s="16">
        <v>95</v>
      </c>
      <c r="C427" s="16"/>
      <c r="D427" s="16"/>
      <c r="E427" s="74"/>
      <c r="F427" s="108"/>
      <c r="G427" s="68"/>
      <c r="H427" s="68"/>
      <c r="I427" s="108"/>
      <c r="J427" s="68"/>
      <c r="K427" s="108"/>
      <c r="L427" s="108"/>
      <c r="M427" s="367"/>
      <c r="N427" s="17"/>
      <c r="O427" s="17"/>
      <c r="P427" s="17"/>
      <c r="Q427" s="17"/>
      <c r="R427" s="17"/>
      <c r="S427" s="368">
        <v>0</v>
      </c>
      <c r="T427" s="351">
        <f t="shared" si="11"/>
        <v>0</v>
      </c>
      <c r="U427" s="54"/>
    </row>
    <row r="428" spans="2:21" ht="17.25" hidden="1" x14ac:dyDescent="0.3">
      <c r="B428" s="16">
        <v>96</v>
      </c>
      <c r="C428" s="16"/>
      <c r="D428" s="16"/>
      <c r="E428" s="74"/>
      <c r="F428" s="108"/>
      <c r="G428" s="68"/>
      <c r="H428" s="68"/>
      <c r="I428" s="108"/>
      <c r="J428" s="68"/>
      <c r="K428" s="108"/>
      <c r="L428" s="108"/>
      <c r="M428" s="367"/>
      <c r="N428" s="17"/>
      <c r="O428" s="17"/>
      <c r="P428" s="17"/>
      <c r="Q428" s="17"/>
      <c r="R428" s="17"/>
      <c r="S428" s="368">
        <v>0</v>
      </c>
      <c r="T428" s="351">
        <f t="shared" si="11"/>
        <v>0</v>
      </c>
      <c r="U428" s="54"/>
    </row>
    <row r="429" spans="2:21" ht="17.25" hidden="1" x14ac:dyDescent="0.3">
      <c r="B429" s="16">
        <v>97</v>
      </c>
      <c r="C429" s="16"/>
      <c r="D429" s="16"/>
      <c r="E429" s="74"/>
      <c r="F429" s="108"/>
      <c r="G429" s="68"/>
      <c r="H429" s="68"/>
      <c r="I429" s="108"/>
      <c r="J429" s="68"/>
      <c r="K429" s="108"/>
      <c r="L429" s="108"/>
      <c r="M429" s="367"/>
      <c r="N429" s="17"/>
      <c r="O429" s="17"/>
      <c r="P429" s="17"/>
      <c r="Q429" s="17"/>
      <c r="R429" s="17"/>
      <c r="S429" s="368">
        <v>0</v>
      </c>
      <c r="T429" s="351">
        <f>F429*S429</f>
        <v>0</v>
      </c>
      <c r="U429" s="54"/>
    </row>
    <row r="430" spans="2:21" ht="17.25" hidden="1" x14ac:dyDescent="0.3">
      <c r="B430" s="16">
        <v>98</v>
      </c>
      <c r="C430" s="16"/>
      <c r="D430" s="16"/>
      <c r="E430" s="74"/>
      <c r="F430" s="108"/>
      <c r="G430" s="68"/>
      <c r="H430" s="68"/>
      <c r="I430" s="108"/>
      <c r="J430" s="68"/>
      <c r="K430" s="108"/>
      <c r="L430" s="108"/>
      <c r="M430" s="367"/>
      <c r="N430" s="17"/>
      <c r="O430" s="17"/>
      <c r="P430" s="17"/>
      <c r="Q430" s="17"/>
      <c r="R430" s="17"/>
      <c r="S430" s="368">
        <v>0</v>
      </c>
      <c r="T430" s="351">
        <f>F430*S430</f>
        <v>0</v>
      </c>
      <c r="U430" s="54"/>
    </row>
    <row r="431" spans="2:21" ht="17.25" hidden="1" x14ac:dyDescent="0.3">
      <c r="B431" s="16">
        <v>99</v>
      </c>
      <c r="C431" s="16"/>
      <c r="D431" s="16"/>
      <c r="E431" s="74"/>
      <c r="F431" s="108"/>
      <c r="G431" s="68"/>
      <c r="H431" s="68"/>
      <c r="I431" s="108"/>
      <c r="J431" s="68"/>
      <c r="K431" s="108"/>
      <c r="L431" s="108"/>
      <c r="M431" s="367"/>
      <c r="N431" s="17"/>
      <c r="O431" s="17"/>
      <c r="P431" s="17"/>
      <c r="Q431" s="17"/>
      <c r="R431" s="17"/>
      <c r="S431" s="368">
        <v>0</v>
      </c>
      <c r="T431" s="351">
        <f>F431*S431</f>
        <v>0</v>
      </c>
      <c r="U431" s="54"/>
    </row>
    <row r="432" spans="2:21" ht="17.25" hidden="1" x14ac:dyDescent="0.3">
      <c r="B432" s="16">
        <v>100</v>
      </c>
      <c r="C432" s="16"/>
      <c r="D432" s="16"/>
      <c r="E432" s="74"/>
      <c r="F432" s="108"/>
      <c r="G432" s="68"/>
      <c r="H432" s="68"/>
      <c r="I432" s="108"/>
      <c r="J432" s="68"/>
      <c r="K432" s="108"/>
      <c r="L432" s="108"/>
      <c r="M432" s="367"/>
      <c r="N432" s="17"/>
      <c r="O432" s="17"/>
      <c r="P432" s="17"/>
      <c r="Q432" s="17"/>
      <c r="R432" s="17"/>
      <c r="S432" s="368">
        <v>0</v>
      </c>
      <c r="T432" s="351">
        <f>F432*S432</f>
        <v>0</v>
      </c>
      <c r="U432" s="54"/>
    </row>
    <row r="433" spans="2:21" ht="34.5" hidden="1" x14ac:dyDescent="0.3">
      <c r="C433" s="16"/>
      <c r="D433" s="81" t="s">
        <v>566</v>
      </c>
      <c r="E433" s="74"/>
      <c r="F433" s="108"/>
      <c r="G433" s="68"/>
      <c r="H433" s="68"/>
      <c r="I433" s="108"/>
      <c r="J433" s="68"/>
      <c r="K433" s="108"/>
      <c r="L433" s="108"/>
      <c r="M433" s="122"/>
      <c r="N433" s="17"/>
      <c r="O433" s="17"/>
      <c r="P433" s="17"/>
      <c r="Q433" s="17"/>
      <c r="R433" s="17"/>
      <c r="S433" s="368">
        <v>0</v>
      </c>
      <c r="T433" s="351">
        <f>F433*S433</f>
        <v>0</v>
      </c>
      <c r="U433" s="54"/>
    </row>
    <row r="434" spans="2:21" ht="17.25" hidden="1" x14ac:dyDescent="0.3">
      <c r="B434" s="82"/>
      <c r="C434" s="82"/>
      <c r="D434" s="82"/>
      <c r="E434" s="86"/>
      <c r="F434" s="113"/>
      <c r="G434" s="113"/>
      <c r="H434" s="113"/>
      <c r="I434" s="113"/>
      <c r="J434" s="113"/>
      <c r="K434" s="113"/>
      <c r="L434" s="113"/>
      <c r="M434" s="113"/>
      <c r="N434" s="17"/>
      <c r="O434" s="17"/>
      <c r="P434" s="17"/>
      <c r="Q434" s="17"/>
      <c r="R434" s="17"/>
      <c r="S434" s="82"/>
      <c r="T434" s="82"/>
      <c r="U434" s="106"/>
    </row>
    <row r="435" spans="2:21" ht="17.25" hidden="1" x14ac:dyDescent="0.3">
      <c r="B435" s="82"/>
      <c r="C435" s="82"/>
      <c r="D435" s="82"/>
      <c r="E435" s="86"/>
      <c r="F435" s="113"/>
      <c r="G435" s="113"/>
      <c r="H435" s="113"/>
      <c r="I435" s="113"/>
      <c r="J435" s="113"/>
      <c r="K435" s="113"/>
      <c r="L435" s="113"/>
      <c r="M435" s="113"/>
      <c r="N435" s="17"/>
      <c r="O435" s="17"/>
      <c r="P435" s="17"/>
      <c r="Q435" s="17"/>
      <c r="R435" s="17"/>
      <c r="S435" s="82"/>
      <c r="T435" s="82"/>
      <c r="U435" s="106"/>
    </row>
    <row r="436" spans="2:21" ht="27" hidden="1" customHeight="1" x14ac:dyDescent="0.3">
      <c r="B436" s="792" t="s">
        <v>102</v>
      </c>
      <c r="C436" s="792"/>
      <c r="D436" s="342"/>
      <c r="E436" s="342"/>
      <c r="F436" s="342"/>
      <c r="G436" s="342"/>
      <c r="H436" s="342"/>
      <c r="I436" s="342"/>
      <c r="J436" s="342"/>
      <c r="K436" s="342"/>
      <c r="L436" s="342"/>
      <c r="M436" s="339"/>
      <c r="N436" s="371"/>
      <c r="O436" s="371"/>
      <c r="P436" s="371"/>
      <c r="Q436" s="371"/>
      <c r="R436" s="371"/>
      <c r="S436" s="128"/>
      <c r="T436" s="342"/>
      <c r="U436" s="236">
        <f>SUM(T439:T539)</f>
        <v>0</v>
      </c>
    </row>
    <row r="437" spans="2:21" ht="45.6" hidden="1" customHeight="1" x14ac:dyDescent="0.3">
      <c r="B437" s="789" t="s">
        <v>35</v>
      </c>
      <c r="C437" s="789" t="s">
        <v>42</v>
      </c>
      <c r="D437" s="789" t="s">
        <v>44</v>
      </c>
      <c r="E437" s="766" t="s">
        <v>100</v>
      </c>
      <c r="F437" s="769" t="s">
        <v>49</v>
      </c>
      <c r="G437" s="769" t="s">
        <v>559</v>
      </c>
      <c r="H437" s="769" t="s">
        <v>468</v>
      </c>
      <c r="I437" s="766" t="s">
        <v>560</v>
      </c>
      <c r="J437" s="766" t="s">
        <v>424</v>
      </c>
      <c r="K437" s="766" t="s">
        <v>45</v>
      </c>
      <c r="L437" s="766"/>
      <c r="M437" s="795" t="s">
        <v>97</v>
      </c>
      <c r="N437" s="779" t="s">
        <v>705</v>
      </c>
      <c r="O437" s="780"/>
      <c r="P437" s="780"/>
      <c r="Q437" s="780"/>
      <c r="R437" s="780"/>
      <c r="S437" s="793" t="s">
        <v>51</v>
      </c>
      <c r="T437" s="799" t="s">
        <v>422</v>
      </c>
      <c r="U437" s="54"/>
    </row>
    <row r="438" spans="2:21" ht="40.5" hidden="1" customHeight="1" x14ac:dyDescent="0.3">
      <c r="B438" s="789"/>
      <c r="C438" s="789"/>
      <c r="D438" s="789"/>
      <c r="E438" s="766"/>
      <c r="F438" s="770"/>
      <c r="G438" s="770"/>
      <c r="H438" s="770"/>
      <c r="I438" s="766"/>
      <c r="J438" s="766"/>
      <c r="K438" s="132" t="s">
        <v>172</v>
      </c>
      <c r="L438" s="132" t="s">
        <v>101</v>
      </c>
      <c r="M438" s="795"/>
      <c r="N438" s="369" t="s">
        <v>700</v>
      </c>
      <c r="O438" s="369" t="s">
        <v>726</v>
      </c>
      <c r="P438" s="369" t="s">
        <v>702</v>
      </c>
      <c r="Q438" s="369" t="s">
        <v>703</v>
      </c>
      <c r="R438" s="369" t="s">
        <v>704</v>
      </c>
      <c r="S438" s="794"/>
      <c r="T438" s="799"/>
      <c r="U438" s="54"/>
    </row>
    <row r="439" spans="2:21" ht="17.25" hidden="1" x14ac:dyDescent="0.3">
      <c r="B439" s="16">
        <v>1</v>
      </c>
      <c r="C439" s="107"/>
      <c r="D439" s="71"/>
      <c r="E439" s="72"/>
      <c r="F439" s="108"/>
      <c r="G439" s="68"/>
      <c r="H439" s="68"/>
      <c r="I439" s="93"/>
      <c r="J439" s="68"/>
      <c r="K439" s="94"/>
      <c r="L439" s="94"/>
      <c r="M439" s="367"/>
      <c r="N439" s="17"/>
      <c r="O439" s="17"/>
      <c r="P439" s="17"/>
      <c r="Q439" s="17"/>
      <c r="R439" s="17"/>
      <c r="S439" s="368">
        <v>0</v>
      </c>
      <c r="T439" s="351">
        <f t="shared" ref="T439:T470" si="12">F439*S439</f>
        <v>0</v>
      </c>
      <c r="U439" s="54"/>
    </row>
    <row r="440" spans="2:21" ht="17.25" hidden="1" x14ac:dyDescent="0.3">
      <c r="B440" s="16">
        <v>2</v>
      </c>
      <c r="C440" s="107"/>
      <c r="D440" s="71"/>
      <c r="E440" s="72"/>
      <c r="F440" s="108"/>
      <c r="G440" s="68"/>
      <c r="H440" s="68"/>
      <c r="I440" s="93"/>
      <c r="J440" s="68"/>
      <c r="K440" s="108"/>
      <c r="L440" s="108"/>
      <c r="M440" s="367"/>
      <c r="N440" s="17"/>
      <c r="O440" s="17"/>
      <c r="P440" s="17"/>
      <c r="Q440" s="17"/>
      <c r="R440" s="17"/>
      <c r="S440" s="368">
        <v>0</v>
      </c>
      <c r="T440" s="351">
        <f t="shared" si="12"/>
        <v>0</v>
      </c>
      <c r="U440" s="54"/>
    </row>
    <row r="441" spans="2:21" ht="17.25" hidden="1" x14ac:dyDescent="0.3">
      <c r="B441" s="16">
        <v>3</v>
      </c>
      <c r="C441" s="107"/>
      <c r="D441" s="71"/>
      <c r="E441" s="107"/>
      <c r="F441" s="108"/>
      <c r="G441" s="68"/>
      <c r="H441" s="68"/>
      <c r="I441" s="93"/>
      <c r="J441" s="68"/>
      <c r="K441" s="108"/>
      <c r="L441" s="108"/>
      <c r="M441" s="367"/>
      <c r="N441" s="17"/>
      <c r="O441" s="17"/>
      <c r="P441" s="17"/>
      <c r="Q441" s="17"/>
      <c r="R441" s="17"/>
      <c r="S441" s="368">
        <v>0</v>
      </c>
      <c r="T441" s="351">
        <f t="shared" si="12"/>
        <v>0</v>
      </c>
      <c r="U441" s="54"/>
    </row>
    <row r="442" spans="2:21" ht="17.25" hidden="1" x14ac:dyDescent="0.3">
      <c r="B442" s="16">
        <v>4</v>
      </c>
      <c r="C442" s="107"/>
      <c r="D442" s="71"/>
      <c r="E442" s="107"/>
      <c r="F442" s="108"/>
      <c r="G442" s="68"/>
      <c r="H442" s="68"/>
      <c r="I442" s="93"/>
      <c r="J442" s="68"/>
      <c r="K442" s="108"/>
      <c r="L442" s="108"/>
      <c r="M442" s="367"/>
      <c r="N442" s="17"/>
      <c r="O442" s="17"/>
      <c r="P442" s="17"/>
      <c r="Q442" s="17"/>
      <c r="R442" s="17"/>
      <c r="S442" s="368">
        <v>0</v>
      </c>
      <c r="T442" s="351">
        <f t="shared" si="12"/>
        <v>0</v>
      </c>
      <c r="U442" s="54"/>
    </row>
    <row r="443" spans="2:21" ht="17.25" hidden="1" x14ac:dyDescent="0.3">
      <c r="B443" s="16">
        <v>5</v>
      </c>
      <c r="C443" s="107"/>
      <c r="D443" s="71"/>
      <c r="E443" s="107"/>
      <c r="F443" s="108"/>
      <c r="G443" s="68"/>
      <c r="H443" s="68"/>
      <c r="I443" s="93"/>
      <c r="J443" s="68"/>
      <c r="K443" s="108"/>
      <c r="L443" s="108"/>
      <c r="M443" s="367"/>
      <c r="N443" s="17"/>
      <c r="O443" s="17"/>
      <c r="P443" s="17"/>
      <c r="Q443" s="17"/>
      <c r="R443" s="17"/>
      <c r="S443" s="368">
        <v>0</v>
      </c>
      <c r="T443" s="351">
        <f t="shared" si="12"/>
        <v>0</v>
      </c>
      <c r="U443" s="54"/>
    </row>
    <row r="444" spans="2:21" ht="17.25" hidden="1" x14ac:dyDescent="0.3">
      <c r="B444" s="16">
        <v>6</v>
      </c>
      <c r="C444" s="107"/>
      <c r="D444" s="71"/>
      <c r="E444" s="107"/>
      <c r="F444" s="108"/>
      <c r="G444" s="68"/>
      <c r="H444" s="68"/>
      <c r="I444" s="93"/>
      <c r="J444" s="68"/>
      <c r="K444" s="108"/>
      <c r="L444" s="108"/>
      <c r="M444" s="367"/>
      <c r="N444" s="17"/>
      <c r="O444" s="17"/>
      <c r="P444" s="17"/>
      <c r="Q444" s="17"/>
      <c r="R444" s="17"/>
      <c r="S444" s="368">
        <v>0</v>
      </c>
      <c r="T444" s="351">
        <f t="shared" si="12"/>
        <v>0</v>
      </c>
      <c r="U444" s="54"/>
    </row>
    <row r="445" spans="2:21" ht="17.25" hidden="1" x14ac:dyDescent="0.3">
      <c r="B445" s="16">
        <v>7</v>
      </c>
      <c r="C445" s="107"/>
      <c r="D445" s="71"/>
      <c r="E445" s="107"/>
      <c r="F445" s="108"/>
      <c r="G445" s="68"/>
      <c r="H445" s="68"/>
      <c r="I445" s="93"/>
      <c r="J445" s="68"/>
      <c r="K445" s="108"/>
      <c r="L445" s="108"/>
      <c r="M445" s="367"/>
      <c r="N445" s="17"/>
      <c r="O445" s="17"/>
      <c r="P445" s="17"/>
      <c r="Q445" s="17"/>
      <c r="R445" s="17"/>
      <c r="S445" s="368">
        <v>0</v>
      </c>
      <c r="T445" s="351">
        <f t="shared" si="12"/>
        <v>0</v>
      </c>
      <c r="U445" s="54"/>
    </row>
    <row r="446" spans="2:21" ht="17.25" hidden="1" x14ac:dyDescent="0.3">
      <c r="B446" s="16">
        <v>8</v>
      </c>
      <c r="C446" s="107"/>
      <c r="D446" s="71"/>
      <c r="E446" s="107"/>
      <c r="F446" s="108"/>
      <c r="G446" s="68"/>
      <c r="H446" s="68"/>
      <c r="I446" s="93"/>
      <c r="J446" s="68"/>
      <c r="K446" s="108"/>
      <c r="L446" s="108"/>
      <c r="M446" s="367"/>
      <c r="N446" s="17"/>
      <c r="O446" s="17"/>
      <c r="P446" s="17"/>
      <c r="Q446" s="17"/>
      <c r="R446" s="17"/>
      <c r="S446" s="368">
        <v>0</v>
      </c>
      <c r="T446" s="351">
        <f t="shared" si="12"/>
        <v>0</v>
      </c>
      <c r="U446" s="54"/>
    </row>
    <row r="447" spans="2:21" ht="17.25" hidden="1" x14ac:dyDescent="0.3">
      <c r="B447" s="16">
        <v>9</v>
      </c>
      <c r="C447" s="107"/>
      <c r="D447" s="71"/>
      <c r="E447" s="107"/>
      <c r="F447" s="108"/>
      <c r="G447" s="68"/>
      <c r="H447" s="68"/>
      <c r="I447" s="93"/>
      <c r="J447" s="68"/>
      <c r="K447" s="108"/>
      <c r="L447" s="108"/>
      <c r="M447" s="367"/>
      <c r="N447" s="17"/>
      <c r="O447" s="17"/>
      <c r="P447" s="17"/>
      <c r="Q447" s="17"/>
      <c r="R447" s="17"/>
      <c r="S447" s="368">
        <v>0</v>
      </c>
      <c r="T447" s="351">
        <f t="shared" si="12"/>
        <v>0</v>
      </c>
      <c r="U447" s="54"/>
    </row>
    <row r="448" spans="2:21" ht="17.25" hidden="1" x14ac:dyDescent="0.3">
      <c r="B448" s="16">
        <v>10</v>
      </c>
      <c r="C448" s="107"/>
      <c r="D448" s="71"/>
      <c r="E448" s="107"/>
      <c r="F448" s="108"/>
      <c r="G448" s="68"/>
      <c r="H448" s="68"/>
      <c r="I448" s="93"/>
      <c r="J448" s="68"/>
      <c r="K448" s="108"/>
      <c r="L448" s="108"/>
      <c r="M448" s="367"/>
      <c r="N448" s="17"/>
      <c r="O448" s="17"/>
      <c r="P448" s="17"/>
      <c r="Q448" s="17"/>
      <c r="R448" s="17"/>
      <c r="S448" s="368">
        <v>0</v>
      </c>
      <c r="T448" s="351">
        <f t="shared" si="12"/>
        <v>0</v>
      </c>
      <c r="U448" s="54"/>
    </row>
    <row r="449" spans="2:21" ht="17.25" hidden="1" x14ac:dyDescent="0.3">
      <c r="B449" s="16">
        <v>11</v>
      </c>
      <c r="C449" s="107"/>
      <c r="D449" s="71"/>
      <c r="E449" s="107"/>
      <c r="F449" s="108"/>
      <c r="G449" s="68"/>
      <c r="H449" s="68"/>
      <c r="I449" s="93"/>
      <c r="J449" s="68"/>
      <c r="K449" s="108"/>
      <c r="L449" s="108"/>
      <c r="M449" s="367"/>
      <c r="N449" s="17"/>
      <c r="O449" s="17"/>
      <c r="P449" s="17"/>
      <c r="Q449" s="17"/>
      <c r="R449" s="17"/>
      <c r="S449" s="368">
        <v>0</v>
      </c>
      <c r="T449" s="351">
        <f t="shared" si="12"/>
        <v>0</v>
      </c>
      <c r="U449" s="54"/>
    </row>
    <row r="450" spans="2:21" ht="17.25" hidden="1" x14ac:dyDescent="0.3">
      <c r="B450" s="16">
        <v>12</v>
      </c>
      <c r="C450" s="107"/>
      <c r="D450" s="71"/>
      <c r="E450" s="107"/>
      <c r="F450" s="108"/>
      <c r="G450" s="68"/>
      <c r="H450" s="68"/>
      <c r="I450" s="93"/>
      <c r="J450" s="68"/>
      <c r="K450" s="108"/>
      <c r="L450" s="108"/>
      <c r="M450" s="367"/>
      <c r="N450" s="17"/>
      <c r="O450" s="17"/>
      <c r="P450" s="17"/>
      <c r="Q450" s="17"/>
      <c r="R450" s="17"/>
      <c r="S450" s="368">
        <v>0</v>
      </c>
      <c r="T450" s="351">
        <f t="shared" si="12"/>
        <v>0</v>
      </c>
      <c r="U450" s="54"/>
    </row>
    <row r="451" spans="2:21" ht="17.25" hidden="1" x14ac:dyDescent="0.3">
      <c r="B451" s="16">
        <v>13</v>
      </c>
      <c r="C451" s="107"/>
      <c r="D451" s="71"/>
      <c r="E451" s="107"/>
      <c r="F451" s="108"/>
      <c r="G451" s="68"/>
      <c r="H451" s="68"/>
      <c r="I451" s="93"/>
      <c r="J451" s="68"/>
      <c r="K451" s="108"/>
      <c r="L451" s="108"/>
      <c r="M451" s="367"/>
      <c r="N451" s="17"/>
      <c r="O451" s="17"/>
      <c r="P451" s="17"/>
      <c r="Q451" s="17"/>
      <c r="R451" s="17"/>
      <c r="S451" s="368">
        <v>0</v>
      </c>
      <c r="T451" s="351">
        <f t="shared" si="12"/>
        <v>0</v>
      </c>
      <c r="U451" s="54"/>
    </row>
    <row r="452" spans="2:21" ht="17.25" hidden="1" x14ac:dyDescent="0.3">
      <c r="B452" s="16">
        <v>14</v>
      </c>
      <c r="C452" s="107"/>
      <c r="D452" s="71"/>
      <c r="E452" s="107"/>
      <c r="F452" s="108"/>
      <c r="G452" s="68"/>
      <c r="H452" s="68"/>
      <c r="I452" s="93"/>
      <c r="J452" s="68"/>
      <c r="K452" s="108"/>
      <c r="L452" s="108"/>
      <c r="M452" s="367"/>
      <c r="N452" s="17"/>
      <c r="O452" s="17"/>
      <c r="P452" s="17"/>
      <c r="Q452" s="17"/>
      <c r="R452" s="17"/>
      <c r="S452" s="368">
        <v>0</v>
      </c>
      <c r="T452" s="351">
        <f t="shared" si="12"/>
        <v>0</v>
      </c>
      <c r="U452" s="54"/>
    </row>
    <row r="453" spans="2:21" ht="17.25" hidden="1" x14ac:dyDescent="0.3">
      <c r="B453" s="16">
        <v>15</v>
      </c>
      <c r="C453" s="107"/>
      <c r="D453" s="71"/>
      <c r="E453" s="107"/>
      <c r="F453" s="108"/>
      <c r="G453" s="68"/>
      <c r="H453" s="68"/>
      <c r="I453" s="93"/>
      <c r="J453" s="68"/>
      <c r="K453" s="108"/>
      <c r="L453" s="108"/>
      <c r="M453" s="367"/>
      <c r="N453" s="17"/>
      <c r="O453" s="17"/>
      <c r="P453" s="17"/>
      <c r="Q453" s="17"/>
      <c r="R453" s="17"/>
      <c r="S453" s="368">
        <v>0</v>
      </c>
      <c r="T453" s="351">
        <f t="shared" si="12"/>
        <v>0</v>
      </c>
      <c r="U453" s="54"/>
    </row>
    <row r="454" spans="2:21" ht="17.25" hidden="1" x14ac:dyDescent="0.3">
      <c r="B454" s="16">
        <v>16</v>
      </c>
      <c r="C454" s="107"/>
      <c r="D454" s="71"/>
      <c r="E454" s="107"/>
      <c r="F454" s="108"/>
      <c r="G454" s="68"/>
      <c r="H454" s="68"/>
      <c r="I454" s="93"/>
      <c r="J454" s="68"/>
      <c r="K454" s="108"/>
      <c r="L454" s="108"/>
      <c r="M454" s="367"/>
      <c r="N454" s="17"/>
      <c r="O454" s="17"/>
      <c r="P454" s="17"/>
      <c r="Q454" s="17"/>
      <c r="R454" s="17"/>
      <c r="S454" s="368">
        <v>0</v>
      </c>
      <c r="T454" s="351">
        <f t="shared" si="12"/>
        <v>0</v>
      </c>
      <c r="U454" s="54"/>
    </row>
    <row r="455" spans="2:21" ht="17.25" hidden="1" x14ac:dyDescent="0.3">
      <c r="B455" s="16">
        <v>17</v>
      </c>
      <c r="C455" s="107"/>
      <c r="D455" s="71"/>
      <c r="E455" s="107"/>
      <c r="F455" s="108"/>
      <c r="G455" s="68"/>
      <c r="H455" s="68"/>
      <c r="I455" s="93"/>
      <c r="J455" s="68"/>
      <c r="K455" s="108"/>
      <c r="L455" s="108"/>
      <c r="M455" s="367"/>
      <c r="N455" s="17"/>
      <c r="O455" s="17"/>
      <c r="P455" s="17"/>
      <c r="Q455" s="17"/>
      <c r="R455" s="17"/>
      <c r="S455" s="368">
        <v>0</v>
      </c>
      <c r="T455" s="351">
        <f t="shared" si="12"/>
        <v>0</v>
      </c>
      <c r="U455" s="54"/>
    </row>
    <row r="456" spans="2:21" ht="17.25" hidden="1" x14ac:dyDescent="0.3">
      <c r="B456" s="16">
        <v>18</v>
      </c>
      <c r="C456" s="107"/>
      <c r="D456" s="71"/>
      <c r="E456" s="107"/>
      <c r="F456" s="108"/>
      <c r="G456" s="68"/>
      <c r="H456" s="68"/>
      <c r="I456" s="93"/>
      <c r="J456" s="68"/>
      <c r="K456" s="108"/>
      <c r="L456" s="108"/>
      <c r="M456" s="367"/>
      <c r="N456" s="17"/>
      <c r="O456" s="17"/>
      <c r="P456" s="17"/>
      <c r="Q456" s="17"/>
      <c r="R456" s="17"/>
      <c r="S456" s="368">
        <v>0</v>
      </c>
      <c r="T456" s="351">
        <f t="shared" si="12"/>
        <v>0</v>
      </c>
      <c r="U456" s="54"/>
    </row>
    <row r="457" spans="2:21" ht="17.25" hidden="1" x14ac:dyDescent="0.3">
      <c r="B457" s="16">
        <v>19</v>
      </c>
      <c r="C457" s="107"/>
      <c r="D457" s="71"/>
      <c r="E457" s="107"/>
      <c r="F457" s="108"/>
      <c r="G457" s="68"/>
      <c r="H457" s="68"/>
      <c r="I457" s="93"/>
      <c r="J457" s="68"/>
      <c r="K457" s="108"/>
      <c r="L457" s="108"/>
      <c r="M457" s="367"/>
      <c r="N457" s="17"/>
      <c r="O457" s="17"/>
      <c r="P457" s="17"/>
      <c r="Q457" s="17"/>
      <c r="R457" s="17"/>
      <c r="S457" s="368">
        <v>0</v>
      </c>
      <c r="T457" s="351">
        <f t="shared" si="12"/>
        <v>0</v>
      </c>
      <c r="U457" s="54"/>
    </row>
    <row r="458" spans="2:21" ht="17.25" hidden="1" x14ac:dyDescent="0.3">
      <c r="B458" s="16">
        <v>20</v>
      </c>
      <c r="C458" s="107"/>
      <c r="D458" s="71"/>
      <c r="E458" s="107"/>
      <c r="F458" s="108"/>
      <c r="G458" s="68"/>
      <c r="H458" s="68"/>
      <c r="I458" s="93"/>
      <c r="J458" s="68"/>
      <c r="K458" s="108"/>
      <c r="L458" s="108"/>
      <c r="M458" s="367"/>
      <c r="N458" s="17"/>
      <c r="O458" s="17"/>
      <c r="P458" s="17"/>
      <c r="Q458" s="17"/>
      <c r="R458" s="17"/>
      <c r="S458" s="368">
        <v>0</v>
      </c>
      <c r="T458" s="351">
        <f t="shared" si="12"/>
        <v>0</v>
      </c>
      <c r="U458" s="54"/>
    </row>
    <row r="459" spans="2:21" ht="17.25" hidden="1" x14ac:dyDescent="0.3">
      <c r="B459" s="16">
        <v>21</v>
      </c>
      <c r="C459" s="107"/>
      <c r="D459" s="71"/>
      <c r="E459" s="107"/>
      <c r="F459" s="108"/>
      <c r="G459" s="68"/>
      <c r="H459" s="68"/>
      <c r="I459" s="93"/>
      <c r="J459" s="68"/>
      <c r="K459" s="108"/>
      <c r="L459" s="108"/>
      <c r="M459" s="367"/>
      <c r="N459" s="17"/>
      <c r="O459" s="17"/>
      <c r="P459" s="17"/>
      <c r="Q459" s="17"/>
      <c r="R459" s="17"/>
      <c r="S459" s="368">
        <v>0</v>
      </c>
      <c r="T459" s="351">
        <f t="shared" si="12"/>
        <v>0</v>
      </c>
      <c r="U459" s="54"/>
    </row>
    <row r="460" spans="2:21" ht="17.25" hidden="1" x14ac:dyDescent="0.3">
      <c r="B460" s="16">
        <v>22</v>
      </c>
      <c r="C460" s="107"/>
      <c r="D460" s="71"/>
      <c r="E460" s="107"/>
      <c r="F460" s="108"/>
      <c r="G460" s="68"/>
      <c r="H460" s="68"/>
      <c r="I460" s="93"/>
      <c r="J460" s="68"/>
      <c r="K460" s="108"/>
      <c r="L460" s="108"/>
      <c r="M460" s="367"/>
      <c r="N460" s="17"/>
      <c r="O460" s="17"/>
      <c r="P460" s="17"/>
      <c r="Q460" s="17"/>
      <c r="R460" s="17"/>
      <c r="S460" s="368">
        <v>0</v>
      </c>
      <c r="T460" s="351">
        <f t="shared" si="12"/>
        <v>0</v>
      </c>
      <c r="U460" s="54"/>
    </row>
    <row r="461" spans="2:21" ht="17.25" hidden="1" x14ac:dyDescent="0.3">
      <c r="B461" s="16">
        <v>23</v>
      </c>
      <c r="C461" s="107"/>
      <c r="D461" s="71"/>
      <c r="E461" s="107"/>
      <c r="F461" s="108"/>
      <c r="G461" s="68"/>
      <c r="H461" s="68"/>
      <c r="I461" s="93"/>
      <c r="J461" s="68"/>
      <c r="K461" s="108"/>
      <c r="L461" s="108"/>
      <c r="M461" s="367"/>
      <c r="N461" s="17"/>
      <c r="O461" s="17"/>
      <c r="P461" s="17"/>
      <c r="Q461" s="17"/>
      <c r="R461" s="17"/>
      <c r="S461" s="368">
        <v>0</v>
      </c>
      <c r="T461" s="351">
        <f t="shared" si="12"/>
        <v>0</v>
      </c>
      <c r="U461" s="54"/>
    </row>
    <row r="462" spans="2:21" ht="17.25" hidden="1" x14ac:dyDescent="0.3">
      <c r="B462" s="16">
        <v>24</v>
      </c>
      <c r="C462" s="107"/>
      <c r="D462" s="71"/>
      <c r="E462" s="107"/>
      <c r="F462" s="108"/>
      <c r="G462" s="68"/>
      <c r="H462" s="68"/>
      <c r="I462" s="93"/>
      <c r="J462" s="68"/>
      <c r="K462" s="108"/>
      <c r="L462" s="108"/>
      <c r="M462" s="367"/>
      <c r="N462" s="17"/>
      <c r="O462" s="17"/>
      <c r="P462" s="17"/>
      <c r="Q462" s="17"/>
      <c r="R462" s="17"/>
      <c r="S462" s="368">
        <v>0</v>
      </c>
      <c r="T462" s="351">
        <f t="shared" si="12"/>
        <v>0</v>
      </c>
      <c r="U462" s="54"/>
    </row>
    <row r="463" spans="2:21" ht="17.25" hidden="1" x14ac:dyDescent="0.3">
      <c r="B463" s="16">
        <v>25</v>
      </c>
      <c r="C463" s="107"/>
      <c r="D463" s="71"/>
      <c r="E463" s="107"/>
      <c r="F463" s="108"/>
      <c r="G463" s="68"/>
      <c r="H463" s="68"/>
      <c r="I463" s="93"/>
      <c r="J463" s="68"/>
      <c r="K463" s="108"/>
      <c r="L463" s="108"/>
      <c r="M463" s="367"/>
      <c r="N463" s="17"/>
      <c r="O463" s="17"/>
      <c r="P463" s="17"/>
      <c r="Q463" s="17"/>
      <c r="R463" s="17"/>
      <c r="S463" s="368">
        <v>0</v>
      </c>
      <c r="T463" s="351">
        <f t="shared" si="12"/>
        <v>0</v>
      </c>
      <c r="U463" s="54"/>
    </row>
    <row r="464" spans="2:21" ht="17.25" hidden="1" x14ac:dyDescent="0.3">
      <c r="B464" s="16">
        <v>26</v>
      </c>
      <c r="C464" s="107"/>
      <c r="D464" s="71"/>
      <c r="E464" s="107"/>
      <c r="F464" s="108"/>
      <c r="G464" s="68"/>
      <c r="H464" s="68"/>
      <c r="I464" s="93"/>
      <c r="J464" s="68"/>
      <c r="K464" s="108"/>
      <c r="L464" s="108"/>
      <c r="M464" s="367"/>
      <c r="N464" s="17"/>
      <c r="O464" s="17"/>
      <c r="P464" s="17"/>
      <c r="Q464" s="17"/>
      <c r="R464" s="17"/>
      <c r="S464" s="368">
        <v>0</v>
      </c>
      <c r="T464" s="351">
        <f t="shared" si="12"/>
        <v>0</v>
      </c>
      <c r="U464" s="54"/>
    </row>
    <row r="465" spans="2:21" ht="17.25" hidden="1" x14ac:dyDescent="0.3">
      <c r="B465" s="16">
        <v>27</v>
      </c>
      <c r="C465" s="107"/>
      <c r="D465" s="71"/>
      <c r="E465" s="107"/>
      <c r="F465" s="108"/>
      <c r="G465" s="68"/>
      <c r="H465" s="68"/>
      <c r="I465" s="93"/>
      <c r="J465" s="68"/>
      <c r="K465" s="108"/>
      <c r="L465" s="108"/>
      <c r="M465" s="367"/>
      <c r="N465" s="17"/>
      <c r="O465" s="17"/>
      <c r="P465" s="17"/>
      <c r="Q465" s="17"/>
      <c r="R465" s="17"/>
      <c r="S465" s="368">
        <v>0</v>
      </c>
      <c r="T465" s="351">
        <f t="shared" si="12"/>
        <v>0</v>
      </c>
      <c r="U465" s="54"/>
    </row>
    <row r="466" spans="2:21" ht="17.25" hidden="1" x14ac:dyDescent="0.3">
      <c r="B466" s="16">
        <v>28</v>
      </c>
      <c r="C466" s="107"/>
      <c r="D466" s="71"/>
      <c r="E466" s="107"/>
      <c r="F466" s="108"/>
      <c r="G466" s="68"/>
      <c r="H466" s="68"/>
      <c r="I466" s="93"/>
      <c r="J466" s="68"/>
      <c r="K466" s="108"/>
      <c r="L466" s="108"/>
      <c r="M466" s="367"/>
      <c r="N466" s="17"/>
      <c r="O466" s="17"/>
      <c r="P466" s="17"/>
      <c r="Q466" s="17"/>
      <c r="R466" s="17"/>
      <c r="S466" s="368">
        <v>0</v>
      </c>
      <c r="T466" s="351">
        <f t="shared" si="12"/>
        <v>0</v>
      </c>
      <c r="U466" s="54"/>
    </row>
    <row r="467" spans="2:21" ht="17.25" hidden="1" x14ac:dyDescent="0.3">
      <c r="B467" s="16">
        <v>29</v>
      </c>
      <c r="C467" s="107"/>
      <c r="D467" s="71"/>
      <c r="E467" s="107"/>
      <c r="F467" s="108"/>
      <c r="G467" s="68"/>
      <c r="H467" s="68"/>
      <c r="I467" s="93"/>
      <c r="J467" s="68"/>
      <c r="K467" s="108"/>
      <c r="L467" s="108"/>
      <c r="M467" s="367"/>
      <c r="N467" s="17"/>
      <c r="O467" s="17"/>
      <c r="P467" s="17"/>
      <c r="Q467" s="17"/>
      <c r="R467" s="17"/>
      <c r="S467" s="368">
        <v>0</v>
      </c>
      <c r="T467" s="351">
        <f t="shared" si="12"/>
        <v>0</v>
      </c>
      <c r="U467" s="54"/>
    </row>
    <row r="468" spans="2:21" ht="17.25" hidden="1" x14ac:dyDescent="0.3">
      <c r="B468" s="16">
        <v>30</v>
      </c>
      <c r="C468" s="107"/>
      <c r="D468" s="71"/>
      <c r="E468" s="107"/>
      <c r="F468" s="108"/>
      <c r="G468" s="68"/>
      <c r="H468" s="68"/>
      <c r="I468" s="93"/>
      <c r="J468" s="68"/>
      <c r="K468" s="108"/>
      <c r="L468" s="108"/>
      <c r="M468" s="367"/>
      <c r="N468" s="17"/>
      <c r="O468" s="17"/>
      <c r="P468" s="17"/>
      <c r="Q468" s="17"/>
      <c r="R468" s="17"/>
      <c r="S468" s="368">
        <v>0</v>
      </c>
      <c r="T468" s="351">
        <f t="shared" si="12"/>
        <v>0</v>
      </c>
      <c r="U468" s="54"/>
    </row>
    <row r="469" spans="2:21" ht="17.25" hidden="1" x14ac:dyDescent="0.3">
      <c r="B469" s="16">
        <v>31</v>
      </c>
      <c r="C469" s="107"/>
      <c r="D469" s="71"/>
      <c r="E469" s="107"/>
      <c r="F469" s="108"/>
      <c r="G469" s="68"/>
      <c r="H469" s="68"/>
      <c r="I469" s="93"/>
      <c r="J469" s="68"/>
      <c r="K469" s="108"/>
      <c r="L469" s="108"/>
      <c r="M469" s="367"/>
      <c r="N469" s="17"/>
      <c r="O469" s="17"/>
      <c r="P469" s="17"/>
      <c r="Q469" s="17"/>
      <c r="R469" s="17"/>
      <c r="S469" s="368">
        <v>0</v>
      </c>
      <c r="T469" s="351">
        <f t="shared" si="12"/>
        <v>0</v>
      </c>
      <c r="U469" s="54"/>
    </row>
    <row r="470" spans="2:21" ht="17.25" hidden="1" x14ac:dyDescent="0.3">
      <c r="B470" s="16">
        <v>32</v>
      </c>
      <c r="C470" s="107"/>
      <c r="D470" s="71"/>
      <c r="E470" s="107"/>
      <c r="F470" s="108"/>
      <c r="G470" s="68"/>
      <c r="H470" s="68"/>
      <c r="I470" s="93"/>
      <c r="J470" s="68"/>
      <c r="K470" s="108"/>
      <c r="L470" s="108"/>
      <c r="M470" s="367"/>
      <c r="N470" s="17"/>
      <c r="O470" s="17"/>
      <c r="P470" s="17"/>
      <c r="Q470" s="17"/>
      <c r="R470" s="17"/>
      <c r="S470" s="368">
        <v>0</v>
      </c>
      <c r="T470" s="351">
        <f t="shared" si="12"/>
        <v>0</v>
      </c>
      <c r="U470" s="54"/>
    </row>
    <row r="471" spans="2:21" ht="17.25" hidden="1" x14ac:dyDescent="0.3">
      <c r="B471" s="16">
        <v>33</v>
      </c>
      <c r="C471" s="107"/>
      <c r="D471" s="71"/>
      <c r="E471" s="107"/>
      <c r="F471" s="108"/>
      <c r="G471" s="68"/>
      <c r="H471" s="68"/>
      <c r="I471" s="93"/>
      <c r="J471" s="68"/>
      <c r="K471" s="108"/>
      <c r="L471" s="108"/>
      <c r="M471" s="367"/>
      <c r="N471" s="17"/>
      <c r="O471" s="17"/>
      <c r="P471" s="17"/>
      <c r="Q471" s="17"/>
      <c r="R471" s="17"/>
      <c r="S471" s="368">
        <v>0</v>
      </c>
      <c r="T471" s="351">
        <f t="shared" ref="T471:T502" si="13">F471*S471</f>
        <v>0</v>
      </c>
      <c r="U471" s="54"/>
    </row>
    <row r="472" spans="2:21" ht="17.25" hidden="1" x14ac:dyDescent="0.3">
      <c r="B472" s="16">
        <v>34</v>
      </c>
      <c r="C472" s="107"/>
      <c r="D472" s="71"/>
      <c r="E472" s="107"/>
      <c r="F472" s="108"/>
      <c r="G472" s="68"/>
      <c r="H472" s="68"/>
      <c r="I472" s="93"/>
      <c r="J472" s="68"/>
      <c r="K472" s="108"/>
      <c r="L472" s="108"/>
      <c r="M472" s="367"/>
      <c r="N472" s="17"/>
      <c r="O472" s="17"/>
      <c r="P472" s="17"/>
      <c r="Q472" s="17"/>
      <c r="R472" s="17"/>
      <c r="S472" s="368">
        <v>0</v>
      </c>
      <c r="T472" s="351">
        <f t="shared" si="13"/>
        <v>0</v>
      </c>
      <c r="U472" s="54"/>
    </row>
    <row r="473" spans="2:21" ht="17.25" hidden="1" x14ac:dyDescent="0.3">
      <c r="B473" s="16">
        <v>35</v>
      </c>
      <c r="C473" s="107"/>
      <c r="D473" s="71"/>
      <c r="E473" s="107"/>
      <c r="F473" s="108"/>
      <c r="G473" s="68"/>
      <c r="H473" s="68"/>
      <c r="I473" s="93"/>
      <c r="J473" s="68"/>
      <c r="K473" s="108"/>
      <c r="L473" s="108"/>
      <c r="M473" s="367"/>
      <c r="N473" s="17"/>
      <c r="O473" s="17"/>
      <c r="P473" s="17"/>
      <c r="Q473" s="17"/>
      <c r="R473" s="17"/>
      <c r="S473" s="368">
        <v>0</v>
      </c>
      <c r="T473" s="351">
        <f t="shared" si="13"/>
        <v>0</v>
      </c>
      <c r="U473" s="54"/>
    </row>
    <row r="474" spans="2:21" ht="17.25" hidden="1" x14ac:dyDescent="0.3">
      <c r="B474" s="16">
        <v>36</v>
      </c>
      <c r="C474" s="107"/>
      <c r="D474" s="71"/>
      <c r="E474" s="107"/>
      <c r="F474" s="108"/>
      <c r="G474" s="68"/>
      <c r="H474" s="68"/>
      <c r="I474" s="93"/>
      <c r="J474" s="68"/>
      <c r="K474" s="108"/>
      <c r="L474" s="108"/>
      <c r="M474" s="367"/>
      <c r="N474" s="17"/>
      <c r="O474" s="17"/>
      <c r="P474" s="17"/>
      <c r="Q474" s="17"/>
      <c r="R474" s="17"/>
      <c r="S474" s="368">
        <v>0</v>
      </c>
      <c r="T474" s="351">
        <f t="shared" si="13"/>
        <v>0</v>
      </c>
      <c r="U474" s="54"/>
    </row>
    <row r="475" spans="2:21" ht="17.25" hidden="1" x14ac:dyDescent="0.3">
      <c r="B475" s="16">
        <v>37</v>
      </c>
      <c r="C475" s="107"/>
      <c r="D475" s="71"/>
      <c r="E475" s="107"/>
      <c r="F475" s="108"/>
      <c r="G475" s="68"/>
      <c r="H475" s="68"/>
      <c r="I475" s="93"/>
      <c r="J475" s="68"/>
      <c r="K475" s="108"/>
      <c r="L475" s="108"/>
      <c r="M475" s="367"/>
      <c r="N475" s="17"/>
      <c r="O475" s="17"/>
      <c r="P475" s="17"/>
      <c r="Q475" s="17"/>
      <c r="R475" s="17"/>
      <c r="S475" s="368">
        <v>0</v>
      </c>
      <c r="T475" s="351">
        <f t="shared" si="13"/>
        <v>0</v>
      </c>
      <c r="U475" s="54"/>
    </row>
    <row r="476" spans="2:21" ht="17.25" hidden="1" x14ac:dyDescent="0.3">
      <c r="B476" s="16">
        <v>38</v>
      </c>
      <c r="C476" s="107"/>
      <c r="D476" s="71"/>
      <c r="E476" s="107"/>
      <c r="F476" s="108"/>
      <c r="G476" s="68"/>
      <c r="H476" s="68"/>
      <c r="I476" s="93"/>
      <c r="J476" s="68"/>
      <c r="K476" s="108"/>
      <c r="L476" s="108"/>
      <c r="M476" s="367"/>
      <c r="N476" s="17"/>
      <c r="O476" s="17"/>
      <c r="P476" s="17"/>
      <c r="Q476" s="17"/>
      <c r="R476" s="17"/>
      <c r="S476" s="368">
        <v>0</v>
      </c>
      <c r="T476" s="351">
        <f t="shared" si="13"/>
        <v>0</v>
      </c>
      <c r="U476" s="54"/>
    </row>
    <row r="477" spans="2:21" ht="17.25" hidden="1" x14ac:dyDescent="0.3">
      <c r="B477" s="16">
        <v>39</v>
      </c>
      <c r="C477" s="107"/>
      <c r="D477" s="71"/>
      <c r="E477" s="107"/>
      <c r="F477" s="108"/>
      <c r="G477" s="68"/>
      <c r="H477" s="68"/>
      <c r="I477" s="93"/>
      <c r="J477" s="68"/>
      <c r="K477" s="108"/>
      <c r="L477" s="108"/>
      <c r="M477" s="367"/>
      <c r="N477" s="17"/>
      <c r="O477" s="17"/>
      <c r="P477" s="17"/>
      <c r="Q477" s="17"/>
      <c r="R477" s="17"/>
      <c r="S477" s="368">
        <v>0</v>
      </c>
      <c r="T477" s="351">
        <f t="shared" si="13"/>
        <v>0</v>
      </c>
      <c r="U477" s="54"/>
    </row>
    <row r="478" spans="2:21" ht="17.25" hidden="1" x14ac:dyDescent="0.3">
      <c r="B478" s="16">
        <v>40</v>
      </c>
      <c r="C478" s="107"/>
      <c r="D478" s="71"/>
      <c r="E478" s="107"/>
      <c r="F478" s="108"/>
      <c r="G478" s="68"/>
      <c r="H478" s="68"/>
      <c r="I478" s="93"/>
      <c r="J478" s="68"/>
      <c r="K478" s="108"/>
      <c r="L478" s="108"/>
      <c r="M478" s="367"/>
      <c r="N478" s="17"/>
      <c r="O478" s="17"/>
      <c r="P478" s="17"/>
      <c r="Q478" s="17"/>
      <c r="R478" s="17"/>
      <c r="S478" s="368">
        <v>0</v>
      </c>
      <c r="T478" s="351">
        <f t="shared" si="13"/>
        <v>0</v>
      </c>
      <c r="U478" s="54"/>
    </row>
    <row r="479" spans="2:21" ht="17.25" hidden="1" x14ac:dyDescent="0.3">
      <c r="B479" s="16">
        <v>41</v>
      </c>
      <c r="C479" s="107"/>
      <c r="D479" s="71"/>
      <c r="E479" s="107"/>
      <c r="F479" s="108"/>
      <c r="G479" s="68"/>
      <c r="H479" s="68"/>
      <c r="I479" s="93"/>
      <c r="J479" s="68"/>
      <c r="K479" s="108"/>
      <c r="L479" s="108"/>
      <c r="M479" s="367"/>
      <c r="N479" s="17"/>
      <c r="O479" s="17"/>
      <c r="P479" s="17"/>
      <c r="Q479" s="17"/>
      <c r="R479" s="17"/>
      <c r="S479" s="368">
        <v>0</v>
      </c>
      <c r="T479" s="351">
        <f t="shared" si="13"/>
        <v>0</v>
      </c>
      <c r="U479" s="54"/>
    </row>
    <row r="480" spans="2:21" ht="17.25" hidden="1" x14ac:dyDescent="0.3">
      <c r="B480" s="16">
        <v>42</v>
      </c>
      <c r="C480" s="107"/>
      <c r="D480" s="71"/>
      <c r="E480" s="107"/>
      <c r="F480" s="108"/>
      <c r="G480" s="68"/>
      <c r="H480" s="68"/>
      <c r="I480" s="93"/>
      <c r="J480" s="68"/>
      <c r="K480" s="108"/>
      <c r="L480" s="108"/>
      <c r="M480" s="367"/>
      <c r="N480" s="17"/>
      <c r="O480" s="17"/>
      <c r="P480" s="17"/>
      <c r="Q480" s="17"/>
      <c r="R480" s="17"/>
      <c r="S480" s="368">
        <v>0</v>
      </c>
      <c r="T480" s="351">
        <f t="shared" si="13"/>
        <v>0</v>
      </c>
      <c r="U480" s="54"/>
    </row>
    <row r="481" spans="2:21" ht="17.25" hidden="1" x14ac:dyDescent="0.3">
      <c r="B481" s="16">
        <v>43</v>
      </c>
      <c r="C481" s="107"/>
      <c r="D481" s="71"/>
      <c r="E481" s="107"/>
      <c r="F481" s="108"/>
      <c r="G481" s="68"/>
      <c r="H481" s="68"/>
      <c r="I481" s="93"/>
      <c r="J481" s="68"/>
      <c r="K481" s="108"/>
      <c r="L481" s="108"/>
      <c r="M481" s="367"/>
      <c r="N481" s="17"/>
      <c r="O481" s="17"/>
      <c r="P481" s="17"/>
      <c r="Q481" s="17"/>
      <c r="R481" s="17"/>
      <c r="S481" s="368">
        <v>0</v>
      </c>
      <c r="T481" s="351">
        <f t="shared" si="13"/>
        <v>0</v>
      </c>
      <c r="U481" s="54"/>
    </row>
    <row r="482" spans="2:21" ht="17.25" hidden="1" x14ac:dyDescent="0.3">
      <c r="B482" s="16">
        <v>44</v>
      </c>
      <c r="C482" s="107"/>
      <c r="D482" s="71"/>
      <c r="E482" s="107"/>
      <c r="F482" s="108"/>
      <c r="G482" s="68"/>
      <c r="H482" s="68"/>
      <c r="I482" s="93"/>
      <c r="J482" s="68"/>
      <c r="K482" s="108"/>
      <c r="L482" s="108"/>
      <c r="M482" s="367"/>
      <c r="N482" s="17"/>
      <c r="O482" s="17"/>
      <c r="P482" s="17"/>
      <c r="Q482" s="17"/>
      <c r="R482" s="17"/>
      <c r="S482" s="368">
        <v>0</v>
      </c>
      <c r="T482" s="351">
        <f t="shared" si="13"/>
        <v>0</v>
      </c>
      <c r="U482" s="54"/>
    </row>
    <row r="483" spans="2:21" ht="17.25" hidden="1" x14ac:dyDescent="0.3">
      <c r="B483" s="16">
        <v>45</v>
      </c>
      <c r="C483" s="107"/>
      <c r="D483" s="71"/>
      <c r="E483" s="107"/>
      <c r="F483" s="108"/>
      <c r="G483" s="68"/>
      <c r="H483" s="68"/>
      <c r="I483" s="93"/>
      <c r="J483" s="68"/>
      <c r="K483" s="108"/>
      <c r="L483" s="108"/>
      <c r="M483" s="367"/>
      <c r="N483" s="17"/>
      <c r="O483" s="17"/>
      <c r="P483" s="17"/>
      <c r="Q483" s="17"/>
      <c r="R483" s="17"/>
      <c r="S483" s="368">
        <v>0</v>
      </c>
      <c r="T483" s="351">
        <f t="shared" si="13"/>
        <v>0</v>
      </c>
      <c r="U483" s="54"/>
    </row>
    <row r="484" spans="2:21" ht="17.25" hidden="1" x14ac:dyDescent="0.3">
      <c r="B484" s="16">
        <v>46</v>
      </c>
      <c r="C484" s="107"/>
      <c r="D484" s="71"/>
      <c r="E484" s="107"/>
      <c r="F484" s="108"/>
      <c r="G484" s="68"/>
      <c r="H484" s="68"/>
      <c r="I484" s="93"/>
      <c r="J484" s="68"/>
      <c r="K484" s="108"/>
      <c r="L484" s="108"/>
      <c r="M484" s="367"/>
      <c r="N484" s="17"/>
      <c r="O484" s="17"/>
      <c r="P484" s="17"/>
      <c r="Q484" s="17"/>
      <c r="R484" s="17"/>
      <c r="S484" s="368">
        <v>0</v>
      </c>
      <c r="T484" s="351">
        <f t="shared" si="13"/>
        <v>0</v>
      </c>
      <c r="U484" s="54"/>
    </row>
    <row r="485" spans="2:21" ht="17.25" hidden="1" x14ac:dyDescent="0.3">
      <c r="B485" s="16">
        <v>47</v>
      </c>
      <c r="C485" s="107"/>
      <c r="D485" s="71"/>
      <c r="E485" s="107"/>
      <c r="F485" s="108"/>
      <c r="G485" s="68"/>
      <c r="H485" s="68"/>
      <c r="I485" s="93"/>
      <c r="J485" s="68"/>
      <c r="K485" s="108"/>
      <c r="L485" s="108"/>
      <c r="M485" s="367"/>
      <c r="N485" s="17"/>
      <c r="O485" s="17"/>
      <c r="P485" s="17"/>
      <c r="Q485" s="17"/>
      <c r="R485" s="17"/>
      <c r="S485" s="368">
        <v>0</v>
      </c>
      <c r="T485" s="351">
        <f t="shared" si="13"/>
        <v>0</v>
      </c>
      <c r="U485" s="54"/>
    </row>
    <row r="486" spans="2:21" ht="17.25" hidden="1" x14ac:dyDescent="0.3">
      <c r="B486" s="16">
        <v>48</v>
      </c>
      <c r="C486" s="107"/>
      <c r="D486" s="71"/>
      <c r="E486" s="107"/>
      <c r="F486" s="108"/>
      <c r="G486" s="68"/>
      <c r="H486" s="68"/>
      <c r="I486" s="93"/>
      <c r="J486" s="68"/>
      <c r="K486" s="108"/>
      <c r="L486" s="108"/>
      <c r="M486" s="367"/>
      <c r="N486" s="17"/>
      <c r="O486" s="17"/>
      <c r="P486" s="17"/>
      <c r="Q486" s="17"/>
      <c r="R486" s="17"/>
      <c r="S486" s="368">
        <v>0</v>
      </c>
      <c r="T486" s="351">
        <f t="shared" si="13"/>
        <v>0</v>
      </c>
      <c r="U486" s="54"/>
    </row>
    <row r="487" spans="2:21" ht="17.25" hidden="1" x14ac:dyDescent="0.3">
      <c r="B487" s="16">
        <v>49</v>
      </c>
      <c r="C487" s="107"/>
      <c r="D487" s="71"/>
      <c r="E487" s="107"/>
      <c r="F487" s="108"/>
      <c r="G487" s="68"/>
      <c r="H487" s="68"/>
      <c r="I487" s="93"/>
      <c r="J487" s="68"/>
      <c r="K487" s="108"/>
      <c r="L487" s="108"/>
      <c r="M487" s="367"/>
      <c r="N487" s="17"/>
      <c r="O487" s="17"/>
      <c r="P487" s="17"/>
      <c r="Q487" s="17"/>
      <c r="R487" s="17"/>
      <c r="S487" s="368">
        <v>0</v>
      </c>
      <c r="T487" s="351">
        <f t="shared" si="13"/>
        <v>0</v>
      </c>
      <c r="U487" s="54"/>
    </row>
    <row r="488" spans="2:21" ht="17.25" hidden="1" x14ac:dyDescent="0.3">
      <c r="B488" s="16">
        <v>50</v>
      </c>
      <c r="C488" s="107"/>
      <c r="D488" s="71"/>
      <c r="E488" s="107"/>
      <c r="F488" s="108"/>
      <c r="G488" s="68"/>
      <c r="H488" s="68"/>
      <c r="I488" s="93"/>
      <c r="J488" s="68"/>
      <c r="K488" s="108"/>
      <c r="L488" s="108"/>
      <c r="M488" s="367"/>
      <c r="N488" s="17"/>
      <c r="O488" s="17"/>
      <c r="P488" s="17"/>
      <c r="Q488" s="17"/>
      <c r="R488" s="17"/>
      <c r="S488" s="368">
        <v>0</v>
      </c>
      <c r="T488" s="351">
        <f t="shared" si="13"/>
        <v>0</v>
      </c>
      <c r="U488" s="54"/>
    </row>
    <row r="489" spans="2:21" ht="17.25" hidden="1" x14ac:dyDescent="0.3">
      <c r="B489" s="16">
        <v>51</v>
      </c>
      <c r="C489" s="107"/>
      <c r="D489" s="71"/>
      <c r="E489" s="107"/>
      <c r="F489" s="108"/>
      <c r="G489" s="68"/>
      <c r="H489" s="68"/>
      <c r="I489" s="93"/>
      <c r="J489" s="68"/>
      <c r="K489" s="108"/>
      <c r="L489" s="108"/>
      <c r="M489" s="367"/>
      <c r="N489" s="17"/>
      <c r="O489" s="17"/>
      <c r="P489" s="17"/>
      <c r="Q489" s="17"/>
      <c r="R489" s="17"/>
      <c r="S489" s="368">
        <v>0</v>
      </c>
      <c r="T489" s="351">
        <f t="shared" si="13"/>
        <v>0</v>
      </c>
      <c r="U489" s="54"/>
    </row>
    <row r="490" spans="2:21" ht="17.25" hidden="1" x14ac:dyDescent="0.3">
      <c r="B490" s="16">
        <v>52</v>
      </c>
      <c r="C490" s="107"/>
      <c r="D490" s="71"/>
      <c r="E490" s="107"/>
      <c r="F490" s="108"/>
      <c r="G490" s="68"/>
      <c r="H490" s="68"/>
      <c r="I490" s="93"/>
      <c r="J490" s="68"/>
      <c r="K490" s="108"/>
      <c r="L490" s="108"/>
      <c r="M490" s="367"/>
      <c r="N490" s="17"/>
      <c r="O490" s="17"/>
      <c r="P490" s="17"/>
      <c r="Q490" s="17"/>
      <c r="R490" s="17"/>
      <c r="S490" s="368">
        <v>0</v>
      </c>
      <c r="T490" s="351">
        <f t="shared" si="13"/>
        <v>0</v>
      </c>
      <c r="U490" s="54"/>
    </row>
    <row r="491" spans="2:21" ht="17.25" hidden="1" x14ac:dyDescent="0.3">
      <c r="B491" s="16">
        <v>53</v>
      </c>
      <c r="C491" s="107"/>
      <c r="D491" s="71"/>
      <c r="E491" s="107"/>
      <c r="F491" s="108"/>
      <c r="G491" s="68"/>
      <c r="H491" s="68"/>
      <c r="I491" s="93"/>
      <c r="J491" s="68"/>
      <c r="K491" s="108"/>
      <c r="L491" s="108"/>
      <c r="M491" s="367"/>
      <c r="N491" s="17"/>
      <c r="O491" s="17"/>
      <c r="P491" s="17"/>
      <c r="Q491" s="17"/>
      <c r="R491" s="17"/>
      <c r="S491" s="368">
        <v>0</v>
      </c>
      <c r="T491" s="351">
        <f t="shared" si="13"/>
        <v>0</v>
      </c>
      <c r="U491" s="54"/>
    </row>
    <row r="492" spans="2:21" ht="17.25" hidden="1" x14ac:dyDescent="0.3">
      <c r="B492" s="16">
        <v>54</v>
      </c>
      <c r="C492" s="107"/>
      <c r="D492" s="71"/>
      <c r="E492" s="107"/>
      <c r="F492" s="108"/>
      <c r="G492" s="68"/>
      <c r="H492" s="68"/>
      <c r="I492" s="93"/>
      <c r="J492" s="68"/>
      <c r="K492" s="108"/>
      <c r="L492" s="108"/>
      <c r="M492" s="367"/>
      <c r="N492" s="17"/>
      <c r="O492" s="17"/>
      <c r="P492" s="17"/>
      <c r="Q492" s="17"/>
      <c r="R492" s="17"/>
      <c r="S492" s="368">
        <v>0</v>
      </c>
      <c r="T492" s="351">
        <f t="shared" si="13"/>
        <v>0</v>
      </c>
      <c r="U492" s="54"/>
    </row>
    <row r="493" spans="2:21" ht="17.25" hidden="1" x14ac:dyDescent="0.3">
      <c r="B493" s="16">
        <v>55</v>
      </c>
      <c r="C493" s="107"/>
      <c r="D493" s="71"/>
      <c r="E493" s="107"/>
      <c r="F493" s="108"/>
      <c r="G493" s="68"/>
      <c r="H493" s="68"/>
      <c r="I493" s="93"/>
      <c r="J493" s="68"/>
      <c r="K493" s="108"/>
      <c r="L493" s="108"/>
      <c r="M493" s="367"/>
      <c r="N493" s="17"/>
      <c r="O493" s="17"/>
      <c r="P493" s="17"/>
      <c r="Q493" s="17"/>
      <c r="R493" s="17"/>
      <c r="S493" s="368">
        <v>0</v>
      </c>
      <c r="T493" s="351">
        <f t="shared" si="13"/>
        <v>0</v>
      </c>
      <c r="U493" s="54"/>
    </row>
    <row r="494" spans="2:21" ht="17.25" hidden="1" x14ac:dyDescent="0.3">
      <c r="B494" s="16">
        <v>56</v>
      </c>
      <c r="C494" s="107"/>
      <c r="D494" s="71"/>
      <c r="E494" s="107"/>
      <c r="F494" s="108"/>
      <c r="G494" s="68"/>
      <c r="H494" s="68"/>
      <c r="I494" s="93"/>
      <c r="J494" s="68"/>
      <c r="K494" s="108"/>
      <c r="L494" s="108"/>
      <c r="M494" s="367"/>
      <c r="N494" s="17"/>
      <c r="O494" s="17"/>
      <c r="P494" s="17"/>
      <c r="Q494" s="17"/>
      <c r="R494" s="17"/>
      <c r="S494" s="368">
        <v>0</v>
      </c>
      <c r="T494" s="351">
        <f t="shared" si="13"/>
        <v>0</v>
      </c>
      <c r="U494" s="54"/>
    </row>
    <row r="495" spans="2:21" ht="17.25" hidden="1" x14ac:dyDescent="0.3">
      <c r="B495" s="16">
        <v>57</v>
      </c>
      <c r="C495" s="107"/>
      <c r="D495" s="71"/>
      <c r="E495" s="107"/>
      <c r="F495" s="108"/>
      <c r="G495" s="68"/>
      <c r="H495" s="68"/>
      <c r="I495" s="93"/>
      <c r="J495" s="68"/>
      <c r="K495" s="108"/>
      <c r="L495" s="108"/>
      <c r="M495" s="367"/>
      <c r="N495" s="17"/>
      <c r="O495" s="17"/>
      <c r="P495" s="17"/>
      <c r="Q495" s="17"/>
      <c r="R495" s="17"/>
      <c r="S495" s="368">
        <v>0</v>
      </c>
      <c r="T495" s="351">
        <f t="shared" si="13"/>
        <v>0</v>
      </c>
      <c r="U495" s="54"/>
    </row>
    <row r="496" spans="2:21" ht="17.25" hidden="1" x14ac:dyDescent="0.3">
      <c r="B496" s="16">
        <v>58</v>
      </c>
      <c r="C496" s="107"/>
      <c r="D496" s="71"/>
      <c r="E496" s="107"/>
      <c r="F496" s="108"/>
      <c r="G496" s="68"/>
      <c r="H496" s="68"/>
      <c r="I496" s="93"/>
      <c r="J496" s="68"/>
      <c r="K496" s="108"/>
      <c r="L496" s="108"/>
      <c r="M496" s="367"/>
      <c r="N496" s="17"/>
      <c r="O496" s="17"/>
      <c r="P496" s="17"/>
      <c r="Q496" s="17"/>
      <c r="R496" s="17"/>
      <c r="S496" s="368">
        <v>0</v>
      </c>
      <c r="T496" s="351">
        <f t="shared" si="13"/>
        <v>0</v>
      </c>
      <c r="U496" s="54"/>
    </row>
    <row r="497" spans="2:21" ht="17.25" hidden="1" x14ac:dyDescent="0.3">
      <c r="B497" s="16">
        <v>59</v>
      </c>
      <c r="C497" s="107"/>
      <c r="D497" s="71"/>
      <c r="E497" s="107"/>
      <c r="F497" s="108"/>
      <c r="G497" s="68"/>
      <c r="H497" s="68"/>
      <c r="I497" s="93"/>
      <c r="J497" s="68"/>
      <c r="K497" s="108"/>
      <c r="L497" s="108"/>
      <c r="M497" s="367"/>
      <c r="N497" s="17"/>
      <c r="O497" s="17"/>
      <c r="P497" s="17"/>
      <c r="Q497" s="17"/>
      <c r="R497" s="17"/>
      <c r="S497" s="368">
        <v>0</v>
      </c>
      <c r="T497" s="351">
        <f t="shared" si="13"/>
        <v>0</v>
      </c>
      <c r="U497" s="54"/>
    </row>
    <row r="498" spans="2:21" ht="17.25" hidden="1" x14ac:dyDescent="0.3">
      <c r="B498" s="16">
        <v>60</v>
      </c>
      <c r="C498" s="107"/>
      <c r="D498" s="71"/>
      <c r="E498" s="107"/>
      <c r="F498" s="108"/>
      <c r="G498" s="68"/>
      <c r="H498" s="68"/>
      <c r="I498" s="93"/>
      <c r="J498" s="68"/>
      <c r="K498" s="108"/>
      <c r="L498" s="108"/>
      <c r="M498" s="367"/>
      <c r="N498" s="17"/>
      <c r="O498" s="17"/>
      <c r="P498" s="17"/>
      <c r="Q498" s="17"/>
      <c r="R498" s="17"/>
      <c r="S498" s="368">
        <v>0</v>
      </c>
      <c r="T498" s="351">
        <f t="shared" si="13"/>
        <v>0</v>
      </c>
      <c r="U498" s="54"/>
    </row>
    <row r="499" spans="2:21" ht="17.25" hidden="1" x14ac:dyDescent="0.3">
      <c r="B499" s="16">
        <v>61</v>
      </c>
      <c r="C499" s="107"/>
      <c r="D499" s="71"/>
      <c r="E499" s="107"/>
      <c r="F499" s="108"/>
      <c r="G499" s="68"/>
      <c r="H499" s="68"/>
      <c r="I499" s="93"/>
      <c r="J499" s="68"/>
      <c r="K499" s="108"/>
      <c r="L499" s="108"/>
      <c r="M499" s="367"/>
      <c r="N499" s="17"/>
      <c r="O499" s="17"/>
      <c r="P499" s="17"/>
      <c r="Q499" s="17"/>
      <c r="R499" s="17"/>
      <c r="S499" s="368">
        <v>0</v>
      </c>
      <c r="T499" s="351">
        <f t="shared" si="13"/>
        <v>0</v>
      </c>
      <c r="U499" s="54"/>
    </row>
    <row r="500" spans="2:21" ht="17.25" hidden="1" x14ac:dyDescent="0.3">
      <c r="B500" s="16">
        <v>62</v>
      </c>
      <c r="C500" s="107"/>
      <c r="D500" s="71"/>
      <c r="E500" s="107"/>
      <c r="F500" s="108"/>
      <c r="G500" s="68"/>
      <c r="H500" s="68"/>
      <c r="I500" s="93"/>
      <c r="J500" s="68"/>
      <c r="K500" s="108"/>
      <c r="L500" s="108"/>
      <c r="M500" s="367"/>
      <c r="N500" s="17"/>
      <c r="O500" s="17"/>
      <c r="P500" s="17"/>
      <c r="Q500" s="17"/>
      <c r="R500" s="17"/>
      <c r="S500" s="368">
        <v>0</v>
      </c>
      <c r="T500" s="351">
        <f t="shared" si="13"/>
        <v>0</v>
      </c>
      <c r="U500" s="54"/>
    </row>
    <row r="501" spans="2:21" ht="17.25" hidden="1" x14ac:dyDescent="0.3">
      <c r="B501" s="16">
        <v>63</v>
      </c>
      <c r="C501" s="107"/>
      <c r="D501" s="71"/>
      <c r="E501" s="107"/>
      <c r="F501" s="108"/>
      <c r="G501" s="68"/>
      <c r="H501" s="68"/>
      <c r="I501" s="93"/>
      <c r="J501" s="68"/>
      <c r="K501" s="108"/>
      <c r="L501" s="108"/>
      <c r="M501" s="367"/>
      <c r="N501" s="17"/>
      <c r="O501" s="17"/>
      <c r="P501" s="17"/>
      <c r="Q501" s="17"/>
      <c r="R501" s="17"/>
      <c r="S501" s="368">
        <v>0</v>
      </c>
      <c r="T501" s="351">
        <f t="shared" si="13"/>
        <v>0</v>
      </c>
      <c r="U501" s="54"/>
    </row>
    <row r="502" spans="2:21" ht="17.25" hidden="1" x14ac:dyDescent="0.3">
      <c r="B502" s="16">
        <v>64</v>
      </c>
      <c r="C502" s="107"/>
      <c r="D502" s="71"/>
      <c r="E502" s="107"/>
      <c r="F502" s="108"/>
      <c r="G502" s="68"/>
      <c r="H502" s="68"/>
      <c r="I502" s="93"/>
      <c r="J502" s="68"/>
      <c r="K502" s="108"/>
      <c r="L502" s="108"/>
      <c r="M502" s="367"/>
      <c r="N502" s="17"/>
      <c r="O502" s="17"/>
      <c r="P502" s="17"/>
      <c r="Q502" s="17"/>
      <c r="R502" s="17"/>
      <c r="S502" s="368">
        <v>0</v>
      </c>
      <c r="T502" s="351">
        <f t="shared" si="13"/>
        <v>0</v>
      </c>
      <c r="U502" s="54"/>
    </row>
    <row r="503" spans="2:21" ht="17.25" hidden="1" x14ac:dyDescent="0.3">
      <c r="B503" s="16">
        <v>65</v>
      </c>
      <c r="C503" s="107"/>
      <c r="D503" s="71"/>
      <c r="E503" s="107"/>
      <c r="F503" s="108"/>
      <c r="G503" s="68"/>
      <c r="H503" s="68"/>
      <c r="I503" s="93"/>
      <c r="J503" s="68"/>
      <c r="K503" s="108"/>
      <c r="L503" s="108"/>
      <c r="M503" s="367"/>
      <c r="N503" s="17"/>
      <c r="O503" s="17"/>
      <c r="P503" s="17"/>
      <c r="Q503" s="17"/>
      <c r="R503" s="17"/>
      <c r="S503" s="368">
        <v>0</v>
      </c>
      <c r="T503" s="351">
        <f t="shared" ref="T503:T534" si="14">F503*S503</f>
        <v>0</v>
      </c>
      <c r="U503" s="54"/>
    </row>
    <row r="504" spans="2:21" ht="17.25" hidden="1" x14ac:dyDescent="0.3">
      <c r="B504" s="16">
        <v>66</v>
      </c>
      <c r="C504" s="107"/>
      <c r="D504" s="71"/>
      <c r="E504" s="107"/>
      <c r="F504" s="108"/>
      <c r="G504" s="68"/>
      <c r="H504" s="68"/>
      <c r="I504" s="93"/>
      <c r="J504" s="68"/>
      <c r="K504" s="108"/>
      <c r="L504" s="108"/>
      <c r="M504" s="367"/>
      <c r="N504" s="17"/>
      <c r="O504" s="17"/>
      <c r="P504" s="17"/>
      <c r="Q504" s="17"/>
      <c r="R504" s="17"/>
      <c r="S504" s="368">
        <v>0</v>
      </c>
      <c r="T504" s="351">
        <f t="shared" si="14"/>
        <v>0</v>
      </c>
      <c r="U504" s="54"/>
    </row>
    <row r="505" spans="2:21" ht="17.25" hidden="1" x14ac:dyDescent="0.3">
      <c r="B505" s="16">
        <v>67</v>
      </c>
      <c r="C505" s="107"/>
      <c r="D505" s="71"/>
      <c r="E505" s="107"/>
      <c r="F505" s="108"/>
      <c r="G505" s="68"/>
      <c r="H505" s="68"/>
      <c r="I505" s="93"/>
      <c r="J505" s="68"/>
      <c r="K505" s="108"/>
      <c r="L505" s="108"/>
      <c r="M505" s="367"/>
      <c r="N505" s="17"/>
      <c r="O505" s="17"/>
      <c r="P505" s="17"/>
      <c r="Q505" s="17"/>
      <c r="R505" s="17"/>
      <c r="S505" s="368">
        <v>0</v>
      </c>
      <c r="T505" s="351">
        <f t="shared" si="14"/>
        <v>0</v>
      </c>
      <c r="U505" s="54"/>
    </row>
    <row r="506" spans="2:21" ht="17.25" hidden="1" x14ac:dyDescent="0.3">
      <c r="B506" s="16">
        <v>68</v>
      </c>
      <c r="C506" s="107"/>
      <c r="D506" s="71"/>
      <c r="E506" s="107"/>
      <c r="F506" s="108"/>
      <c r="G506" s="68"/>
      <c r="H506" s="68"/>
      <c r="I506" s="93"/>
      <c r="J506" s="68"/>
      <c r="K506" s="108"/>
      <c r="L506" s="108"/>
      <c r="M506" s="367"/>
      <c r="N506" s="17"/>
      <c r="O506" s="17"/>
      <c r="P506" s="17"/>
      <c r="Q506" s="17"/>
      <c r="R506" s="17"/>
      <c r="S506" s="368">
        <v>0</v>
      </c>
      <c r="T506" s="351">
        <f t="shared" si="14"/>
        <v>0</v>
      </c>
      <c r="U506" s="54"/>
    </row>
    <row r="507" spans="2:21" ht="17.25" hidden="1" x14ac:dyDescent="0.3">
      <c r="B507" s="16">
        <v>69</v>
      </c>
      <c r="C507" s="107"/>
      <c r="D507" s="71"/>
      <c r="E507" s="107"/>
      <c r="F507" s="108"/>
      <c r="G507" s="68"/>
      <c r="H507" s="68"/>
      <c r="I507" s="93"/>
      <c r="J507" s="68"/>
      <c r="K507" s="108"/>
      <c r="L507" s="108"/>
      <c r="M507" s="367"/>
      <c r="N507" s="17"/>
      <c r="O507" s="17"/>
      <c r="P507" s="17"/>
      <c r="Q507" s="17"/>
      <c r="R507" s="17"/>
      <c r="S507" s="368">
        <v>0</v>
      </c>
      <c r="T507" s="351">
        <f t="shared" si="14"/>
        <v>0</v>
      </c>
      <c r="U507" s="54"/>
    </row>
    <row r="508" spans="2:21" ht="17.25" hidden="1" x14ac:dyDescent="0.3">
      <c r="B508" s="16">
        <v>70</v>
      </c>
      <c r="C508" s="107"/>
      <c r="D508" s="71"/>
      <c r="E508" s="107"/>
      <c r="F508" s="108"/>
      <c r="G508" s="68"/>
      <c r="H508" s="68"/>
      <c r="I508" s="93"/>
      <c r="J508" s="68"/>
      <c r="K508" s="108"/>
      <c r="L508" s="108"/>
      <c r="M508" s="367"/>
      <c r="N508" s="17"/>
      <c r="O508" s="17"/>
      <c r="P508" s="17"/>
      <c r="Q508" s="17"/>
      <c r="R508" s="17"/>
      <c r="S508" s="368">
        <v>0</v>
      </c>
      <c r="T508" s="351">
        <f t="shared" si="14"/>
        <v>0</v>
      </c>
      <c r="U508" s="54"/>
    </row>
    <row r="509" spans="2:21" ht="17.25" hidden="1" x14ac:dyDescent="0.3">
      <c r="B509" s="16">
        <v>71</v>
      </c>
      <c r="C509" s="107"/>
      <c r="D509" s="71"/>
      <c r="E509" s="107"/>
      <c r="F509" s="108"/>
      <c r="G509" s="68"/>
      <c r="H509" s="68"/>
      <c r="I509" s="93"/>
      <c r="J509" s="68"/>
      <c r="K509" s="108"/>
      <c r="L509" s="108"/>
      <c r="M509" s="367"/>
      <c r="N509" s="17"/>
      <c r="O509" s="17"/>
      <c r="P509" s="17"/>
      <c r="Q509" s="17"/>
      <c r="R509" s="17"/>
      <c r="S509" s="368">
        <v>0</v>
      </c>
      <c r="T509" s="351">
        <f t="shared" si="14"/>
        <v>0</v>
      </c>
      <c r="U509" s="54"/>
    </row>
    <row r="510" spans="2:21" ht="17.25" hidden="1" x14ac:dyDescent="0.3">
      <c r="B510" s="16">
        <v>72</v>
      </c>
      <c r="C510" s="107"/>
      <c r="D510" s="71"/>
      <c r="E510" s="107"/>
      <c r="F510" s="108"/>
      <c r="G510" s="68"/>
      <c r="H510" s="68"/>
      <c r="I510" s="93"/>
      <c r="J510" s="68"/>
      <c r="K510" s="108"/>
      <c r="L510" s="108"/>
      <c r="M510" s="367"/>
      <c r="N510" s="17"/>
      <c r="O510" s="17"/>
      <c r="P510" s="17"/>
      <c r="Q510" s="17"/>
      <c r="R510" s="17"/>
      <c r="S510" s="368">
        <v>0</v>
      </c>
      <c r="T510" s="351">
        <f t="shared" si="14"/>
        <v>0</v>
      </c>
      <c r="U510" s="54"/>
    </row>
    <row r="511" spans="2:21" ht="17.25" hidden="1" x14ac:dyDescent="0.3">
      <c r="B511" s="16">
        <v>73</v>
      </c>
      <c r="C511" s="107"/>
      <c r="D511" s="71"/>
      <c r="E511" s="107"/>
      <c r="F511" s="108"/>
      <c r="G511" s="68"/>
      <c r="H511" s="68"/>
      <c r="I511" s="93"/>
      <c r="J511" s="68"/>
      <c r="K511" s="108"/>
      <c r="L511" s="108"/>
      <c r="M511" s="367"/>
      <c r="N511" s="17"/>
      <c r="O511" s="17"/>
      <c r="P511" s="17"/>
      <c r="Q511" s="17"/>
      <c r="R511" s="17"/>
      <c r="S511" s="368">
        <v>0</v>
      </c>
      <c r="T511" s="351">
        <f t="shared" si="14"/>
        <v>0</v>
      </c>
      <c r="U511" s="54"/>
    </row>
    <row r="512" spans="2:21" ht="17.25" hidden="1" x14ac:dyDescent="0.3">
      <c r="B512" s="16">
        <v>74</v>
      </c>
      <c r="C512" s="107"/>
      <c r="D512" s="71"/>
      <c r="E512" s="107"/>
      <c r="F512" s="108"/>
      <c r="G512" s="68"/>
      <c r="H512" s="68"/>
      <c r="I512" s="93"/>
      <c r="J512" s="68"/>
      <c r="K512" s="108"/>
      <c r="L512" s="108"/>
      <c r="M512" s="367"/>
      <c r="N512" s="17"/>
      <c r="O512" s="17"/>
      <c r="P512" s="17"/>
      <c r="Q512" s="17"/>
      <c r="R512" s="17"/>
      <c r="S512" s="368">
        <v>0</v>
      </c>
      <c r="T512" s="351">
        <f t="shared" si="14"/>
        <v>0</v>
      </c>
      <c r="U512" s="54"/>
    </row>
    <row r="513" spans="2:21" ht="17.25" hidden="1" x14ac:dyDescent="0.3">
      <c r="B513" s="16">
        <v>75</v>
      </c>
      <c r="C513" s="107"/>
      <c r="D513" s="71"/>
      <c r="E513" s="107"/>
      <c r="F513" s="108"/>
      <c r="G513" s="68"/>
      <c r="H513" s="68"/>
      <c r="I513" s="93"/>
      <c r="J513" s="68"/>
      <c r="K513" s="108"/>
      <c r="L513" s="108"/>
      <c r="M513" s="367"/>
      <c r="N513" s="17"/>
      <c r="O513" s="17"/>
      <c r="P513" s="17"/>
      <c r="Q513" s="17"/>
      <c r="R513" s="17"/>
      <c r="S513" s="368">
        <v>0</v>
      </c>
      <c r="T513" s="351">
        <f t="shared" si="14"/>
        <v>0</v>
      </c>
      <c r="U513" s="54"/>
    </row>
    <row r="514" spans="2:21" ht="17.25" hidden="1" x14ac:dyDescent="0.3">
      <c r="B514" s="16">
        <v>76</v>
      </c>
      <c r="C514" s="107"/>
      <c r="D514" s="71"/>
      <c r="E514" s="107"/>
      <c r="F514" s="108"/>
      <c r="G514" s="68"/>
      <c r="H514" s="68"/>
      <c r="I514" s="93"/>
      <c r="J514" s="68"/>
      <c r="K514" s="108"/>
      <c r="L514" s="108"/>
      <c r="M514" s="367"/>
      <c r="N514" s="17"/>
      <c r="O514" s="17"/>
      <c r="P514" s="17"/>
      <c r="Q514" s="17"/>
      <c r="R514" s="17"/>
      <c r="S514" s="368">
        <v>0</v>
      </c>
      <c r="T514" s="351">
        <f t="shared" si="14"/>
        <v>0</v>
      </c>
      <c r="U514" s="54"/>
    </row>
    <row r="515" spans="2:21" ht="17.25" hidden="1" x14ac:dyDescent="0.3">
      <c r="B515" s="16">
        <v>77</v>
      </c>
      <c r="C515" s="107"/>
      <c r="D515" s="109"/>
      <c r="E515" s="72"/>
      <c r="F515" s="108"/>
      <c r="G515" s="68"/>
      <c r="H515" s="68"/>
      <c r="I515" s="93"/>
      <c r="J515" s="68"/>
      <c r="K515" s="108"/>
      <c r="L515" s="108"/>
      <c r="M515" s="367"/>
      <c r="N515" s="17"/>
      <c r="O515" s="17"/>
      <c r="P515" s="17"/>
      <c r="Q515" s="17"/>
      <c r="R515" s="17"/>
      <c r="S515" s="368">
        <v>0</v>
      </c>
      <c r="T515" s="351">
        <f t="shared" si="14"/>
        <v>0</v>
      </c>
      <c r="U515" s="54"/>
    </row>
    <row r="516" spans="2:21" ht="17.25" hidden="1" x14ac:dyDescent="0.3">
      <c r="B516" s="16">
        <v>78</v>
      </c>
      <c r="C516" s="107"/>
      <c r="D516" s="110"/>
      <c r="E516" s="72"/>
      <c r="F516" s="108"/>
      <c r="G516" s="68"/>
      <c r="H516" s="68"/>
      <c r="I516" s="108"/>
      <c r="J516" s="68"/>
      <c r="K516" s="108"/>
      <c r="L516" s="108"/>
      <c r="M516" s="367"/>
      <c r="N516" s="17"/>
      <c r="O516" s="17"/>
      <c r="P516" s="17"/>
      <c r="Q516" s="17"/>
      <c r="R516" s="17"/>
      <c r="S516" s="368">
        <v>0</v>
      </c>
      <c r="T516" s="351">
        <f t="shared" si="14"/>
        <v>0</v>
      </c>
      <c r="U516" s="54"/>
    </row>
    <row r="517" spans="2:21" ht="17.25" hidden="1" x14ac:dyDescent="0.3">
      <c r="B517" s="16">
        <v>79</v>
      </c>
      <c r="C517" s="107"/>
      <c r="D517" s="111"/>
      <c r="E517" s="72"/>
      <c r="F517" s="108"/>
      <c r="G517" s="68"/>
      <c r="H517" s="68"/>
      <c r="I517" s="108"/>
      <c r="J517" s="68"/>
      <c r="K517" s="108"/>
      <c r="L517" s="108"/>
      <c r="M517" s="367"/>
      <c r="N517" s="17"/>
      <c r="O517" s="17"/>
      <c r="P517" s="17"/>
      <c r="Q517" s="17"/>
      <c r="R517" s="17"/>
      <c r="S517" s="368">
        <v>0</v>
      </c>
      <c r="T517" s="351">
        <f t="shared" si="14"/>
        <v>0</v>
      </c>
      <c r="U517" s="54"/>
    </row>
    <row r="518" spans="2:21" ht="17.25" hidden="1" x14ac:dyDescent="0.3">
      <c r="B518" s="16">
        <v>80</v>
      </c>
      <c r="C518" s="107"/>
      <c r="D518" s="111"/>
      <c r="E518" s="72"/>
      <c r="F518" s="108"/>
      <c r="G518" s="68"/>
      <c r="H518" s="68"/>
      <c r="I518" s="108"/>
      <c r="J518" s="68"/>
      <c r="K518" s="108"/>
      <c r="L518" s="108"/>
      <c r="M518" s="367"/>
      <c r="N518" s="17"/>
      <c r="O518" s="17"/>
      <c r="P518" s="17"/>
      <c r="Q518" s="17"/>
      <c r="R518" s="17"/>
      <c r="S518" s="368">
        <v>0</v>
      </c>
      <c r="T518" s="351">
        <f t="shared" si="14"/>
        <v>0</v>
      </c>
      <c r="U518" s="54"/>
    </row>
    <row r="519" spans="2:21" ht="17.25" hidden="1" x14ac:dyDescent="0.3">
      <c r="B519" s="16">
        <v>81</v>
      </c>
      <c r="C519" s="107"/>
      <c r="D519" s="111"/>
      <c r="E519" s="72"/>
      <c r="F519" s="108"/>
      <c r="G519" s="68"/>
      <c r="H519" s="68"/>
      <c r="I519" s="108"/>
      <c r="J519" s="68"/>
      <c r="K519" s="108"/>
      <c r="L519" s="108"/>
      <c r="M519" s="367"/>
      <c r="N519" s="17"/>
      <c r="O519" s="17"/>
      <c r="P519" s="17"/>
      <c r="Q519" s="17"/>
      <c r="R519" s="17"/>
      <c r="S519" s="368">
        <v>0</v>
      </c>
      <c r="T519" s="351">
        <f t="shared" si="14"/>
        <v>0</v>
      </c>
      <c r="U519" s="54"/>
    </row>
    <row r="520" spans="2:21" ht="17.25" hidden="1" x14ac:dyDescent="0.3">
      <c r="B520" s="16">
        <v>82</v>
      </c>
      <c r="C520" s="107"/>
      <c r="D520" s="111"/>
      <c r="E520" s="72"/>
      <c r="F520" s="108"/>
      <c r="G520" s="68"/>
      <c r="H520" s="68"/>
      <c r="I520" s="108"/>
      <c r="J520" s="68"/>
      <c r="K520" s="108"/>
      <c r="L520" s="108"/>
      <c r="M520" s="367"/>
      <c r="N520" s="17"/>
      <c r="O520" s="17"/>
      <c r="P520" s="17"/>
      <c r="Q520" s="17"/>
      <c r="R520" s="17"/>
      <c r="S520" s="368">
        <v>0</v>
      </c>
      <c r="T520" s="351">
        <f t="shared" si="14"/>
        <v>0</v>
      </c>
      <c r="U520" s="54"/>
    </row>
    <row r="521" spans="2:21" ht="17.25" hidden="1" x14ac:dyDescent="0.3">
      <c r="B521" s="16">
        <v>83</v>
      </c>
      <c r="C521" s="107"/>
      <c r="D521" s="111"/>
      <c r="E521" s="72"/>
      <c r="F521" s="108"/>
      <c r="G521" s="68"/>
      <c r="H521" s="68"/>
      <c r="I521" s="108"/>
      <c r="J521" s="68"/>
      <c r="K521" s="108"/>
      <c r="L521" s="108"/>
      <c r="M521" s="367"/>
      <c r="N521" s="17"/>
      <c r="O521" s="17"/>
      <c r="P521" s="17"/>
      <c r="Q521" s="17"/>
      <c r="R521" s="17"/>
      <c r="S521" s="368">
        <v>0</v>
      </c>
      <c r="T521" s="351">
        <f t="shared" si="14"/>
        <v>0</v>
      </c>
      <c r="U521" s="54"/>
    </row>
    <row r="522" spans="2:21" ht="17.25" hidden="1" x14ac:dyDescent="0.3">
      <c r="B522" s="16">
        <v>84</v>
      </c>
      <c r="C522" s="107"/>
      <c r="D522" s="111"/>
      <c r="E522" s="72"/>
      <c r="F522" s="108"/>
      <c r="G522" s="68"/>
      <c r="H522" s="68"/>
      <c r="I522" s="108"/>
      <c r="J522" s="68"/>
      <c r="K522" s="108"/>
      <c r="L522" s="108"/>
      <c r="M522" s="367"/>
      <c r="N522" s="17"/>
      <c r="O522" s="17"/>
      <c r="P522" s="17"/>
      <c r="Q522" s="17"/>
      <c r="R522" s="17"/>
      <c r="S522" s="368">
        <v>0</v>
      </c>
      <c r="T522" s="351">
        <f t="shared" si="14"/>
        <v>0</v>
      </c>
      <c r="U522" s="54"/>
    </row>
    <row r="523" spans="2:21" ht="17.25" hidden="1" x14ac:dyDescent="0.3">
      <c r="B523" s="16">
        <v>85</v>
      </c>
      <c r="C523" s="107"/>
      <c r="D523" s="111"/>
      <c r="E523" s="72"/>
      <c r="F523" s="108"/>
      <c r="G523" s="68"/>
      <c r="H523" s="68"/>
      <c r="I523" s="108"/>
      <c r="J523" s="68"/>
      <c r="K523" s="108"/>
      <c r="L523" s="108"/>
      <c r="M523" s="367"/>
      <c r="N523" s="17"/>
      <c r="O523" s="17"/>
      <c r="P523" s="17"/>
      <c r="Q523" s="17"/>
      <c r="R523" s="17"/>
      <c r="S523" s="368">
        <v>0</v>
      </c>
      <c r="T523" s="351">
        <f t="shared" si="14"/>
        <v>0</v>
      </c>
      <c r="U523" s="54"/>
    </row>
    <row r="524" spans="2:21" ht="17.25" hidden="1" x14ac:dyDescent="0.3">
      <c r="B524" s="16">
        <v>86</v>
      </c>
      <c r="C524" s="107"/>
      <c r="D524" s="111"/>
      <c r="E524" s="72"/>
      <c r="F524" s="108"/>
      <c r="G524" s="68"/>
      <c r="H524" s="68"/>
      <c r="I524" s="108"/>
      <c r="J524" s="68"/>
      <c r="K524" s="108"/>
      <c r="L524" s="108"/>
      <c r="M524" s="367"/>
      <c r="N524" s="17"/>
      <c r="O524" s="17"/>
      <c r="P524" s="17"/>
      <c r="Q524" s="17"/>
      <c r="R524" s="17"/>
      <c r="S524" s="368">
        <v>0</v>
      </c>
      <c r="T524" s="351">
        <f t="shared" si="14"/>
        <v>0</v>
      </c>
      <c r="U524" s="54"/>
    </row>
    <row r="525" spans="2:21" ht="17.25" hidden="1" x14ac:dyDescent="0.3">
      <c r="B525" s="16">
        <v>87</v>
      </c>
      <c r="C525" s="107"/>
      <c r="D525" s="111"/>
      <c r="E525" s="72"/>
      <c r="F525" s="108"/>
      <c r="G525" s="68"/>
      <c r="H525" s="68"/>
      <c r="I525" s="108"/>
      <c r="J525" s="68"/>
      <c r="K525" s="108"/>
      <c r="L525" s="108"/>
      <c r="M525" s="367"/>
      <c r="N525" s="17"/>
      <c r="O525" s="17"/>
      <c r="P525" s="17"/>
      <c r="Q525" s="17"/>
      <c r="R525" s="17"/>
      <c r="S525" s="368">
        <v>0</v>
      </c>
      <c r="T525" s="351">
        <f t="shared" si="14"/>
        <v>0</v>
      </c>
      <c r="U525" s="54"/>
    </row>
    <row r="526" spans="2:21" ht="17.25" hidden="1" x14ac:dyDescent="0.3">
      <c r="B526" s="16">
        <v>88</v>
      </c>
      <c r="C526" s="107"/>
      <c r="D526" s="111"/>
      <c r="E526" s="72"/>
      <c r="F526" s="108"/>
      <c r="G526" s="68"/>
      <c r="H526" s="68"/>
      <c r="I526" s="108"/>
      <c r="J526" s="68"/>
      <c r="K526" s="108"/>
      <c r="L526" s="108"/>
      <c r="M526" s="367"/>
      <c r="N526" s="17"/>
      <c r="O526" s="17"/>
      <c r="P526" s="17"/>
      <c r="Q526" s="17"/>
      <c r="R526" s="17"/>
      <c r="S526" s="368">
        <v>0</v>
      </c>
      <c r="T526" s="351">
        <f t="shared" si="14"/>
        <v>0</v>
      </c>
      <c r="U526" s="54"/>
    </row>
    <row r="527" spans="2:21" ht="17.25" hidden="1" x14ac:dyDescent="0.3">
      <c r="B527" s="16">
        <v>89</v>
      </c>
      <c r="C527" s="107"/>
      <c r="D527" s="111"/>
      <c r="E527" s="72"/>
      <c r="F527" s="108"/>
      <c r="G527" s="68"/>
      <c r="H527" s="68"/>
      <c r="I527" s="108"/>
      <c r="J527" s="68"/>
      <c r="K527" s="108"/>
      <c r="L527" s="108"/>
      <c r="M527" s="367"/>
      <c r="N527" s="17"/>
      <c r="O527" s="17"/>
      <c r="P527" s="17"/>
      <c r="Q527" s="17"/>
      <c r="R527" s="17"/>
      <c r="S527" s="368">
        <v>0</v>
      </c>
      <c r="T527" s="351">
        <f t="shared" si="14"/>
        <v>0</v>
      </c>
      <c r="U527" s="54"/>
    </row>
    <row r="528" spans="2:21" ht="17.25" hidden="1" x14ac:dyDescent="0.3">
      <c r="B528" s="16">
        <v>90</v>
      </c>
      <c r="C528" s="107"/>
      <c r="D528" s="111"/>
      <c r="E528" s="72"/>
      <c r="F528" s="108"/>
      <c r="G528" s="68"/>
      <c r="H528" s="68"/>
      <c r="I528" s="108"/>
      <c r="J528" s="68"/>
      <c r="K528" s="108"/>
      <c r="L528" s="108"/>
      <c r="M528" s="367"/>
      <c r="N528" s="17"/>
      <c r="O528" s="17"/>
      <c r="P528" s="17"/>
      <c r="Q528" s="17"/>
      <c r="R528" s="17"/>
      <c r="S528" s="368">
        <v>0</v>
      </c>
      <c r="T528" s="351">
        <f t="shared" si="14"/>
        <v>0</v>
      </c>
      <c r="U528" s="54"/>
    </row>
    <row r="529" spans="2:21" ht="17.25" hidden="1" x14ac:dyDescent="0.3">
      <c r="B529" s="16">
        <v>91</v>
      </c>
      <c r="C529" s="107"/>
      <c r="D529" s="111"/>
      <c r="E529" s="72"/>
      <c r="F529" s="108"/>
      <c r="G529" s="68"/>
      <c r="H529" s="68"/>
      <c r="I529" s="108"/>
      <c r="J529" s="68"/>
      <c r="K529" s="108"/>
      <c r="L529" s="108"/>
      <c r="M529" s="367"/>
      <c r="N529" s="17"/>
      <c r="O529" s="17"/>
      <c r="P529" s="17"/>
      <c r="Q529" s="17"/>
      <c r="R529" s="17"/>
      <c r="S529" s="368">
        <v>0</v>
      </c>
      <c r="T529" s="351">
        <f t="shared" si="14"/>
        <v>0</v>
      </c>
      <c r="U529" s="54"/>
    </row>
    <row r="530" spans="2:21" ht="17.25" hidden="1" x14ac:dyDescent="0.3">
      <c r="B530" s="16">
        <v>92</v>
      </c>
      <c r="C530" s="107"/>
      <c r="D530" s="111"/>
      <c r="E530" s="72"/>
      <c r="F530" s="108"/>
      <c r="G530" s="68"/>
      <c r="H530" s="68"/>
      <c r="I530" s="108"/>
      <c r="J530" s="68"/>
      <c r="K530" s="108"/>
      <c r="L530" s="108"/>
      <c r="M530" s="367"/>
      <c r="N530" s="17"/>
      <c r="O530" s="17"/>
      <c r="P530" s="17"/>
      <c r="Q530" s="17"/>
      <c r="R530" s="17"/>
      <c r="S530" s="368">
        <v>0</v>
      </c>
      <c r="T530" s="351">
        <f t="shared" si="14"/>
        <v>0</v>
      </c>
      <c r="U530" s="54"/>
    </row>
    <row r="531" spans="2:21" ht="17.25" hidden="1" x14ac:dyDescent="0.3">
      <c r="B531" s="16">
        <v>93</v>
      </c>
      <c r="C531" s="107"/>
      <c r="D531" s="111"/>
      <c r="E531" s="72"/>
      <c r="F531" s="108"/>
      <c r="G531" s="68"/>
      <c r="H531" s="68"/>
      <c r="I531" s="108"/>
      <c r="J531" s="68"/>
      <c r="K531" s="108"/>
      <c r="L531" s="108"/>
      <c r="M531" s="367"/>
      <c r="N531" s="17"/>
      <c r="O531" s="17"/>
      <c r="P531" s="17"/>
      <c r="Q531" s="17"/>
      <c r="R531" s="17"/>
      <c r="S531" s="368">
        <v>0</v>
      </c>
      <c r="T531" s="351">
        <f t="shared" si="14"/>
        <v>0</v>
      </c>
      <c r="U531" s="54"/>
    </row>
    <row r="532" spans="2:21" ht="17.25" hidden="1" x14ac:dyDescent="0.3">
      <c r="B532" s="16">
        <v>94</v>
      </c>
      <c r="C532" s="107"/>
      <c r="D532" s="111"/>
      <c r="E532" s="72"/>
      <c r="F532" s="108"/>
      <c r="G532" s="68"/>
      <c r="H532" s="68"/>
      <c r="I532" s="108"/>
      <c r="J532" s="68"/>
      <c r="K532" s="108"/>
      <c r="L532" s="108"/>
      <c r="M532" s="367"/>
      <c r="N532" s="17"/>
      <c r="O532" s="17"/>
      <c r="P532" s="17"/>
      <c r="Q532" s="17"/>
      <c r="R532" s="17"/>
      <c r="S532" s="368">
        <v>0</v>
      </c>
      <c r="T532" s="351">
        <f t="shared" si="14"/>
        <v>0</v>
      </c>
      <c r="U532" s="54"/>
    </row>
    <row r="533" spans="2:21" ht="17.25" hidden="1" x14ac:dyDescent="0.3">
      <c r="B533" s="16">
        <v>95</v>
      </c>
      <c r="C533" s="107"/>
      <c r="D533" s="111"/>
      <c r="E533" s="72"/>
      <c r="F533" s="108"/>
      <c r="G533" s="68"/>
      <c r="H533" s="68"/>
      <c r="I533" s="108"/>
      <c r="J533" s="68"/>
      <c r="K533" s="108"/>
      <c r="L533" s="108"/>
      <c r="M533" s="367"/>
      <c r="N533" s="17"/>
      <c r="O533" s="17"/>
      <c r="P533" s="17"/>
      <c r="Q533" s="17"/>
      <c r="R533" s="17"/>
      <c r="S533" s="368">
        <v>0</v>
      </c>
      <c r="T533" s="351">
        <f t="shared" si="14"/>
        <v>0</v>
      </c>
      <c r="U533" s="54"/>
    </row>
    <row r="534" spans="2:21" ht="17.25" hidden="1" x14ac:dyDescent="0.3">
      <c r="B534" s="16">
        <v>96</v>
      </c>
      <c r="C534" s="107"/>
      <c r="D534" s="111"/>
      <c r="E534" s="72"/>
      <c r="F534" s="108"/>
      <c r="G534" s="68"/>
      <c r="H534" s="68"/>
      <c r="I534" s="108"/>
      <c r="J534" s="68"/>
      <c r="K534" s="108"/>
      <c r="L534" s="108"/>
      <c r="M534" s="367"/>
      <c r="N534" s="17"/>
      <c r="O534" s="17"/>
      <c r="P534" s="17"/>
      <c r="Q534" s="17"/>
      <c r="R534" s="17"/>
      <c r="S534" s="368">
        <v>0</v>
      </c>
      <c r="T534" s="351">
        <f t="shared" si="14"/>
        <v>0</v>
      </c>
      <c r="U534" s="54"/>
    </row>
    <row r="535" spans="2:21" ht="17.25" hidden="1" x14ac:dyDescent="0.3">
      <c r="B535" s="16">
        <v>97</v>
      </c>
      <c r="C535" s="107"/>
      <c r="D535" s="111"/>
      <c r="E535" s="72"/>
      <c r="F535" s="108"/>
      <c r="G535" s="68"/>
      <c r="H535" s="68"/>
      <c r="I535" s="108"/>
      <c r="J535" s="68"/>
      <c r="K535" s="108"/>
      <c r="L535" s="108"/>
      <c r="M535" s="367"/>
      <c r="N535" s="17"/>
      <c r="O535" s="17"/>
      <c r="P535" s="17"/>
      <c r="Q535" s="17"/>
      <c r="R535" s="17"/>
      <c r="S535" s="368">
        <v>0</v>
      </c>
      <c r="T535" s="351">
        <f>F535*S535</f>
        <v>0</v>
      </c>
      <c r="U535" s="54"/>
    </row>
    <row r="536" spans="2:21" ht="17.25" hidden="1" x14ac:dyDescent="0.3">
      <c r="B536" s="16">
        <v>98</v>
      </c>
      <c r="C536" s="107"/>
      <c r="D536" s="110"/>
      <c r="E536" s="72"/>
      <c r="F536" s="108"/>
      <c r="G536" s="68"/>
      <c r="H536" s="68"/>
      <c r="I536" s="108"/>
      <c r="J536" s="68"/>
      <c r="K536" s="108"/>
      <c r="L536" s="108"/>
      <c r="M536" s="367"/>
      <c r="N536" s="17"/>
      <c r="O536" s="17"/>
      <c r="P536" s="17"/>
      <c r="Q536" s="17"/>
      <c r="R536" s="17"/>
      <c r="S536" s="368">
        <v>0</v>
      </c>
      <c r="T536" s="351">
        <f>F536*S536</f>
        <v>0</v>
      </c>
      <c r="U536" s="54"/>
    </row>
    <row r="537" spans="2:21" ht="17.25" hidden="1" x14ac:dyDescent="0.3">
      <c r="B537" s="16">
        <v>99</v>
      </c>
      <c r="C537" s="16"/>
      <c r="D537" s="16"/>
      <c r="E537" s="74"/>
      <c r="F537" s="108"/>
      <c r="G537" s="68"/>
      <c r="H537" s="68"/>
      <c r="I537" s="108"/>
      <c r="J537" s="68"/>
      <c r="K537" s="108"/>
      <c r="L537" s="108"/>
      <c r="M537" s="367"/>
      <c r="N537" s="17"/>
      <c r="O537" s="17"/>
      <c r="P537" s="17"/>
      <c r="Q537" s="17"/>
      <c r="R537" s="17"/>
      <c r="S537" s="368">
        <v>0</v>
      </c>
      <c r="T537" s="351">
        <f>F537*S537</f>
        <v>0</v>
      </c>
      <c r="U537" s="54"/>
    </row>
    <row r="538" spans="2:21" ht="17.25" hidden="1" x14ac:dyDescent="0.3">
      <c r="B538" s="16">
        <v>100</v>
      </c>
      <c r="C538" s="16"/>
      <c r="D538" s="16"/>
      <c r="E538" s="74"/>
      <c r="F538" s="108"/>
      <c r="G538" s="68"/>
      <c r="H538" s="68"/>
      <c r="I538" s="108"/>
      <c r="J538" s="68"/>
      <c r="K538" s="108"/>
      <c r="L538" s="108"/>
      <c r="M538" s="367"/>
      <c r="N538" s="17"/>
      <c r="O538" s="17"/>
      <c r="P538" s="17"/>
      <c r="Q538" s="17"/>
      <c r="R538" s="17"/>
      <c r="S538" s="368">
        <v>0</v>
      </c>
      <c r="T538" s="351">
        <f>F538*S538</f>
        <v>0</v>
      </c>
      <c r="U538" s="54"/>
    </row>
    <row r="539" spans="2:21" ht="34.5" hidden="1" x14ac:dyDescent="0.3">
      <c r="C539" s="16"/>
      <c r="D539" s="81" t="s">
        <v>566</v>
      </c>
      <c r="E539" s="74"/>
      <c r="F539" s="108"/>
      <c r="G539" s="68"/>
      <c r="H539" s="68"/>
      <c r="I539" s="108"/>
      <c r="J539" s="68"/>
      <c r="K539" s="108"/>
      <c r="L539" s="108"/>
      <c r="M539" s="122"/>
      <c r="N539" s="17"/>
      <c r="O539" s="17"/>
      <c r="P539" s="17"/>
      <c r="Q539" s="17"/>
      <c r="R539" s="17"/>
      <c r="S539" s="368">
        <v>0</v>
      </c>
      <c r="T539" s="351">
        <f>F539*S539</f>
        <v>0</v>
      </c>
      <c r="U539" s="54"/>
    </row>
    <row r="540" spans="2:21" ht="17.25" x14ac:dyDescent="0.3">
      <c r="B540" s="82"/>
      <c r="C540" s="82"/>
      <c r="D540" s="82"/>
      <c r="E540" s="86"/>
      <c r="F540" s="113"/>
      <c r="G540" s="113"/>
      <c r="H540" s="113"/>
      <c r="I540" s="113"/>
      <c r="J540" s="113"/>
      <c r="K540" s="113"/>
      <c r="L540" s="113"/>
      <c r="M540" s="113"/>
      <c r="N540" s="82"/>
      <c r="O540" s="82"/>
      <c r="P540" s="106"/>
    </row>
    <row r="541" spans="2:21" ht="40.5" customHeight="1" x14ac:dyDescent="0.3">
      <c r="B541" s="790" t="s">
        <v>467</v>
      </c>
      <c r="C541" s="803"/>
      <c r="D541" s="792" t="s">
        <v>809</v>
      </c>
      <c r="E541" s="792"/>
      <c r="F541" s="792"/>
      <c r="G541" s="792"/>
      <c r="H541" s="792"/>
      <c r="I541" s="792"/>
      <c r="J541" s="792"/>
      <c r="K541" s="792"/>
      <c r="L541" s="792"/>
      <c r="M541" s="792"/>
      <c r="N541" s="792"/>
      <c r="O541" s="792"/>
      <c r="P541" s="236">
        <f>SUM(O544:O644)</f>
        <v>887201916.33000684</v>
      </c>
    </row>
    <row r="542" spans="2:21" ht="16.5" customHeight="1" x14ac:dyDescent="0.3">
      <c r="B542" s="789" t="s">
        <v>35</v>
      </c>
      <c r="C542" s="789" t="s">
        <v>42</v>
      </c>
      <c r="D542" s="789" t="s">
        <v>44</v>
      </c>
      <c r="E542" s="766" t="s">
        <v>100</v>
      </c>
      <c r="F542" s="769" t="s">
        <v>470</v>
      </c>
      <c r="G542" s="769" t="s">
        <v>559</v>
      </c>
      <c r="H542" s="769" t="s">
        <v>468</v>
      </c>
      <c r="I542" s="766" t="s">
        <v>560</v>
      </c>
      <c r="J542" s="766" t="s">
        <v>424</v>
      </c>
      <c r="K542" s="767" t="s">
        <v>45</v>
      </c>
      <c r="L542" s="768"/>
      <c r="M542" s="769" t="s">
        <v>97</v>
      </c>
      <c r="N542" s="789" t="s">
        <v>130</v>
      </c>
      <c r="O542" s="799" t="s">
        <v>422</v>
      </c>
    </row>
    <row r="543" spans="2:21" ht="54.75" customHeight="1" x14ac:dyDescent="0.3">
      <c r="B543" s="789"/>
      <c r="C543" s="789"/>
      <c r="D543" s="789"/>
      <c r="E543" s="766"/>
      <c r="F543" s="770"/>
      <c r="G543" s="770"/>
      <c r="H543" s="770"/>
      <c r="I543" s="766"/>
      <c r="J543" s="766"/>
      <c r="K543" s="132" t="s">
        <v>172</v>
      </c>
      <c r="L543" s="132" t="s">
        <v>101</v>
      </c>
      <c r="M543" s="770"/>
      <c r="N543" s="789"/>
      <c r="O543" s="799"/>
    </row>
    <row r="544" spans="2:21" ht="34.5" x14ac:dyDescent="0.3">
      <c r="B544" s="16">
        <v>1</v>
      </c>
      <c r="C544" s="119" t="s">
        <v>1190</v>
      </c>
      <c r="D544" s="446" t="s">
        <v>805</v>
      </c>
      <c r="E544" s="639" t="s">
        <v>806</v>
      </c>
      <c r="F544" s="68">
        <v>824</v>
      </c>
      <c r="G544" s="68" t="s">
        <v>718</v>
      </c>
      <c r="H544" s="68" t="s">
        <v>782</v>
      </c>
      <c r="I544" s="93" t="s">
        <v>807</v>
      </c>
      <c r="J544" s="68" t="s">
        <v>734</v>
      </c>
      <c r="K544" s="417">
        <v>6.8137369999999997</v>
      </c>
      <c r="L544" s="417">
        <v>9.0431570000000008</v>
      </c>
      <c r="M544" s="94" t="s">
        <v>791</v>
      </c>
      <c r="N544" s="70">
        <v>138889.57</v>
      </c>
      <c r="O544" s="351">
        <f>F544*N544</f>
        <v>114445005.68000001</v>
      </c>
    </row>
    <row r="545" spans="2:15" ht="34.5" x14ac:dyDescent="0.3">
      <c r="B545" s="16">
        <v>2</v>
      </c>
      <c r="C545" s="119" t="s">
        <v>1191</v>
      </c>
      <c r="D545" s="447" t="s">
        <v>796</v>
      </c>
      <c r="E545" s="72" t="s">
        <v>781</v>
      </c>
      <c r="F545" s="108">
        <v>586</v>
      </c>
      <c r="G545" s="68" t="s">
        <v>716</v>
      </c>
      <c r="H545" s="68" t="s">
        <v>797</v>
      </c>
      <c r="I545" s="93" t="s">
        <v>807</v>
      </c>
      <c r="J545" s="68" t="s">
        <v>734</v>
      </c>
      <c r="K545" s="418">
        <v>7.7075760000000004</v>
      </c>
      <c r="L545" s="418">
        <v>8.532451</v>
      </c>
      <c r="M545" s="94" t="s">
        <v>791</v>
      </c>
      <c r="N545" s="70">
        <v>142360.97</v>
      </c>
      <c r="O545" s="351">
        <f t="shared" ref="O545:O608" si="15">F545*N545</f>
        <v>83423528.420000002</v>
      </c>
    </row>
    <row r="546" spans="2:15" ht="34.5" x14ac:dyDescent="0.3">
      <c r="B546" s="16">
        <v>3</v>
      </c>
      <c r="C546" s="119" t="s">
        <v>1192</v>
      </c>
      <c r="D546" s="447" t="s">
        <v>808</v>
      </c>
      <c r="E546" s="112" t="s">
        <v>806</v>
      </c>
      <c r="F546" s="108">
        <v>912</v>
      </c>
      <c r="G546" s="68" t="s">
        <v>718</v>
      </c>
      <c r="H546" s="68" t="s">
        <v>782</v>
      </c>
      <c r="I546" s="93" t="s">
        <v>807</v>
      </c>
      <c r="J546" s="68" t="s">
        <v>734</v>
      </c>
      <c r="K546" s="419">
        <v>6.7507200000000003</v>
      </c>
      <c r="L546" s="419">
        <v>9.2666699999999995</v>
      </c>
      <c r="M546" s="94" t="s">
        <v>791</v>
      </c>
      <c r="N546" s="70">
        <v>147453.335065789</v>
      </c>
      <c r="O546" s="351">
        <f t="shared" si="15"/>
        <v>134477441.57999957</v>
      </c>
    </row>
    <row r="547" spans="2:15" ht="34.5" x14ac:dyDescent="0.3">
      <c r="B547" s="16">
        <v>4</v>
      </c>
      <c r="C547" s="119" t="s">
        <v>1193</v>
      </c>
      <c r="D547" s="447" t="s">
        <v>835</v>
      </c>
      <c r="E547" s="72" t="s">
        <v>825</v>
      </c>
      <c r="F547" s="108">
        <v>1188</v>
      </c>
      <c r="G547" s="639" t="s">
        <v>717</v>
      </c>
      <c r="H547" s="639" t="s">
        <v>797</v>
      </c>
      <c r="I547" s="453" t="s">
        <v>807</v>
      </c>
      <c r="J547" s="639" t="s">
        <v>734</v>
      </c>
      <c r="K547" s="419">
        <v>7.7588900000000001</v>
      </c>
      <c r="L547" s="419">
        <v>8.6638900000000003</v>
      </c>
      <c r="M547" s="643" t="s">
        <v>791</v>
      </c>
      <c r="N547" s="70">
        <v>139726.91021885999</v>
      </c>
      <c r="O547" s="351">
        <f t="shared" si="15"/>
        <v>165995569.34000567</v>
      </c>
    </row>
    <row r="548" spans="2:15" ht="34.5" x14ac:dyDescent="0.3">
      <c r="B548" s="16">
        <v>5</v>
      </c>
      <c r="C548" s="119" t="s">
        <v>1194</v>
      </c>
      <c r="D548" s="719" t="s">
        <v>829</v>
      </c>
      <c r="E548" s="721" t="s">
        <v>806</v>
      </c>
      <c r="F548" s="108">
        <v>903</v>
      </c>
      <c r="G548" s="68" t="s">
        <v>718</v>
      </c>
      <c r="H548" s="68" t="s">
        <v>782</v>
      </c>
      <c r="I548" s="93" t="s">
        <v>807</v>
      </c>
      <c r="J548" s="68" t="s">
        <v>734</v>
      </c>
      <c r="K548" s="430">
        <v>6.9416669999999998</v>
      </c>
      <c r="L548" s="429">
        <v>9.0613889000000007</v>
      </c>
      <c r="M548" s="94" t="s">
        <v>791</v>
      </c>
      <c r="N548" s="70">
        <v>145730.93392027001</v>
      </c>
      <c r="O548" s="351">
        <f t="shared" si="15"/>
        <v>131595033.33000381</v>
      </c>
    </row>
    <row r="549" spans="2:15" ht="34.5" x14ac:dyDescent="0.3">
      <c r="B549" s="16">
        <v>6</v>
      </c>
      <c r="C549" s="119" t="s">
        <v>1195</v>
      </c>
      <c r="D549" s="720" t="s">
        <v>854</v>
      </c>
      <c r="E549" s="721" t="s">
        <v>781</v>
      </c>
      <c r="F549" s="108">
        <v>273</v>
      </c>
      <c r="G549" s="68" t="s">
        <v>716</v>
      </c>
      <c r="H549" s="68" t="s">
        <v>797</v>
      </c>
      <c r="I549" s="93" t="s">
        <v>807</v>
      </c>
      <c r="J549" s="68" t="s">
        <v>734</v>
      </c>
      <c r="K549" s="108">
        <v>7.2035999999999998</v>
      </c>
      <c r="L549" s="108">
        <v>8.7369000000000003</v>
      </c>
      <c r="M549" s="94" t="s">
        <v>791</v>
      </c>
      <c r="N549" s="70">
        <v>245453.35010988999</v>
      </c>
      <c r="O549" s="351">
        <f t="shared" si="15"/>
        <v>67008764.579999968</v>
      </c>
    </row>
    <row r="550" spans="2:15" ht="34.5" x14ac:dyDescent="0.3">
      <c r="B550" s="16">
        <v>7</v>
      </c>
      <c r="C550" s="119" t="s">
        <v>1196</v>
      </c>
      <c r="D550" s="720" t="s">
        <v>824</v>
      </c>
      <c r="E550" s="721" t="s">
        <v>825</v>
      </c>
      <c r="F550" s="108">
        <v>223</v>
      </c>
      <c r="G550" s="68" t="s">
        <v>716</v>
      </c>
      <c r="H550" s="68" t="s">
        <v>782</v>
      </c>
      <c r="I550" s="93" t="s">
        <v>807</v>
      </c>
      <c r="J550" s="68" t="s">
        <v>734</v>
      </c>
      <c r="K550" s="108">
        <v>8.0341000000000005</v>
      </c>
      <c r="L550" s="108">
        <v>8.9328000000000003</v>
      </c>
      <c r="M550" s="94" t="s">
        <v>791</v>
      </c>
      <c r="N550" s="70">
        <v>279360.05470852001</v>
      </c>
      <c r="O550" s="351">
        <f t="shared" si="15"/>
        <v>62297292.199999958</v>
      </c>
    </row>
    <row r="551" spans="2:15" ht="33.75" customHeight="1" x14ac:dyDescent="0.3">
      <c r="B551" s="16">
        <v>8</v>
      </c>
      <c r="C551" s="119" t="s">
        <v>1197</v>
      </c>
      <c r="D551" s="720" t="s">
        <v>853</v>
      </c>
      <c r="E551" s="721" t="s">
        <v>806</v>
      </c>
      <c r="F551" s="108">
        <v>847</v>
      </c>
      <c r="G551" s="68" t="s">
        <v>717</v>
      </c>
      <c r="H551" s="68" t="s">
        <v>782</v>
      </c>
      <c r="I551" s="93" t="s">
        <v>807</v>
      </c>
      <c r="J551" s="68" t="s">
        <v>734</v>
      </c>
      <c r="K551" s="430">
        <v>6.7572219999999996</v>
      </c>
      <c r="L551" s="429">
        <v>9.0336110000000005</v>
      </c>
      <c r="M551" s="94" t="s">
        <v>791</v>
      </c>
      <c r="N551" s="70">
        <v>151073.53152302001</v>
      </c>
      <c r="O551" s="351">
        <f t="shared" si="15"/>
        <v>127959281.19999795</v>
      </c>
    </row>
    <row r="552" spans="2:15" ht="17.25" hidden="1" x14ac:dyDescent="0.3">
      <c r="B552" s="16">
        <v>9</v>
      </c>
      <c r="C552" s="107"/>
      <c r="D552" s="109"/>
      <c r="E552" s="72"/>
      <c r="F552" s="108"/>
      <c r="G552" s="68"/>
      <c r="H552" s="68"/>
      <c r="I552" s="93"/>
      <c r="J552" s="68"/>
      <c r="K552" s="108"/>
      <c r="L552" s="108"/>
      <c r="M552" s="94"/>
      <c r="N552" s="70">
        <v>0</v>
      </c>
      <c r="O552" s="351">
        <f t="shared" si="15"/>
        <v>0</v>
      </c>
    </row>
    <row r="553" spans="2:15" ht="17.25" hidden="1" x14ac:dyDescent="0.3">
      <c r="B553" s="16">
        <v>10</v>
      </c>
      <c r="C553" s="107"/>
      <c r="D553" s="109"/>
      <c r="E553" s="72"/>
      <c r="F553" s="108"/>
      <c r="G553" s="68"/>
      <c r="H553" s="68"/>
      <c r="I553" s="93"/>
      <c r="J553" s="68"/>
      <c r="K553" s="108"/>
      <c r="L553" s="108"/>
      <c r="M553" s="94"/>
      <c r="N553" s="70">
        <v>0</v>
      </c>
      <c r="O553" s="351">
        <f t="shared" si="15"/>
        <v>0</v>
      </c>
    </row>
    <row r="554" spans="2:15" ht="17.25" hidden="1" x14ac:dyDescent="0.3">
      <c r="B554" s="16">
        <v>11</v>
      </c>
      <c r="C554" s="107"/>
      <c r="D554" s="109"/>
      <c r="E554" s="72"/>
      <c r="F554" s="108"/>
      <c r="G554" s="68"/>
      <c r="H554" s="68"/>
      <c r="I554" s="93"/>
      <c r="J554" s="68"/>
      <c r="K554" s="108"/>
      <c r="L554" s="108"/>
      <c r="M554" s="94"/>
      <c r="N554" s="70">
        <v>0</v>
      </c>
      <c r="O554" s="351">
        <f t="shared" si="15"/>
        <v>0</v>
      </c>
    </row>
    <row r="555" spans="2:15" ht="17.25" hidden="1" x14ac:dyDescent="0.3">
      <c r="B555" s="16">
        <v>12</v>
      </c>
      <c r="C555" s="107"/>
      <c r="D555" s="109"/>
      <c r="E555" s="72"/>
      <c r="F555" s="108"/>
      <c r="G555" s="68"/>
      <c r="H555" s="68"/>
      <c r="I555" s="93"/>
      <c r="J555" s="68"/>
      <c r="K555" s="108"/>
      <c r="L555" s="108"/>
      <c r="M555" s="94"/>
      <c r="N555" s="70">
        <v>0</v>
      </c>
      <c r="O555" s="351">
        <f t="shared" si="15"/>
        <v>0</v>
      </c>
    </row>
    <row r="556" spans="2:15" ht="17.25" hidden="1" x14ac:dyDescent="0.3">
      <c r="B556" s="16">
        <v>13</v>
      </c>
      <c r="C556" s="107"/>
      <c r="D556" s="109"/>
      <c r="E556" s="72"/>
      <c r="F556" s="108"/>
      <c r="G556" s="68"/>
      <c r="H556" s="68"/>
      <c r="I556" s="93"/>
      <c r="J556" s="68"/>
      <c r="K556" s="108"/>
      <c r="L556" s="108"/>
      <c r="M556" s="94"/>
      <c r="N556" s="70">
        <v>0</v>
      </c>
      <c r="O556" s="351">
        <f t="shared" si="15"/>
        <v>0</v>
      </c>
    </row>
    <row r="557" spans="2:15" ht="17.25" hidden="1" x14ac:dyDescent="0.3">
      <c r="B557" s="16">
        <v>14</v>
      </c>
      <c r="C557" s="107"/>
      <c r="D557" s="109"/>
      <c r="E557" s="72"/>
      <c r="F557" s="108"/>
      <c r="G557" s="68"/>
      <c r="H557" s="68"/>
      <c r="I557" s="93"/>
      <c r="J557" s="68"/>
      <c r="K557" s="108"/>
      <c r="L557" s="108"/>
      <c r="M557" s="94"/>
      <c r="N557" s="70">
        <v>0</v>
      </c>
      <c r="O557" s="351">
        <f t="shared" si="15"/>
        <v>0</v>
      </c>
    </row>
    <row r="558" spans="2:15" ht="17.25" hidden="1" x14ac:dyDescent="0.3">
      <c r="B558" s="16">
        <v>15</v>
      </c>
      <c r="C558" s="107"/>
      <c r="D558" s="109"/>
      <c r="E558" s="72"/>
      <c r="F558" s="108"/>
      <c r="G558" s="68"/>
      <c r="H558" s="68"/>
      <c r="I558" s="93"/>
      <c r="J558" s="68"/>
      <c r="K558" s="108"/>
      <c r="L558" s="108"/>
      <c r="M558" s="94"/>
      <c r="N558" s="70">
        <v>0</v>
      </c>
      <c r="O558" s="351">
        <f t="shared" si="15"/>
        <v>0</v>
      </c>
    </row>
    <row r="559" spans="2:15" ht="17.25" hidden="1" x14ac:dyDescent="0.3">
      <c r="B559" s="16">
        <v>16</v>
      </c>
      <c r="C559" s="107"/>
      <c r="D559" s="109"/>
      <c r="E559" s="72"/>
      <c r="F559" s="108"/>
      <c r="G559" s="68"/>
      <c r="H559" s="68"/>
      <c r="I559" s="93"/>
      <c r="J559" s="68"/>
      <c r="K559" s="108"/>
      <c r="L559" s="108"/>
      <c r="M559" s="94"/>
      <c r="N559" s="70">
        <v>0</v>
      </c>
      <c r="O559" s="351">
        <f t="shared" si="15"/>
        <v>0</v>
      </c>
    </row>
    <row r="560" spans="2:15" ht="17.25" hidden="1" x14ac:dyDescent="0.3">
      <c r="B560" s="16">
        <v>17</v>
      </c>
      <c r="C560" s="107"/>
      <c r="D560" s="109"/>
      <c r="E560" s="72"/>
      <c r="F560" s="108"/>
      <c r="G560" s="68"/>
      <c r="H560" s="68"/>
      <c r="I560" s="93"/>
      <c r="J560" s="68"/>
      <c r="K560" s="108"/>
      <c r="L560" s="108"/>
      <c r="M560" s="94"/>
      <c r="N560" s="70">
        <v>0</v>
      </c>
      <c r="O560" s="351">
        <f t="shared" si="15"/>
        <v>0</v>
      </c>
    </row>
    <row r="561" spans="2:15" ht="17.25" hidden="1" x14ac:dyDescent="0.3">
      <c r="B561" s="16">
        <v>18</v>
      </c>
      <c r="C561" s="107"/>
      <c r="D561" s="109"/>
      <c r="E561" s="72"/>
      <c r="F561" s="108"/>
      <c r="G561" s="68"/>
      <c r="H561" s="68"/>
      <c r="I561" s="93"/>
      <c r="J561" s="68"/>
      <c r="K561" s="108"/>
      <c r="L561" s="108"/>
      <c r="M561" s="94"/>
      <c r="N561" s="70">
        <v>0</v>
      </c>
      <c r="O561" s="351">
        <f t="shared" si="15"/>
        <v>0</v>
      </c>
    </row>
    <row r="562" spans="2:15" ht="17.25" hidden="1" x14ac:dyDescent="0.3">
      <c r="B562" s="16">
        <v>19</v>
      </c>
      <c r="C562" s="107"/>
      <c r="D562" s="109"/>
      <c r="E562" s="72"/>
      <c r="F562" s="108"/>
      <c r="G562" s="68"/>
      <c r="H562" s="68"/>
      <c r="I562" s="93"/>
      <c r="J562" s="68"/>
      <c r="K562" s="108"/>
      <c r="L562" s="108"/>
      <c r="M562" s="94"/>
      <c r="N562" s="70">
        <v>0</v>
      </c>
      <c r="O562" s="351">
        <f t="shared" si="15"/>
        <v>0</v>
      </c>
    </row>
    <row r="563" spans="2:15" ht="17.25" hidden="1" x14ac:dyDescent="0.3">
      <c r="B563" s="16">
        <v>20</v>
      </c>
      <c r="C563" s="107"/>
      <c r="D563" s="109"/>
      <c r="E563" s="72"/>
      <c r="F563" s="108"/>
      <c r="G563" s="68"/>
      <c r="H563" s="68"/>
      <c r="I563" s="93"/>
      <c r="J563" s="68"/>
      <c r="K563" s="108"/>
      <c r="L563" s="108"/>
      <c r="M563" s="94"/>
      <c r="N563" s="70">
        <v>0</v>
      </c>
      <c r="O563" s="351">
        <f t="shared" si="15"/>
        <v>0</v>
      </c>
    </row>
    <row r="564" spans="2:15" ht="17.25" hidden="1" x14ac:dyDescent="0.3">
      <c r="B564" s="16">
        <v>21</v>
      </c>
      <c r="C564" s="107"/>
      <c r="D564" s="109"/>
      <c r="E564" s="72"/>
      <c r="F564" s="108"/>
      <c r="G564" s="68"/>
      <c r="H564" s="68"/>
      <c r="I564" s="93"/>
      <c r="J564" s="68"/>
      <c r="K564" s="108"/>
      <c r="L564" s="108"/>
      <c r="M564" s="94"/>
      <c r="N564" s="70">
        <v>0</v>
      </c>
      <c r="O564" s="351">
        <f t="shared" si="15"/>
        <v>0</v>
      </c>
    </row>
    <row r="565" spans="2:15" ht="17.25" hidden="1" x14ac:dyDescent="0.3">
      <c r="B565" s="16">
        <v>22</v>
      </c>
      <c r="C565" s="107"/>
      <c r="D565" s="109"/>
      <c r="E565" s="72"/>
      <c r="F565" s="108"/>
      <c r="G565" s="68"/>
      <c r="H565" s="68"/>
      <c r="I565" s="93"/>
      <c r="J565" s="68"/>
      <c r="K565" s="108"/>
      <c r="L565" s="108"/>
      <c r="M565" s="94"/>
      <c r="N565" s="70">
        <v>0</v>
      </c>
      <c r="O565" s="351">
        <f t="shared" si="15"/>
        <v>0</v>
      </c>
    </row>
    <row r="566" spans="2:15" ht="17.25" hidden="1" x14ac:dyDescent="0.3">
      <c r="B566" s="16">
        <v>23</v>
      </c>
      <c r="C566" s="107"/>
      <c r="D566" s="109"/>
      <c r="E566" s="72"/>
      <c r="F566" s="108"/>
      <c r="G566" s="68"/>
      <c r="H566" s="68"/>
      <c r="I566" s="93"/>
      <c r="J566" s="68"/>
      <c r="K566" s="108"/>
      <c r="L566" s="108"/>
      <c r="M566" s="94"/>
      <c r="N566" s="70">
        <v>0</v>
      </c>
      <c r="O566" s="351">
        <f t="shared" si="15"/>
        <v>0</v>
      </c>
    </row>
    <row r="567" spans="2:15" ht="17.25" hidden="1" x14ac:dyDescent="0.3">
      <c r="B567" s="16">
        <v>24</v>
      </c>
      <c r="C567" s="107"/>
      <c r="D567" s="109"/>
      <c r="E567" s="72"/>
      <c r="F567" s="108"/>
      <c r="G567" s="68"/>
      <c r="H567" s="68"/>
      <c r="I567" s="93"/>
      <c r="J567" s="68"/>
      <c r="K567" s="108"/>
      <c r="L567" s="108"/>
      <c r="M567" s="94"/>
      <c r="N567" s="70">
        <v>0</v>
      </c>
      <c r="O567" s="351">
        <f t="shared" si="15"/>
        <v>0</v>
      </c>
    </row>
    <row r="568" spans="2:15" ht="17.25" hidden="1" x14ac:dyDescent="0.3">
      <c r="B568" s="16">
        <v>25</v>
      </c>
      <c r="C568" s="107"/>
      <c r="D568" s="109"/>
      <c r="E568" s="72"/>
      <c r="F568" s="108"/>
      <c r="G568" s="68"/>
      <c r="H568" s="68"/>
      <c r="I568" s="93"/>
      <c r="J568" s="68"/>
      <c r="K568" s="108"/>
      <c r="L568" s="108"/>
      <c r="M568" s="94"/>
      <c r="N568" s="70">
        <v>0</v>
      </c>
      <c r="O568" s="351">
        <f t="shared" si="15"/>
        <v>0</v>
      </c>
    </row>
    <row r="569" spans="2:15" ht="17.25" hidden="1" x14ac:dyDescent="0.3">
      <c r="B569" s="16">
        <v>26</v>
      </c>
      <c r="C569" s="107"/>
      <c r="D569" s="109"/>
      <c r="E569" s="72"/>
      <c r="F569" s="108"/>
      <c r="G569" s="68"/>
      <c r="H569" s="68"/>
      <c r="I569" s="93"/>
      <c r="J569" s="68"/>
      <c r="K569" s="108"/>
      <c r="L569" s="108"/>
      <c r="M569" s="94"/>
      <c r="N569" s="70">
        <v>0</v>
      </c>
      <c r="O569" s="351">
        <f t="shared" si="15"/>
        <v>0</v>
      </c>
    </row>
    <row r="570" spans="2:15" ht="17.25" hidden="1" x14ac:dyDescent="0.3">
      <c r="B570" s="16">
        <v>27</v>
      </c>
      <c r="C570" s="107"/>
      <c r="D570" s="109"/>
      <c r="E570" s="72"/>
      <c r="F570" s="108"/>
      <c r="G570" s="68"/>
      <c r="H570" s="68"/>
      <c r="I570" s="93"/>
      <c r="J570" s="68"/>
      <c r="K570" s="108"/>
      <c r="L570" s="108"/>
      <c r="M570" s="94"/>
      <c r="N570" s="70">
        <v>0</v>
      </c>
      <c r="O570" s="351">
        <f t="shared" si="15"/>
        <v>0</v>
      </c>
    </row>
    <row r="571" spans="2:15" ht="17.25" hidden="1" x14ac:dyDescent="0.3">
      <c r="B571" s="16">
        <v>28</v>
      </c>
      <c r="C571" s="107"/>
      <c r="D571" s="109"/>
      <c r="E571" s="72"/>
      <c r="F571" s="108"/>
      <c r="G571" s="68"/>
      <c r="H571" s="68"/>
      <c r="I571" s="93"/>
      <c r="J571" s="68"/>
      <c r="K571" s="108"/>
      <c r="L571" s="108"/>
      <c r="M571" s="94"/>
      <c r="N571" s="70">
        <v>0</v>
      </c>
      <c r="O571" s="351">
        <f t="shared" si="15"/>
        <v>0</v>
      </c>
    </row>
    <row r="572" spans="2:15" ht="17.25" hidden="1" x14ac:dyDescent="0.3">
      <c r="B572" s="16">
        <v>29</v>
      </c>
      <c r="C572" s="107"/>
      <c r="D572" s="109"/>
      <c r="E572" s="72"/>
      <c r="F572" s="108"/>
      <c r="G572" s="68"/>
      <c r="H572" s="68"/>
      <c r="I572" s="93"/>
      <c r="J572" s="68"/>
      <c r="K572" s="108"/>
      <c r="L572" s="108"/>
      <c r="M572" s="94"/>
      <c r="N572" s="70">
        <v>0</v>
      </c>
      <c r="O572" s="351">
        <f t="shared" si="15"/>
        <v>0</v>
      </c>
    </row>
    <row r="573" spans="2:15" ht="17.25" hidden="1" x14ac:dyDescent="0.3">
      <c r="B573" s="16">
        <v>30</v>
      </c>
      <c r="C573" s="107"/>
      <c r="D573" s="109"/>
      <c r="E573" s="72"/>
      <c r="F573" s="108"/>
      <c r="G573" s="68"/>
      <c r="H573" s="68"/>
      <c r="I573" s="93"/>
      <c r="J573" s="68"/>
      <c r="K573" s="108"/>
      <c r="L573" s="108"/>
      <c r="M573" s="94"/>
      <c r="N573" s="70">
        <v>0</v>
      </c>
      <c r="O573" s="351">
        <f t="shared" si="15"/>
        <v>0</v>
      </c>
    </row>
    <row r="574" spans="2:15" ht="17.25" hidden="1" x14ac:dyDescent="0.3">
      <c r="B574" s="16">
        <v>31</v>
      </c>
      <c r="C574" s="107"/>
      <c r="D574" s="109"/>
      <c r="E574" s="72"/>
      <c r="F574" s="108"/>
      <c r="G574" s="68"/>
      <c r="H574" s="68"/>
      <c r="I574" s="93"/>
      <c r="J574" s="68"/>
      <c r="K574" s="108"/>
      <c r="L574" s="108"/>
      <c r="M574" s="94"/>
      <c r="N574" s="70">
        <v>0</v>
      </c>
      <c r="O574" s="351">
        <f t="shared" si="15"/>
        <v>0</v>
      </c>
    </row>
    <row r="575" spans="2:15" ht="17.25" hidden="1" x14ac:dyDescent="0.3">
      <c r="B575" s="16">
        <v>32</v>
      </c>
      <c r="C575" s="107"/>
      <c r="D575" s="109"/>
      <c r="E575" s="72"/>
      <c r="F575" s="108"/>
      <c r="G575" s="68"/>
      <c r="H575" s="68"/>
      <c r="I575" s="93"/>
      <c r="J575" s="68"/>
      <c r="K575" s="108"/>
      <c r="L575" s="108"/>
      <c r="M575" s="94"/>
      <c r="N575" s="70">
        <v>0</v>
      </c>
      <c r="O575" s="351">
        <f t="shared" si="15"/>
        <v>0</v>
      </c>
    </row>
    <row r="576" spans="2:15" ht="17.25" hidden="1" x14ac:dyDescent="0.3">
      <c r="B576" s="16">
        <v>33</v>
      </c>
      <c r="C576" s="107"/>
      <c r="D576" s="109"/>
      <c r="E576" s="72"/>
      <c r="F576" s="108"/>
      <c r="G576" s="68"/>
      <c r="H576" s="68"/>
      <c r="I576" s="93"/>
      <c r="J576" s="68"/>
      <c r="K576" s="108"/>
      <c r="L576" s="108"/>
      <c r="M576" s="94"/>
      <c r="N576" s="70">
        <v>0</v>
      </c>
      <c r="O576" s="351">
        <f t="shared" si="15"/>
        <v>0</v>
      </c>
    </row>
    <row r="577" spans="2:15" ht="17.25" hidden="1" x14ac:dyDescent="0.3">
      <c r="B577" s="16">
        <v>34</v>
      </c>
      <c r="C577" s="107"/>
      <c r="D577" s="109"/>
      <c r="E577" s="72"/>
      <c r="F577" s="108"/>
      <c r="G577" s="68"/>
      <c r="H577" s="68"/>
      <c r="I577" s="93"/>
      <c r="J577" s="68"/>
      <c r="K577" s="108"/>
      <c r="L577" s="108"/>
      <c r="M577" s="94"/>
      <c r="N577" s="70">
        <v>0</v>
      </c>
      <c r="O577" s="351">
        <f t="shared" si="15"/>
        <v>0</v>
      </c>
    </row>
    <row r="578" spans="2:15" ht="17.25" hidden="1" x14ac:dyDescent="0.3">
      <c r="B578" s="16">
        <v>35</v>
      </c>
      <c r="C578" s="107"/>
      <c r="D578" s="109"/>
      <c r="E578" s="72"/>
      <c r="F578" s="108"/>
      <c r="G578" s="68"/>
      <c r="H578" s="68"/>
      <c r="I578" s="93"/>
      <c r="J578" s="68"/>
      <c r="K578" s="108"/>
      <c r="L578" s="108"/>
      <c r="M578" s="94"/>
      <c r="N578" s="70">
        <v>0</v>
      </c>
      <c r="O578" s="351">
        <f t="shared" si="15"/>
        <v>0</v>
      </c>
    </row>
    <row r="579" spans="2:15" ht="17.25" hidden="1" x14ac:dyDescent="0.3">
      <c r="B579" s="16">
        <v>36</v>
      </c>
      <c r="C579" s="107"/>
      <c r="D579" s="109"/>
      <c r="E579" s="72"/>
      <c r="F579" s="108"/>
      <c r="G579" s="68"/>
      <c r="H579" s="68"/>
      <c r="I579" s="93"/>
      <c r="J579" s="68"/>
      <c r="K579" s="108"/>
      <c r="L579" s="108"/>
      <c r="M579" s="94"/>
      <c r="N579" s="70">
        <v>0</v>
      </c>
      <c r="O579" s="351">
        <f t="shared" si="15"/>
        <v>0</v>
      </c>
    </row>
    <row r="580" spans="2:15" ht="17.25" hidden="1" x14ac:dyDescent="0.3">
      <c r="B580" s="16">
        <v>37</v>
      </c>
      <c r="C580" s="107"/>
      <c r="D580" s="109"/>
      <c r="E580" s="72"/>
      <c r="F580" s="108"/>
      <c r="G580" s="68"/>
      <c r="H580" s="68"/>
      <c r="I580" s="93"/>
      <c r="J580" s="68"/>
      <c r="K580" s="108"/>
      <c r="L580" s="108"/>
      <c r="M580" s="94"/>
      <c r="N580" s="70">
        <v>0</v>
      </c>
      <c r="O580" s="351">
        <f t="shared" si="15"/>
        <v>0</v>
      </c>
    </row>
    <row r="581" spans="2:15" ht="17.25" hidden="1" x14ac:dyDescent="0.3">
      <c r="B581" s="16">
        <v>38</v>
      </c>
      <c r="C581" s="107"/>
      <c r="D581" s="109"/>
      <c r="E581" s="72"/>
      <c r="F581" s="108"/>
      <c r="G581" s="68"/>
      <c r="H581" s="68"/>
      <c r="I581" s="93"/>
      <c r="J581" s="68"/>
      <c r="K581" s="108"/>
      <c r="L581" s="108"/>
      <c r="M581" s="94"/>
      <c r="N581" s="70">
        <v>0</v>
      </c>
      <c r="O581" s="351">
        <f t="shared" si="15"/>
        <v>0</v>
      </c>
    </row>
    <row r="582" spans="2:15" ht="17.25" hidden="1" x14ac:dyDescent="0.3">
      <c r="B582" s="16">
        <v>39</v>
      </c>
      <c r="C582" s="107"/>
      <c r="D582" s="109"/>
      <c r="E582" s="72"/>
      <c r="F582" s="108"/>
      <c r="G582" s="68"/>
      <c r="H582" s="68"/>
      <c r="I582" s="93"/>
      <c r="J582" s="68"/>
      <c r="K582" s="108"/>
      <c r="L582" s="108"/>
      <c r="M582" s="94"/>
      <c r="N582" s="70">
        <v>0</v>
      </c>
      <c r="O582" s="351">
        <f t="shared" si="15"/>
        <v>0</v>
      </c>
    </row>
    <row r="583" spans="2:15" ht="17.25" hidden="1" x14ac:dyDescent="0.3">
      <c r="B583" s="16">
        <v>40</v>
      </c>
      <c r="C583" s="107"/>
      <c r="D583" s="109"/>
      <c r="E583" s="72"/>
      <c r="F583" s="108"/>
      <c r="G583" s="68"/>
      <c r="H583" s="68"/>
      <c r="I583" s="93"/>
      <c r="J583" s="68"/>
      <c r="K583" s="108"/>
      <c r="L583" s="108"/>
      <c r="M583" s="94"/>
      <c r="N583" s="70">
        <v>0</v>
      </c>
      <c r="O583" s="351">
        <f t="shared" si="15"/>
        <v>0</v>
      </c>
    </row>
    <row r="584" spans="2:15" ht="17.25" hidden="1" x14ac:dyDescent="0.3">
      <c r="B584" s="16">
        <v>41</v>
      </c>
      <c r="C584" s="107"/>
      <c r="D584" s="109"/>
      <c r="E584" s="72"/>
      <c r="F584" s="108"/>
      <c r="G584" s="68"/>
      <c r="H584" s="68"/>
      <c r="I584" s="93"/>
      <c r="J584" s="68"/>
      <c r="K584" s="108"/>
      <c r="L584" s="108"/>
      <c r="M584" s="94"/>
      <c r="N584" s="70">
        <v>0</v>
      </c>
      <c r="O584" s="351">
        <f t="shared" si="15"/>
        <v>0</v>
      </c>
    </row>
    <row r="585" spans="2:15" ht="17.25" hidden="1" x14ac:dyDescent="0.3">
      <c r="B585" s="16">
        <v>42</v>
      </c>
      <c r="C585" s="107"/>
      <c r="D585" s="109"/>
      <c r="E585" s="72"/>
      <c r="F585" s="108"/>
      <c r="G585" s="68"/>
      <c r="H585" s="68"/>
      <c r="I585" s="93"/>
      <c r="J585" s="68"/>
      <c r="K585" s="108"/>
      <c r="L585" s="108"/>
      <c r="M585" s="94"/>
      <c r="N585" s="70">
        <v>0</v>
      </c>
      <c r="O585" s="351">
        <f t="shared" si="15"/>
        <v>0</v>
      </c>
    </row>
    <row r="586" spans="2:15" ht="17.25" hidden="1" x14ac:dyDescent="0.3">
      <c r="B586" s="16">
        <v>43</v>
      </c>
      <c r="C586" s="107"/>
      <c r="D586" s="109"/>
      <c r="E586" s="72"/>
      <c r="F586" s="108"/>
      <c r="G586" s="68"/>
      <c r="H586" s="68"/>
      <c r="I586" s="93"/>
      <c r="J586" s="68"/>
      <c r="K586" s="108"/>
      <c r="L586" s="108"/>
      <c r="M586" s="94"/>
      <c r="N586" s="70">
        <v>0</v>
      </c>
      <c r="O586" s="351">
        <f t="shared" si="15"/>
        <v>0</v>
      </c>
    </row>
    <row r="587" spans="2:15" ht="17.25" hidden="1" x14ac:dyDescent="0.3">
      <c r="B587" s="16">
        <v>44</v>
      </c>
      <c r="C587" s="107"/>
      <c r="D587" s="109"/>
      <c r="E587" s="72"/>
      <c r="F587" s="108"/>
      <c r="G587" s="68"/>
      <c r="H587" s="68"/>
      <c r="I587" s="93"/>
      <c r="J587" s="68"/>
      <c r="K587" s="108"/>
      <c r="L587" s="108"/>
      <c r="M587" s="94"/>
      <c r="N587" s="70">
        <v>0</v>
      </c>
      <c r="O587" s="351">
        <f t="shared" si="15"/>
        <v>0</v>
      </c>
    </row>
    <row r="588" spans="2:15" ht="17.25" hidden="1" x14ac:dyDescent="0.3">
      <c r="B588" s="16">
        <v>45</v>
      </c>
      <c r="C588" s="107"/>
      <c r="D588" s="109"/>
      <c r="E588" s="72"/>
      <c r="F588" s="108"/>
      <c r="G588" s="68"/>
      <c r="H588" s="68"/>
      <c r="I588" s="93"/>
      <c r="J588" s="68"/>
      <c r="K588" s="108"/>
      <c r="L588" s="108"/>
      <c r="M588" s="94"/>
      <c r="N588" s="70">
        <v>0</v>
      </c>
      <c r="O588" s="351">
        <f t="shared" si="15"/>
        <v>0</v>
      </c>
    </row>
    <row r="589" spans="2:15" ht="17.25" hidden="1" x14ac:dyDescent="0.3">
      <c r="B589" s="16">
        <v>46</v>
      </c>
      <c r="C589" s="107"/>
      <c r="D589" s="109"/>
      <c r="E589" s="72"/>
      <c r="F589" s="108"/>
      <c r="G589" s="68"/>
      <c r="H589" s="68"/>
      <c r="I589" s="93"/>
      <c r="J589" s="68"/>
      <c r="K589" s="108"/>
      <c r="L589" s="108"/>
      <c r="M589" s="94"/>
      <c r="N589" s="70">
        <v>0</v>
      </c>
      <c r="O589" s="351">
        <f t="shared" si="15"/>
        <v>0</v>
      </c>
    </row>
    <row r="590" spans="2:15" ht="17.25" hidden="1" x14ac:dyDescent="0.3">
      <c r="B590" s="16">
        <v>47</v>
      </c>
      <c r="C590" s="107"/>
      <c r="D590" s="109"/>
      <c r="E590" s="72"/>
      <c r="F590" s="108"/>
      <c r="G590" s="68"/>
      <c r="H590" s="68"/>
      <c r="I590" s="93"/>
      <c r="J590" s="68"/>
      <c r="K590" s="108"/>
      <c r="L590" s="108"/>
      <c r="M590" s="94"/>
      <c r="N590" s="70">
        <v>0</v>
      </c>
      <c r="O590" s="351">
        <f t="shared" si="15"/>
        <v>0</v>
      </c>
    </row>
    <row r="591" spans="2:15" ht="17.25" hidden="1" x14ac:dyDescent="0.3">
      <c r="B591" s="16">
        <v>48</v>
      </c>
      <c r="C591" s="107"/>
      <c r="D591" s="109"/>
      <c r="E591" s="72"/>
      <c r="F591" s="108"/>
      <c r="G591" s="68"/>
      <c r="H591" s="68"/>
      <c r="I591" s="93"/>
      <c r="J591" s="68"/>
      <c r="K591" s="108"/>
      <c r="L591" s="108"/>
      <c r="M591" s="94"/>
      <c r="N591" s="70">
        <v>0</v>
      </c>
      <c r="O591" s="351">
        <f t="shared" si="15"/>
        <v>0</v>
      </c>
    </row>
    <row r="592" spans="2:15" ht="17.25" hidden="1" x14ac:dyDescent="0.3">
      <c r="B592" s="16">
        <v>49</v>
      </c>
      <c r="C592" s="107"/>
      <c r="D592" s="109"/>
      <c r="E592" s="72"/>
      <c r="F592" s="108"/>
      <c r="G592" s="68"/>
      <c r="H592" s="68"/>
      <c r="I592" s="93"/>
      <c r="J592" s="68"/>
      <c r="K592" s="108"/>
      <c r="L592" s="108"/>
      <c r="M592" s="94"/>
      <c r="N592" s="70">
        <v>0</v>
      </c>
      <c r="O592" s="351">
        <f t="shared" si="15"/>
        <v>0</v>
      </c>
    </row>
    <row r="593" spans="2:15" ht="17.25" hidden="1" x14ac:dyDescent="0.3">
      <c r="B593" s="16">
        <v>50</v>
      </c>
      <c r="C593" s="107"/>
      <c r="D593" s="109"/>
      <c r="E593" s="72"/>
      <c r="F593" s="108"/>
      <c r="G593" s="68"/>
      <c r="H593" s="68"/>
      <c r="I593" s="93"/>
      <c r="J593" s="68"/>
      <c r="K593" s="108"/>
      <c r="L593" s="108"/>
      <c r="M593" s="94"/>
      <c r="N593" s="70">
        <v>0</v>
      </c>
      <c r="O593" s="351">
        <f t="shared" si="15"/>
        <v>0</v>
      </c>
    </row>
    <row r="594" spans="2:15" ht="17.25" hidden="1" x14ac:dyDescent="0.3">
      <c r="B594" s="16">
        <v>51</v>
      </c>
      <c r="C594" s="107"/>
      <c r="D594" s="109"/>
      <c r="E594" s="72"/>
      <c r="F594" s="108"/>
      <c r="G594" s="68"/>
      <c r="H594" s="68"/>
      <c r="I594" s="93"/>
      <c r="J594" s="68"/>
      <c r="K594" s="108"/>
      <c r="L594" s="108"/>
      <c r="M594" s="94"/>
      <c r="N594" s="70">
        <v>0</v>
      </c>
      <c r="O594" s="351">
        <f t="shared" si="15"/>
        <v>0</v>
      </c>
    </row>
    <row r="595" spans="2:15" ht="17.25" hidden="1" x14ac:dyDescent="0.3">
      <c r="B595" s="16">
        <v>52</v>
      </c>
      <c r="C595" s="107"/>
      <c r="D595" s="109"/>
      <c r="E595" s="72"/>
      <c r="F595" s="108"/>
      <c r="G595" s="68"/>
      <c r="H595" s="68"/>
      <c r="I595" s="93"/>
      <c r="J595" s="68"/>
      <c r="K595" s="108"/>
      <c r="L595" s="108"/>
      <c r="M595" s="94"/>
      <c r="N595" s="70">
        <v>0</v>
      </c>
      <c r="O595" s="351">
        <f t="shared" si="15"/>
        <v>0</v>
      </c>
    </row>
    <row r="596" spans="2:15" ht="17.25" hidden="1" x14ac:dyDescent="0.3">
      <c r="B596" s="16">
        <v>53</v>
      </c>
      <c r="C596" s="107"/>
      <c r="D596" s="109"/>
      <c r="E596" s="72"/>
      <c r="F596" s="108"/>
      <c r="G596" s="68"/>
      <c r="H596" s="68"/>
      <c r="I596" s="93"/>
      <c r="J596" s="68"/>
      <c r="K596" s="108"/>
      <c r="L596" s="108"/>
      <c r="M596" s="94"/>
      <c r="N596" s="70">
        <v>0</v>
      </c>
      <c r="O596" s="351">
        <f t="shared" si="15"/>
        <v>0</v>
      </c>
    </row>
    <row r="597" spans="2:15" ht="17.25" hidden="1" x14ac:dyDescent="0.3">
      <c r="B597" s="16">
        <v>54</v>
      </c>
      <c r="C597" s="107"/>
      <c r="D597" s="109"/>
      <c r="E597" s="72"/>
      <c r="F597" s="108"/>
      <c r="G597" s="68"/>
      <c r="H597" s="68"/>
      <c r="I597" s="93"/>
      <c r="J597" s="68"/>
      <c r="K597" s="108"/>
      <c r="L597" s="108"/>
      <c r="M597" s="94"/>
      <c r="N597" s="70">
        <v>0</v>
      </c>
      <c r="O597" s="351">
        <f t="shared" si="15"/>
        <v>0</v>
      </c>
    </row>
    <row r="598" spans="2:15" ht="17.25" hidden="1" x14ac:dyDescent="0.3">
      <c r="B598" s="16">
        <v>55</v>
      </c>
      <c r="C598" s="107"/>
      <c r="D598" s="109"/>
      <c r="E598" s="72"/>
      <c r="F598" s="108"/>
      <c r="G598" s="68"/>
      <c r="H598" s="68"/>
      <c r="I598" s="93"/>
      <c r="J598" s="68"/>
      <c r="K598" s="108"/>
      <c r="L598" s="108"/>
      <c r="M598" s="94"/>
      <c r="N598" s="70">
        <v>0</v>
      </c>
      <c r="O598" s="351">
        <f t="shared" si="15"/>
        <v>0</v>
      </c>
    </row>
    <row r="599" spans="2:15" ht="17.25" hidden="1" x14ac:dyDescent="0.3">
      <c r="B599" s="16">
        <v>56</v>
      </c>
      <c r="C599" s="107"/>
      <c r="D599" s="109"/>
      <c r="E599" s="72"/>
      <c r="F599" s="108"/>
      <c r="G599" s="68"/>
      <c r="H599" s="68"/>
      <c r="I599" s="93"/>
      <c r="J599" s="68"/>
      <c r="K599" s="108"/>
      <c r="L599" s="108"/>
      <c r="M599" s="94"/>
      <c r="N599" s="70">
        <v>0</v>
      </c>
      <c r="O599" s="351">
        <f t="shared" si="15"/>
        <v>0</v>
      </c>
    </row>
    <row r="600" spans="2:15" ht="17.25" hidden="1" x14ac:dyDescent="0.3">
      <c r="B600" s="16">
        <v>57</v>
      </c>
      <c r="C600" s="107"/>
      <c r="D600" s="109"/>
      <c r="E600" s="72"/>
      <c r="F600" s="108"/>
      <c r="G600" s="68"/>
      <c r="H600" s="68"/>
      <c r="I600" s="93"/>
      <c r="J600" s="68"/>
      <c r="K600" s="108"/>
      <c r="L600" s="108"/>
      <c r="M600" s="94"/>
      <c r="N600" s="70">
        <v>0</v>
      </c>
      <c r="O600" s="351">
        <f t="shared" si="15"/>
        <v>0</v>
      </c>
    </row>
    <row r="601" spans="2:15" ht="17.25" hidden="1" x14ac:dyDescent="0.3">
      <c r="B601" s="16">
        <v>58</v>
      </c>
      <c r="C601" s="107"/>
      <c r="D601" s="109"/>
      <c r="E601" s="72"/>
      <c r="F601" s="108"/>
      <c r="G601" s="68"/>
      <c r="H601" s="68"/>
      <c r="I601" s="93"/>
      <c r="J601" s="68"/>
      <c r="K601" s="108"/>
      <c r="L601" s="108"/>
      <c r="M601" s="94"/>
      <c r="N601" s="70">
        <v>0</v>
      </c>
      <c r="O601" s="351">
        <f t="shared" si="15"/>
        <v>0</v>
      </c>
    </row>
    <row r="602" spans="2:15" ht="17.25" hidden="1" x14ac:dyDescent="0.3">
      <c r="B602" s="16">
        <v>59</v>
      </c>
      <c r="C602" s="107"/>
      <c r="D602" s="109"/>
      <c r="E602" s="72"/>
      <c r="F602" s="108"/>
      <c r="G602" s="68"/>
      <c r="H602" s="68"/>
      <c r="I602" s="93"/>
      <c r="J602" s="68"/>
      <c r="K602" s="108"/>
      <c r="L602" s="108"/>
      <c r="M602" s="94"/>
      <c r="N602" s="70">
        <v>0</v>
      </c>
      <c r="O602" s="351">
        <f t="shared" si="15"/>
        <v>0</v>
      </c>
    </row>
    <row r="603" spans="2:15" ht="17.25" hidden="1" x14ac:dyDescent="0.3">
      <c r="B603" s="16">
        <v>60</v>
      </c>
      <c r="C603" s="107"/>
      <c r="D603" s="109"/>
      <c r="E603" s="72"/>
      <c r="F603" s="108"/>
      <c r="G603" s="68"/>
      <c r="H603" s="68"/>
      <c r="I603" s="93"/>
      <c r="J603" s="68"/>
      <c r="K603" s="108"/>
      <c r="L603" s="108"/>
      <c r="M603" s="94"/>
      <c r="N603" s="70">
        <v>0</v>
      </c>
      <c r="O603" s="351">
        <f t="shared" si="15"/>
        <v>0</v>
      </c>
    </row>
    <row r="604" spans="2:15" ht="17.25" hidden="1" x14ac:dyDescent="0.3">
      <c r="B604" s="16">
        <v>61</v>
      </c>
      <c r="C604" s="107"/>
      <c r="D604" s="109"/>
      <c r="E604" s="72"/>
      <c r="F604" s="108"/>
      <c r="G604" s="68"/>
      <c r="H604" s="68"/>
      <c r="I604" s="93"/>
      <c r="J604" s="68"/>
      <c r="K604" s="108"/>
      <c r="L604" s="108"/>
      <c r="M604" s="94"/>
      <c r="N604" s="70">
        <v>0</v>
      </c>
      <c r="O604" s="351">
        <f t="shared" si="15"/>
        <v>0</v>
      </c>
    </row>
    <row r="605" spans="2:15" ht="17.25" hidden="1" x14ac:dyDescent="0.3">
      <c r="B605" s="16">
        <v>62</v>
      </c>
      <c r="C605" s="107"/>
      <c r="D605" s="109"/>
      <c r="E605" s="72"/>
      <c r="F605" s="108"/>
      <c r="G605" s="68"/>
      <c r="H605" s="68"/>
      <c r="I605" s="93"/>
      <c r="J605" s="68"/>
      <c r="K605" s="108"/>
      <c r="L605" s="108"/>
      <c r="M605" s="94"/>
      <c r="N605" s="70">
        <v>0</v>
      </c>
      <c r="O605" s="351">
        <f t="shared" si="15"/>
        <v>0</v>
      </c>
    </row>
    <row r="606" spans="2:15" ht="17.25" hidden="1" x14ac:dyDescent="0.3">
      <c r="B606" s="16">
        <v>63</v>
      </c>
      <c r="C606" s="107"/>
      <c r="D606" s="109"/>
      <c r="E606" s="72"/>
      <c r="F606" s="108"/>
      <c r="G606" s="68"/>
      <c r="H606" s="68"/>
      <c r="I606" s="93"/>
      <c r="J606" s="68"/>
      <c r="K606" s="108"/>
      <c r="L606" s="108"/>
      <c r="M606" s="94"/>
      <c r="N606" s="70">
        <v>0</v>
      </c>
      <c r="O606" s="351">
        <f t="shared" si="15"/>
        <v>0</v>
      </c>
    </row>
    <row r="607" spans="2:15" ht="17.25" hidden="1" x14ac:dyDescent="0.3">
      <c r="B607" s="16">
        <v>64</v>
      </c>
      <c r="C607" s="107"/>
      <c r="D607" s="109"/>
      <c r="E607" s="72"/>
      <c r="F607" s="108"/>
      <c r="G607" s="68"/>
      <c r="H607" s="68"/>
      <c r="I607" s="93"/>
      <c r="J607" s="68"/>
      <c r="K607" s="108"/>
      <c r="L607" s="108"/>
      <c r="M607" s="94"/>
      <c r="N607" s="70">
        <v>0</v>
      </c>
      <c r="O607" s="351">
        <f t="shared" si="15"/>
        <v>0</v>
      </c>
    </row>
    <row r="608" spans="2:15" ht="17.25" hidden="1" x14ac:dyDescent="0.3">
      <c r="B608" s="16">
        <v>65</v>
      </c>
      <c r="C608" s="107"/>
      <c r="D608" s="109"/>
      <c r="E608" s="72"/>
      <c r="F608" s="108"/>
      <c r="G608" s="68"/>
      <c r="H608" s="68"/>
      <c r="I608" s="93"/>
      <c r="J608" s="68"/>
      <c r="K608" s="108"/>
      <c r="L608" s="108"/>
      <c r="M608" s="94"/>
      <c r="N608" s="70">
        <v>0</v>
      </c>
      <c r="O608" s="351">
        <f t="shared" si="15"/>
        <v>0</v>
      </c>
    </row>
    <row r="609" spans="2:15" ht="17.25" hidden="1" x14ac:dyDescent="0.3">
      <c r="B609" s="16">
        <v>66</v>
      </c>
      <c r="C609" s="107"/>
      <c r="D609" s="109"/>
      <c r="E609" s="72"/>
      <c r="F609" s="108"/>
      <c r="G609" s="68"/>
      <c r="H609" s="68"/>
      <c r="I609" s="93"/>
      <c r="J609" s="68"/>
      <c r="K609" s="108"/>
      <c r="L609" s="108"/>
      <c r="M609" s="94"/>
      <c r="N609" s="70">
        <v>0</v>
      </c>
      <c r="O609" s="351">
        <f t="shared" ref="O609:O643" si="16">F609*N609</f>
        <v>0</v>
      </c>
    </row>
    <row r="610" spans="2:15" ht="17.25" hidden="1" x14ac:dyDescent="0.3">
      <c r="B610" s="16">
        <v>67</v>
      </c>
      <c r="C610" s="107"/>
      <c r="D610" s="109"/>
      <c r="E610" s="72"/>
      <c r="F610" s="108"/>
      <c r="G610" s="68"/>
      <c r="H610" s="68"/>
      <c r="I610" s="93"/>
      <c r="J610" s="68"/>
      <c r="K610" s="108"/>
      <c r="L610" s="108"/>
      <c r="M610" s="94"/>
      <c r="N610" s="70">
        <v>0</v>
      </c>
      <c r="O610" s="351">
        <f t="shared" si="16"/>
        <v>0</v>
      </c>
    </row>
    <row r="611" spans="2:15" ht="17.25" hidden="1" x14ac:dyDescent="0.3">
      <c r="B611" s="16">
        <v>68</v>
      </c>
      <c r="C611" s="107"/>
      <c r="D611" s="109"/>
      <c r="E611" s="72"/>
      <c r="F611" s="108"/>
      <c r="G611" s="68"/>
      <c r="H611" s="68"/>
      <c r="I611" s="93"/>
      <c r="J611" s="68"/>
      <c r="K611" s="108"/>
      <c r="L611" s="108"/>
      <c r="M611" s="94"/>
      <c r="N611" s="70">
        <v>0</v>
      </c>
      <c r="O611" s="351">
        <f t="shared" si="16"/>
        <v>0</v>
      </c>
    </row>
    <row r="612" spans="2:15" ht="17.25" hidden="1" x14ac:dyDescent="0.3">
      <c r="B612" s="16">
        <v>69</v>
      </c>
      <c r="C612" s="107"/>
      <c r="D612" s="109"/>
      <c r="E612" s="72"/>
      <c r="F612" s="108"/>
      <c r="G612" s="68"/>
      <c r="H612" s="68"/>
      <c r="I612" s="93"/>
      <c r="J612" s="68"/>
      <c r="K612" s="108"/>
      <c r="L612" s="108"/>
      <c r="M612" s="94"/>
      <c r="N612" s="70">
        <v>0</v>
      </c>
      <c r="O612" s="351">
        <f t="shared" si="16"/>
        <v>0</v>
      </c>
    </row>
    <row r="613" spans="2:15" ht="17.25" hidden="1" x14ac:dyDescent="0.3">
      <c r="B613" s="16">
        <v>70</v>
      </c>
      <c r="C613" s="107"/>
      <c r="D613" s="110"/>
      <c r="E613" s="72"/>
      <c r="F613" s="108"/>
      <c r="G613" s="68"/>
      <c r="H613" s="68"/>
      <c r="I613" s="108"/>
      <c r="J613" s="68"/>
      <c r="K613" s="108"/>
      <c r="L613" s="108"/>
      <c r="M613" s="94"/>
      <c r="N613" s="70">
        <v>0</v>
      </c>
      <c r="O613" s="351">
        <f t="shared" si="16"/>
        <v>0</v>
      </c>
    </row>
    <row r="614" spans="2:15" ht="17.25" hidden="1" x14ac:dyDescent="0.3">
      <c r="B614" s="16">
        <v>71</v>
      </c>
      <c r="C614" s="107"/>
      <c r="D614" s="111"/>
      <c r="E614" s="72"/>
      <c r="F614" s="108"/>
      <c r="G614" s="68"/>
      <c r="H614" s="68"/>
      <c r="I614" s="108"/>
      <c r="J614" s="68"/>
      <c r="K614" s="108"/>
      <c r="L614" s="108"/>
      <c r="M614" s="94"/>
      <c r="N614" s="70">
        <v>0</v>
      </c>
      <c r="O614" s="351">
        <f t="shared" si="16"/>
        <v>0</v>
      </c>
    </row>
    <row r="615" spans="2:15" ht="17.25" hidden="1" x14ac:dyDescent="0.3">
      <c r="B615" s="16">
        <v>72</v>
      </c>
      <c r="C615" s="107"/>
      <c r="D615" s="111"/>
      <c r="E615" s="72"/>
      <c r="F615" s="108"/>
      <c r="G615" s="68"/>
      <c r="H615" s="68"/>
      <c r="I615" s="108"/>
      <c r="J615" s="68"/>
      <c r="K615" s="108"/>
      <c r="L615" s="108"/>
      <c r="M615" s="94"/>
      <c r="N615" s="70">
        <v>0</v>
      </c>
      <c r="O615" s="351">
        <f t="shared" si="16"/>
        <v>0</v>
      </c>
    </row>
    <row r="616" spans="2:15" ht="17.25" hidden="1" x14ac:dyDescent="0.3">
      <c r="B616" s="16">
        <v>73</v>
      </c>
      <c r="C616" s="107"/>
      <c r="D616" s="111"/>
      <c r="E616" s="72"/>
      <c r="F616" s="108"/>
      <c r="G616" s="68"/>
      <c r="H616" s="68"/>
      <c r="I616" s="108"/>
      <c r="J616" s="68"/>
      <c r="K616" s="108"/>
      <c r="L616" s="108"/>
      <c r="M616" s="94"/>
      <c r="N616" s="70">
        <v>0</v>
      </c>
      <c r="O616" s="351">
        <f t="shared" si="16"/>
        <v>0</v>
      </c>
    </row>
    <row r="617" spans="2:15" ht="17.25" hidden="1" x14ac:dyDescent="0.3">
      <c r="B617" s="16">
        <v>74</v>
      </c>
      <c r="C617" s="107"/>
      <c r="D617" s="110"/>
      <c r="E617" s="72"/>
      <c r="F617" s="108"/>
      <c r="G617" s="68"/>
      <c r="H617" s="68"/>
      <c r="I617" s="108"/>
      <c r="J617" s="68"/>
      <c r="K617" s="108"/>
      <c r="L617" s="108"/>
      <c r="M617" s="94"/>
      <c r="N617" s="70">
        <v>0</v>
      </c>
      <c r="O617" s="351">
        <f t="shared" si="16"/>
        <v>0</v>
      </c>
    </row>
    <row r="618" spans="2:15" ht="17.25" hidden="1" x14ac:dyDescent="0.3">
      <c r="B618" s="16">
        <v>75</v>
      </c>
      <c r="C618" s="107"/>
      <c r="D618" s="110"/>
      <c r="E618" s="112"/>
      <c r="F618" s="108"/>
      <c r="G618" s="68"/>
      <c r="H618" s="68"/>
      <c r="I618" s="93"/>
      <c r="J618" s="68"/>
      <c r="K618" s="108"/>
      <c r="L618" s="108"/>
      <c r="M618" s="94"/>
      <c r="N618" s="70">
        <v>0</v>
      </c>
      <c r="O618" s="351">
        <f t="shared" si="16"/>
        <v>0</v>
      </c>
    </row>
    <row r="619" spans="2:15" ht="17.25" hidden="1" x14ac:dyDescent="0.3">
      <c r="B619" s="16">
        <v>76</v>
      </c>
      <c r="C619" s="107"/>
      <c r="D619" s="110"/>
      <c r="E619" s="107"/>
      <c r="F619" s="108"/>
      <c r="G619" s="68"/>
      <c r="H619" s="68"/>
      <c r="I619" s="93"/>
      <c r="J619" s="68"/>
      <c r="K619" s="108"/>
      <c r="L619" s="108"/>
      <c r="M619" s="94"/>
      <c r="N619" s="70">
        <v>0</v>
      </c>
      <c r="O619" s="351">
        <f t="shared" si="16"/>
        <v>0</v>
      </c>
    </row>
    <row r="620" spans="2:15" ht="17.25" hidden="1" x14ac:dyDescent="0.3">
      <c r="B620" s="16">
        <v>77</v>
      </c>
      <c r="C620" s="107"/>
      <c r="D620" s="110"/>
      <c r="E620" s="107"/>
      <c r="F620" s="108"/>
      <c r="G620" s="68"/>
      <c r="H620" s="68"/>
      <c r="I620" s="93"/>
      <c r="J620" s="68"/>
      <c r="K620" s="108"/>
      <c r="L620" s="108"/>
      <c r="M620" s="94"/>
      <c r="N620" s="70">
        <v>0</v>
      </c>
      <c r="O620" s="351">
        <f t="shared" si="16"/>
        <v>0</v>
      </c>
    </row>
    <row r="621" spans="2:15" ht="17.25" hidden="1" x14ac:dyDescent="0.3">
      <c r="B621" s="16">
        <v>78</v>
      </c>
      <c r="C621" s="107"/>
      <c r="D621" s="110"/>
      <c r="E621" s="107"/>
      <c r="F621" s="108"/>
      <c r="G621" s="68"/>
      <c r="H621" s="68"/>
      <c r="I621" s="93"/>
      <c r="J621" s="68"/>
      <c r="K621" s="108"/>
      <c r="L621" s="108"/>
      <c r="M621" s="94"/>
      <c r="N621" s="70">
        <v>0</v>
      </c>
      <c r="O621" s="351">
        <f t="shared" si="16"/>
        <v>0</v>
      </c>
    </row>
    <row r="622" spans="2:15" ht="17.25" hidden="1" x14ac:dyDescent="0.3">
      <c r="B622" s="16">
        <v>79</v>
      </c>
      <c r="C622" s="107"/>
      <c r="D622" s="110"/>
      <c r="E622" s="107"/>
      <c r="F622" s="108"/>
      <c r="G622" s="68"/>
      <c r="H622" s="68"/>
      <c r="I622" s="93"/>
      <c r="J622" s="68"/>
      <c r="K622" s="108"/>
      <c r="L622" s="108"/>
      <c r="M622" s="94"/>
      <c r="N622" s="70">
        <v>0</v>
      </c>
      <c r="O622" s="351">
        <f t="shared" si="16"/>
        <v>0</v>
      </c>
    </row>
    <row r="623" spans="2:15" ht="17.25" hidden="1" x14ac:dyDescent="0.3">
      <c r="B623" s="16">
        <v>80</v>
      </c>
      <c r="C623" s="107"/>
      <c r="D623" s="110"/>
      <c r="E623" s="107"/>
      <c r="F623" s="108"/>
      <c r="G623" s="68"/>
      <c r="H623" s="68"/>
      <c r="I623" s="93"/>
      <c r="J623" s="68"/>
      <c r="K623" s="108"/>
      <c r="L623" s="108"/>
      <c r="M623" s="94"/>
      <c r="N623" s="70">
        <v>0</v>
      </c>
      <c r="O623" s="351">
        <f t="shared" si="16"/>
        <v>0</v>
      </c>
    </row>
    <row r="624" spans="2:15" ht="17.25" hidden="1" x14ac:dyDescent="0.3">
      <c r="B624" s="16">
        <v>81</v>
      </c>
      <c r="C624" s="107"/>
      <c r="D624" s="110"/>
      <c r="E624" s="107"/>
      <c r="F624" s="108"/>
      <c r="G624" s="68"/>
      <c r="H624" s="68"/>
      <c r="I624" s="93"/>
      <c r="J624" s="68"/>
      <c r="K624" s="108"/>
      <c r="L624" s="108"/>
      <c r="M624" s="94"/>
      <c r="N624" s="70">
        <v>0</v>
      </c>
      <c r="O624" s="351">
        <f t="shared" si="16"/>
        <v>0</v>
      </c>
    </row>
    <row r="625" spans="2:15" ht="17.25" hidden="1" x14ac:dyDescent="0.3">
      <c r="B625" s="16">
        <v>82</v>
      </c>
      <c r="C625" s="107"/>
      <c r="D625" s="110"/>
      <c r="E625" s="107"/>
      <c r="F625" s="108"/>
      <c r="G625" s="68"/>
      <c r="H625" s="68"/>
      <c r="I625" s="93"/>
      <c r="J625" s="68"/>
      <c r="K625" s="108"/>
      <c r="L625" s="108"/>
      <c r="M625" s="94"/>
      <c r="N625" s="70">
        <v>0</v>
      </c>
      <c r="O625" s="351">
        <f t="shared" si="16"/>
        <v>0</v>
      </c>
    </row>
    <row r="626" spans="2:15" ht="17.25" hidden="1" x14ac:dyDescent="0.3">
      <c r="B626" s="16">
        <v>83</v>
      </c>
      <c r="C626" s="107"/>
      <c r="D626" s="110"/>
      <c r="E626" s="107"/>
      <c r="F626" s="108"/>
      <c r="G626" s="68"/>
      <c r="H626" s="68"/>
      <c r="I626" s="93"/>
      <c r="J626" s="68"/>
      <c r="K626" s="108"/>
      <c r="L626" s="108"/>
      <c r="M626" s="94"/>
      <c r="N626" s="70">
        <v>0</v>
      </c>
      <c r="O626" s="351">
        <f t="shared" si="16"/>
        <v>0</v>
      </c>
    </row>
    <row r="627" spans="2:15" ht="17.25" hidden="1" x14ac:dyDescent="0.3">
      <c r="B627" s="16">
        <v>84</v>
      </c>
      <c r="C627" s="107"/>
      <c r="D627" s="110"/>
      <c r="E627" s="107"/>
      <c r="F627" s="108"/>
      <c r="G627" s="68"/>
      <c r="H627" s="68"/>
      <c r="I627" s="93"/>
      <c r="J627" s="68"/>
      <c r="K627" s="108"/>
      <c r="L627" s="108"/>
      <c r="M627" s="94"/>
      <c r="N627" s="70">
        <v>0</v>
      </c>
      <c r="O627" s="351">
        <f t="shared" si="16"/>
        <v>0</v>
      </c>
    </row>
    <row r="628" spans="2:15" ht="17.25" hidden="1" x14ac:dyDescent="0.3">
      <c r="B628" s="16">
        <v>85</v>
      </c>
      <c r="C628" s="107"/>
      <c r="D628" s="110"/>
      <c r="E628" s="107"/>
      <c r="F628" s="108"/>
      <c r="G628" s="68"/>
      <c r="H628" s="68"/>
      <c r="I628" s="93"/>
      <c r="J628" s="68"/>
      <c r="K628" s="108"/>
      <c r="L628" s="108"/>
      <c r="M628" s="94"/>
      <c r="N628" s="70">
        <v>0</v>
      </c>
      <c r="O628" s="351">
        <f t="shared" si="16"/>
        <v>0</v>
      </c>
    </row>
    <row r="629" spans="2:15" ht="17.25" hidden="1" x14ac:dyDescent="0.3">
      <c r="B629" s="16">
        <v>86</v>
      </c>
      <c r="C629" s="107"/>
      <c r="D629" s="110"/>
      <c r="E629" s="107"/>
      <c r="F629" s="108"/>
      <c r="G629" s="68"/>
      <c r="H629" s="68"/>
      <c r="I629" s="93"/>
      <c r="J629" s="68"/>
      <c r="K629" s="108"/>
      <c r="L629" s="108"/>
      <c r="M629" s="94"/>
      <c r="N629" s="70">
        <v>0</v>
      </c>
      <c r="O629" s="351">
        <f t="shared" si="16"/>
        <v>0</v>
      </c>
    </row>
    <row r="630" spans="2:15" ht="17.25" hidden="1" x14ac:dyDescent="0.3">
      <c r="B630" s="16">
        <v>87</v>
      </c>
      <c r="C630" s="107"/>
      <c r="D630" s="110"/>
      <c r="E630" s="107"/>
      <c r="F630" s="108"/>
      <c r="G630" s="68"/>
      <c r="H630" s="68"/>
      <c r="I630" s="93"/>
      <c r="J630" s="68"/>
      <c r="K630" s="108"/>
      <c r="L630" s="108"/>
      <c r="M630" s="94"/>
      <c r="N630" s="70">
        <v>0</v>
      </c>
      <c r="O630" s="351">
        <f t="shared" si="16"/>
        <v>0</v>
      </c>
    </row>
    <row r="631" spans="2:15" ht="17.25" hidden="1" x14ac:dyDescent="0.3">
      <c r="B631" s="16">
        <v>88</v>
      </c>
      <c r="C631" s="107"/>
      <c r="D631" s="110"/>
      <c r="E631" s="107"/>
      <c r="F631" s="108"/>
      <c r="G631" s="68"/>
      <c r="H631" s="68"/>
      <c r="I631" s="93"/>
      <c r="J631" s="68"/>
      <c r="K631" s="108"/>
      <c r="L631" s="108"/>
      <c r="M631" s="94"/>
      <c r="N631" s="70">
        <v>0</v>
      </c>
      <c r="O631" s="351">
        <f t="shared" si="16"/>
        <v>0</v>
      </c>
    </row>
    <row r="632" spans="2:15" ht="17.25" hidden="1" x14ac:dyDescent="0.3">
      <c r="B632" s="16">
        <v>89</v>
      </c>
      <c r="C632" s="107"/>
      <c r="D632" s="110"/>
      <c r="E632" s="107"/>
      <c r="F632" s="108"/>
      <c r="G632" s="68"/>
      <c r="H632" s="68"/>
      <c r="I632" s="93"/>
      <c r="J632" s="68"/>
      <c r="K632" s="108"/>
      <c r="L632" s="108"/>
      <c r="M632" s="94"/>
      <c r="N632" s="70">
        <v>0</v>
      </c>
      <c r="O632" s="351">
        <f t="shared" si="16"/>
        <v>0</v>
      </c>
    </row>
    <row r="633" spans="2:15" ht="17.25" hidden="1" x14ac:dyDescent="0.3">
      <c r="B633" s="16">
        <v>90</v>
      </c>
      <c r="C633" s="107"/>
      <c r="D633" s="110"/>
      <c r="E633" s="107"/>
      <c r="F633" s="108"/>
      <c r="G633" s="68"/>
      <c r="H633" s="68"/>
      <c r="I633" s="93"/>
      <c r="J633" s="68"/>
      <c r="K633" s="108"/>
      <c r="L633" s="108"/>
      <c r="M633" s="94"/>
      <c r="N633" s="70">
        <v>0</v>
      </c>
      <c r="O633" s="351">
        <f t="shared" si="16"/>
        <v>0</v>
      </c>
    </row>
    <row r="634" spans="2:15" ht="17.25" hidden="1" x14ac:dyDescent="0.3">
      <c r="B634" s="16">
        <v>91</v>
      </c>
      <c r="C634" s="107"/>
      <c r="D634" s="110"/>
      <c r="E634" s="107"/>
      <c r="F634" s="108"/>
      <c r="G634" s="68"/>
      <c r="H634" s="68"/>
      <c r="I634" s="93"/>
      <c r="J634" s="68"/>
      <c r="K634" s="108"/>
      <c r="L634" s="108"/>
      <c r="M634" s="94"/>
      <c r="N634" s="70">
        <v>0</v>
      </c>
      <c r="O634" s="351">
        <f t="shared" si="16"/>
        <v>0</v>
      </c>
    </row>
    <row r="635" spans="2:15" ht="17.25" hidden="1" x14ac:dyDescent="0.3">
      <c r="B635" s="16">
        <v>92</v>
      </c>
      <c r="C635" s="107"/>
      <c r="D635" s="76"/>
      <c r="E635" s="72"/>
      <c r="F635" s="108"/>
      <c r="G635" s="68"/>
      <c r="H635" s="68"/>
      <c r="I635" s="108"/>
      <c r="J635" s="68"/>
      <c r="K635" s="108"/>
      <c r="L635" s="108"/>
      <c r="M635" s="94"/>
      <c r="N635" s="70">
        <v>0</v>
      </c>
      <c r="O635" s="351">
        <f t="shared" si="16"/>
        <v>0</v>
      </c>
    </row>
    <row r="636" spans="2:15" ht="17.25" hidden="1" x14ac:dyDescent="0.3">
      <c r="B636" s="16">
        <v>93</v>
      </c>
      <c r="C636" s="16"/>
      <c r="D636" s="16"/>
      <c r="E636" s="74"/>
      <c r="F636" s="108"/>
      <c r="G636" s="68"/>
      <c r="H636" s="68"/>
      <c r="I636" s="108"/>
      <c r="J636" s="68"/>
      <c r="K636" s="108"/>
      <c r="L636" s="108"/>
      <c r="M636" s="94"/>
      <c r="N636" s="70">
        <v>0</v>
      </c>
      <c r="O636" s="351">
        <f t="shared" si="16"/>
        <v>0</v>
      </c>
    </row>
    <row r="637" spans="2:15" ht="17.25" hidden="1" x14ac:dyDescent="0.3">
      <c r="B637" s="16">
        <v>94</v>
      </c>
      <c r="C637" s="16"/>
      <c r="D637" s="16"/>
      <c r="E637" s="74"/>
      <c r="F637" s="108"/>
      <c r="G637" s="68"/>
      <c r="H637" s="68"/>
      <c r="I637" s="108"/>
      <c r="J637" s="68"/>
      <c r="K637" s="108"/>
      <c r="L637" s="108"/>
      <c r="M637" s="94"/>
      <c r="N637" s="70">
        <v>0</v>
      </c>
      <c r="O637" s="351">
        <f t="shared" si="16"/>
        <v>0</v>
      </c>
    </row>
    <row r="638" spans="2:15" ht="17.25" hidden="1" x14ac:dyDescent="0.3">
      <c r="B638" s="16">
        <v>95</v>
      </c>
      <c r="C638" s="16"/>
      <c r="D638" s="16"/>
      <c r="E638" s="74"/>
      <c r="F638" s="108"/>
      <c r="G638" s="68"/>
      <c r="H638" s="68"/>
      <c r="I638" s="108"/>
      <c r="J638" s="68"/>
      <c r="K638" s="108"/>
      <c r="L638" s="108"/>
      <c r="M638" s="94"/>
      <c r="N638" s="70">
        <v>0</v>
      </c>
      <c r="O638" s="351">
        <f t="shared" si="16"/>
        <v>0</v>
      </c>
    </row>
    <row r="639" spans="2:15" ht="17.25" hidden="1" x14ac:dyDescent="0.3">
      <c r="B639" s="16">
        <v>96</v>
      </c>
      <c r="C639" s="68"/>
      <c r="D639" s="16"/>
      <c r="E639" s="74"/>
      <c r="F639" s="108"/>
      <c r="G639" s="68"/>
      <c r="H639" s="68"/>
      <c r="I639" s="93"/>
      <c r="J639" s="68"/>
      <c r="K639" s="428"/>
      <c r="L639" s="429"/>
      <c r="M639" s="94"/>
      <c r="N639" s="70">
        <v>0</v>
      </c>
      <c r="O639" s="351">
        <f t="shared" si="16"/>
        <v>0</v>
      </c>
    </row>
    <row r="640" spans="2:15" ht="17.25" hidden="1" x14ac:dyDescent="0.3">
      <c r="B640" s="16">
        <v>97</v>
      </c>
      <c r="C640" s="68"/>
      <c r="D640" s="16"/>
      <c r="E640" s="74"/>
      <c r="F640" s="108"/>
      <c r="G640" s="68"/>
      <c r="H640" s="68"/>
      <c r="I640" s="93"/>
      <c r="J640" s="68"/>
      <c r="K640" s="108"/>
      <c r="L640" s="108"/>
      <c r="M640" s="94"/>
      <c r="N640" s="70">
        <v>0</v>
      </c>
      <c r="O640" s="351">
        <f t="shared" si="16"/>
        <v>0</v>
      </c>
    </row>
    <row r="641" spans="2:21" ht="17.25" hidden="1" x14ac:dyDescent="0.3">
      <c r="B641" s="16">
        <v>98</v>
      </c>
      <c r="C641" s="68"/>
      <c r="D641" s="16"/>
      <c r="E641" s="74"/>
      <c r="F641" s="108"/>
      <c r="G641" s="68"/>
      <c r="H641" s="68"/>
      <c r="I641" s="93"/>
      <c r="J641" s="68"/>
      <c r="K641" s="108"/>
      <c r="L641" s="108"/>
      <c r="M641" s="94"/>
      <c r="N641" s="70">
        <v>0</v>
      </c>
      <c r="O641" s="351">
        <f t="shared" si="16"/>
        <v>0</v>
      </c>
    </row>
    <row r="642" spans="2:21" ht="17.25" hidden="1" x14ac:dyDescent="0.3">
      <c r="B642" s="16">
        <v>99</v>
      </c>
      <c r="C642" s="68"/>
      <c r="D642" s="16"/>
      <c r="E642" s="74"/>
      <c r="F642" s="108"/>
      <c r="G642" s="68"/>
      <c r="H642" s="68"/>
      <c r="I642" s="93"/>
      <c r="J642" s="68"/>
      <c r="K642" s="428"/>
      <c r="L642" s="429"/>
      <c r="M642" s="94"/>
      <c r="N642" s="70">
        <v>0</v>
      </c>
      <c r="O642" s="351">
        <f t="shared" si="16"/>
        <v>0</v>
      </c>
    </row>
    <row r="643" spans="2:21" ht="17.25" hidden="1" x14ac:dyDescent="0.3">
      <c r="B643" s="16">
        <v>100</v>
      </c>
      <c r="C643" s="16"/>
      <c r="D643" s="16"/>
      <c r="E643" s="74"/>
      <c r="F643" s="108"/>
      <c r="G643" s="68"/>
      <c r="H643" s="68"/>
      <c r="I643" s="108"/>
      <c r="J643" s="68"/>
      <c r="K643" s="108"/>
      <c r="L643" s="108"/>
      <c r="M643" s="94"/>
      <c r="N643" s="70">
        <v>0</v>
      </c>
      <c r="O643" s="351">
        <f t="shared" si="16"/>
        <v>0</v>
      </c>
    </row>
    <row r="644" spans="2:21" ht="34.5" hidden="1" x14ac:dyDescent="0.3">
      <c r="C644" s="16"/>
      <c r="D644" s="81" t="s">
        <v>566</v>
      </c>
      <c r="E644" s="74"/>
      <c r="F644" s="108"/>
      <c r="G644" s="68"/>
      <c r="H644" s="68"/>
      <c r="I644" s="108"/>
      <c r="J644" s="68"/>
      <c r="K644" s="108"/>
      <c r="L644" s="108"/>
      <c r="M644" s="16"/>
      <c r="N644" s="70">
        <v>0</v>
      </c>
      <c r="O644" s="351">
        <f>F644*N644</f>
        <v>0</v>
      </c>
    </row>
    <row r="645" spans="2:21" ht="17.25" hidden="1" x14ac:dyDescent="0.3">
      <c r="B645" s="82"/>
      <c r="C645" s="82"/>
      <c r="D645" s="82"/>
      <c r="E645" s="86"/>
      <c r="F645" s="113"/>
      <c r="G645" s="113"/>
      <c r="H645" s="113"/>
      <c r="I645" s="113"/>
      <c r="J645" s="113"/>
      <c r="K645" s="113"/>
      <c r="L645" s="113"/>
      <c r="M645" s="113"/>
      <c r="N645" s="82"/>
      <c r="O645" s="82"/>
      <c r="P645" s="106"/>
    </row>
    <row r="646" spans="2:21" ht="16.5" customHeight="1" x14ac:dyDescent="0.3">
      <c r="B646" s="82"/>
      <c r="C646" s="82"/>
      <c r="D646" s="82"/>
      <c r="E646" s="86"/>
      <c r="F646" s="113"/>
      <c r="G646" s="113"/>
      <c r="H646" s="113"/>
      <c r="I646" s="113"/>
      <c r="J646" s="113"/>
      <c r="K646" s="113"/>
      <c r="L646" s="113"/>
      <c r="M646" s="113"/>
      <c r="N646" s="82"/>
      <c r="O646" s="82"/>
      <c r="P646" s="106"/>
    </row>
    <row r="647" spans="2:21" ht="66" customHeight="1" x14ac:dyDescent="0.3">
      <c r="B647" s="82"/>
      <c r="C647" s="82"/>
      <c r="D647" s="82"/>
      <c r="E647" s="86"/>
      <c r="F647" s="86"/>
      <c r="G647" s="82"/>
      <c r="H647" s="82"/>
      <c r="I647" s="86"/>
      <c r="J647" s="86"/>
      <c r="K647" s="82"/>
      <c r="L647" s="82"/>
      <c r="M647" s="82"/>
      <c r="N647" s="82"/>
      <c r="T647" s="82"/>
      <c r="U647" s="66" t="s">
        <v>503</v>
      </c>
    </row>
    <row r="648" spans="2:21" ht="24" customHeight="1" x14ac:dyDescent="0.3">
      <c r="B648" s="114" t="s">
        <v>571</v>
      </c>
      <c r="C648" s="115"/>
      <c r="D648" s="115"/>
      <c r="E648" s="116"/>
      <c r="F648" s="116"/>
      <c r="G648" s="115"/>
      <c r="H648" s="115"/>
      <c r="I648" s="116"/>
      <c r="J648" s="116"/>
      <c r="K648" s="115"/>
      <c r="L648" s="115"/>
      <c r="M648" s="115"/>
      <c r="N648" s="781"/>
      <c r="O648" s="781"/>
      <c r="P648" s="781"/>
      <c r="Q648" s="781"/>
      <c r="R648" s="781"/>
      <c r="S648" s="781"/>
      <c r="T648" s="782"/>
      <c r="U648" s="352">
        <f>SUM(U649)</f>
        <v>1246382133.02</v>
      </c>
    </row>
    <row r="649" spans="2:21" ht="34.5" customHeight="1" x14ac:dyDescent="0.3">
      <c r="B649" s="763" t="s">
        <v>103</v>
      </c>
      <c r="C649" s="764"/>
      <c r="D649" s="702" t="s">
        <v>1794</v>
      </c>
      <c r="E649" s="340"/>
      <c r="F649" s="340"/>
      <c r="G649" s="340"/>
      <c r="H649" s="340"/>
      <c r="I649" s="340"/>
      <c r="J649" s="340"/>
      <c r="K649" s="340"/>
      <c r="L649" s="340"/>
      <c r="M649" s="340"/>
      <c r="N649" s="783"/>
      <c r="O649" s="783"/>
      <c r="P649" s="783"/>
      <c r="Q649" s="783"/>
      <c r="R649" s="783"/>
      <c r="S649" s="783"/>
      <c r="T649" s="784"/>
      <c r="U649" s="353">
        <f>SUM(U652:U952)</f>
        <v>1246382133.02</v>
      </c>
    </row>
    <row r="650" spans="2:21" ht="50.45" customHeight="1" x14ac:dyDescent="0.3">
      <c r="B650" s="789" t="s">
        <v>35</v>
      </c>
      <c r="C650" s="789" t="s">
        <v>42</v>
      </c>
      <c r="D650" s="789" t="s">
        <v>44</v>
      </c>
      <c r="E650" s="769" t="s">
        <v>472</v>
      </c>
      <c r="F650" s="769" t="s">
        <v>49</v>
      </c>
      <c r="G650" s="769" t="s">
        <v>559</v>
      </c>
      <c r="H650" s="769" t="s">
        <v>100</v>
      </c>
      <c r="I650" s="769" t="s">
        <v>468</v>
      </c>
      <c r="J650" s="766" t="s">
        <v>560</v>
      </c>
      <c r="K650" s="766" t="s">
        <v>424</v>
      </c>
      <c r="L650" s="767" t="s">
        <v>45</v>
      </c>
      <c r="M650" s="768"/>
      <c r="N650" s="787" t="s">
        <v>97</v>
      </c>
      <c r="O650" s="785" t="s">
        <v>705</v>
      </c>
      <c r="P650" s="786"/>
      <c r="Q650" s="786"/>
      <c r="R650" s="786"/>
      <c r="S650" s="786"/>
      <c r="T650" s="375" t="s">
        <v>51</v>
      </c>
      <c r="U650" s="337" t="s">
        <v>422</v>
      </c>
    </row>
    <row r="651" spans="2:21" ht="51.6" customHeight="1" x14ac:dyDescent="0.3">
      <c r="B651" s="789"/>
      <c r="C651" s="789"/>
      <c r="D651" s="789"/>
      <c r="E651" s="770"/>
      <c r="F651" s="770"/>
      <c r="G651" s="770"/>
      <c r="H651" s="770"/>
      <c r="I651" s="770"/>
      <c r="J651" s="766"/>
      <c r="K651" s="766"/>
      <c r="L651" s="132" t="s">
        <v>172</v>
      </c>
      <c r="M651" s="132" t="s">
        <v>101</v>
      </c>
      <c r="N651" s="788"/>
      <c r="O651" s="369" t="s">
        <v>700</v>
      </c>
      <c r="P651" s="369" t="s">
        <v>701</v>
      </c>
      <c r="Q651" s="369" t="s">
        <v>702</v>
      </c>
      <c r="R651" s="370" t="s">
        <v>703</v>
      </c>
      <c r="S651" s="370" t="s">
        <v>704</v>
      </c>
      <c r="T651" s="376"/>
      <c r="U651" s="32"/>
    </row>
    <row r="652" spans="2:21" ht="51.75" x14ac:dyDescent="0.3">
      <c r="B652" s="16">
        <v>1</v>
      </c>
      <c r="C652" s="467" t="s">
        <v>1198</v>
      </c>
      <c r="D652" s="647" t="s">
        <v>796</v>
      </c>
      <c r="E652" s="72" t="s">
        <v>1540</v>
      </c>
      <c r="F652" s="68">
        <v>1</v>
      </c>
      <c r="G652" s="68" t="s">
        <v>718</v>
      </c>
      <c r="H652" s="72" t="s">
        <v>781</v>
      </c>
      <c r="I652" s="68" t="s">
        <v>797</v>
      </c>
      <c r="J652" s="420" t="s">
        <v>812</v>
      </c>
      <c r="K652" s="68" t="s">
        <v>734</v>
      </c>
      <c r="L652" s="416">
        <v>7.7075760000000004</v>
      </c>
      <c r="M652" s="416">
        <v>8.532451</v>
      </c>
      <c r="N652" s="367" t="s">
        <v>813</v>
      </c>
      <c r="O652" s="17">
        <v>7</v>
      </c>
      <c r="P652" s="17">
        <v>0</v>
      </c>
      <c r="Q652" s="17">
        <v>0</v>
      </c>
      <c r="R652" s="17">
        <v>4</v>
      </c>
      <c r="S652" s="17">
        <v>2</v>
      </c>
      <c r="T652" s="344">
        <v>72192995.629999995</v>
      </c>
      <c r="U652" s="351">
        <f t="shared" ref="U652:U683" si="17">F652*T652</f>
        <v>72192995.629999995</v>
      </c>
    </row>
    <row r="653" spans="2:21" ht="69" x14ac:dyDescent="0.3">
      <c r="B653" s="16">
        <v>2</v>
      </c>
      <c r="C653" s="467" t="s">
        <v>1199</v>
      </c>
      <c r="D653" s="69" t="s">
        <v>805</v>
      </c>
      <c r="E653" s="72" t="s">
        <v>1579</v>
      </c>
      <c r="F653" s="68">
        <v>1</v>
      </c>
      <c r="G653" s="68" t="s">
        <v>718</v>
      </c>
      <c r="H653" s="72" t="s">
        <v>806</v>
      </c>
      <c r="I653" s="68" t="s">
        <v>782</v>
      </c>
      <c r="J653" s="420" t="s">
        <v>812</v>
      </c>
      <c r="K653" s="415" t="s">
        <v>734</v>
      </c>
      <c r="L653" s="416">
        <v>7.7075760000000004</v>
      </c>
      <c r="M653" s="416">
        <v>8.532451</v>
      </c>
      <c r="N653" s="367" t="s">
        <v>813</v>
      </c>
      <c r="O653" s="17">
        <v>10</v>
      </c>
      <c r="P653" s="17">
        <v>2</v>
      </c>
      <c r="Q653" s="17">
        <v>0</v>
      </c>
      <c r="R653" s="17">
        <v>0</v>
      </c>
      <c r="S653" s="17">
        <v>4</v>
      </c>
      <c r="T653" s="344">
        <v>100610862.5</v>
      </c>
      <c r="U653" s="351">
        <f t="shared" si="17"/>
        <v>100610862.5</v>
      </c>
    </row>
    <row r="654" spans="2:21" ht="51.75" x14ac:dyDescent="0.3">
      <c r="B654" s="16">
        <v>3</v>
      </c>
      <c r="C654" s="467" t="s">
        <v>1200</v>
      </c>
      <c r="D654" s="76" t="s">
        <v>849</v>
      </c>
      <c r="E654" s="72" t="s">
        <v>1581</v>
      </c>
      <c r="F654" s="68">
        <v>1</v>
      </c>
      <c r="G654" s="68" t="s">
        <v>717</v>
      </c>
      <c r="H654" s="68" t="s">
        <v>848</v>
      </c>
      <c r="I654" s="68" t="s">
        <v>782</v>
      </c>
      <c r="J654" s="420" t="s">
        <v>812</v>
      </c>
      <c r="K654" s="68" t="s">
        <v>734</v>
      </c>
      <c r="L654" s="415">
        <v>6.8137369999999997</v>
      </c>
      <c r="M654" s="415">
        <v>9.0431570000000008</v>
      </c>
      <c r="N654" s="367" t="s">
        <v>813</v>
      </c>
      <c r="O654" s="17">
        <v>6</v>
      </c>
      <c r="P654" s="17">
        <v>0</v>
      </c>
      <c r="Q654" s="17">
        <v>0</v>
      </c>
      <c r="R654" s="17">
        <v>4</v>
      </c>
      <c r="S654" s="17">
        <v>2</v>
      </c>
      <c r="T654" s="344">
        <v>114384568.75</v>
      </c>
      <c r="U654" s="351">
        <f t="shared" si="17"/>
        <v>114384568.75</v>
      </c>
    </row>
    <row r="655" spans="2:21" ht="51.75" x14ac:dyDescent="0.3">
      <c r="B655" s="16">
        <v>4</v>
      </c>
      <c r="C655" s="467" t="s">
        <v>1201</v>
      </c>
      <c r="D655" s="71" t="s">
        <v>810</v>
      </c>
      <c r="E655" s="72" t="s">
        <v>1580</v>
      </c>
      <c r="F655" s="100">
        <v>1</v>
      </c>
      <c r="G655" s="68" t="s">
        <v>716</v>
      </c>
      <c r="H655" s="72" t="s">
        <v>801</v>
      </c>
      <c r="I655" s="68" t="s">
        <v>782</v>
      </c>
      <c r="J655" s="420" t="s">
        <v>812</v>
      </c>
      <c r="K655" s="68" t="s">
        <v>734</v>
      </c>
      <c r="L655" s="432">
        <v>6.8022200000000002</v>
      </c>
      <c r="M655" s="422">
        <v>9.0302769999999999</v>
      </c>
      <c r="N655" s="367" t="s">
        <v>813</v>
      </c>
      <c r="O655" s="17">
        <v>3</v>
      </c>
      <c r="P655" s="17">
        <v>0</v>
      </c>
      <c r="Q655" s="17">
        <v>0</v>
      </c>
      <c r="R655" s="17">
        <v>6</v>
      </c>
      <c r="S655" s="17">
        <v>2</v>
      </c>
      <c r="T655" s="344">
        <v>75473336.629999995</v>
      </c>
      <c r="U655" s="351">
        <f t="shared" si="17"/>
        <v>75473336.629999995</v>
      </c>
    </row>
    <row r="656" spans="2:21" ht="51.75" x14ac:dyDescent="0.3">
      <c r="B656" s="16">
        <v>5</v>
      </c>
      <c r="C656" s="467" t="s">
        <v>1202</v>
      </c>
      <c r="D656" s="76" t="s">
        <v>814</v>
      </c>
      <c r="E656" s="72" t="s">
        <v>1582</v>
      </c>
      <c r="F656" s="68">
        <v>1</v>
      </c>
      <c r="G656" s="68" t="s">
        <v>716</v>
      </c>
      <c r="H656" s="68" t="s">
        <v>806</v>
      </c>
      <c r="I656" s="68" t="s">
        <v>782</v>
      </c>
      <c r="J656" s="420" t="s">
        <v>812</v>
      </c>
      <c r="K656" s="68" t="s">
        <v>734</v>
      </c>
      <c r="L656" s="415">
        <v>6.8137369999999997</v>
      </c>
      <c r="M656" s="415">
        <v>9.0431570000000008</v>
      </c>
      <c r="N656" s="367" t="s">
        <v>813</v>
      </c>
      <c r="O656" s="17">
        <v>9</v>
      </c>
      <c r="P656" s="17">
        <v>0</v>
      </c>
      <c r="Q656" s="17">
        <v>0</v>
      </c>
      <c r="R656" s="17">
        <v>0</v>
      </c>
      <c r="S656" s="17">
        <v>2</v>
      </c>
      <c r="T656" s="344">
        <v>98372519</v>
      </c>
      <c r="U656" s="351">
        <f t="shared" si="17"/>
        <v>98372519</v>
      </c>
    </row>
    <row r="657" spans="2:21" ht="69" x14ac:dyDescent="0.3">
      <c r="B657" s="16">
        <v>6</v>
      </c>
      <c r="C657" s="467" t="s">
        <v>1203</v>
      </c>
      <c r="D657" s="69" t="s">
        <v>855</v>
      </c>
      <c r="E657" s="72" t="s">
        <v>1583</v>
      </c>
      <c r="F657" s="421">
        <v>1</v>
      </c>
      <c r="G657" s="68" t="s">
        <v>717</v>
      </c>
      <c r="H657" s="68" t="s">
        <v>781</v>
      </c>
      <c r="I657" s="68" t="s">
        <v>797</v>
      </c>
      <c r="J657" s="420" t="s">
        <v>812</v>
      </c>
      <c r="K657" s="68" t="s">
        <v>734</v>
      </c>
      <c r="L657" s="415">
        <v>7.0188800000000002</v>
      </c>
      <c r="M657" s="415">
        <v>8.2477199999999993</v>
      </c>
      <c r="N657" s="367" t="s">
        <v>813</v>
      </c>
      <c r="O657" s="17">
        <v>15</v>
      </c>
      <c r="P657" s="17">
        <v>0</v>
      </c>
      <c r="Q657" s="17">
        <v>0</v>
      </c>
      <c r="R657" s="17">
        <v>4</v>
      </c>
      <c r="S657" s="17">
        <v>2</v>
      </c>
      <c r="T657" s="344">
        <v>251611140.63</v>
      </c>
      <c r="U657" s="351">
        <f t="shared" si="17"/>
        <v>251611140.63</v>
      </c>
    </row>
    <row r="658" spans="2:21" ht="86.25" x14ac:dyDescent="0.3">
      <c r="B658" s="16">
        <v>7</v>
      </c>
      <c r="C658" s="467" t="s">
        <v>1204</v>
      </c>
      <c r="D658" s="71" t="s">
        <v>856</v>
      </c>
      <c r="E658" s="72" t="s">
        <v>1584</v>
      </c>
      <c r="F658" s="421">
        <v>1</v>
      </c>
      <c r="G658" s="68" t="s">
        <v>717</v>
      </c>
      <c r="H658" s="72" t="s">
        <v>846</v>
      </c>
      <c r="I658" s="68" t="s">
        <v>797</v>
      </c>
      <c r="J658" s="420" t="s">
        <v>812</v>
      </c>
      <c r="K658" s="68" t="s">
        <v>734</v>
      </c>
      <c r="L658" s="432">
        <v>7.4987500000000002</v>
      </c>
      <c r="M658" s="432">
        <v>9.6113769999999992</v>
      </c>
      <c r="N658" s="367" t="s">
        <v>813</v>
      </c>
      <c r="O658" s="17">
        <v>12</v>
      </c>
      <c r="P658" s="17">
        <v>1</v>
      </c>
      <c r="Q658" s="17">
        <v>0</v>
      </c>
      <c r="R658" s="17">
        <v>6</v>
      </c>
      <c r="S658" s="17">
        <v>4</v>
      </c>
      <c r="T658" s="344">
        <v>229101033</v>
      </c>
      <c r="U658" s="351">
        <f t="shared" si="17"/>
        <v>229101033</v>
      </c>
    </row>
    <row r="659" spans="2:21" ht="102" customHeight="1" x14ac:dyDescent="0.3">
      <c r="B659" s="16">
        <v>8</v>
      </c>
      <c r="C659" s="467" t="s">
        <v>1205</v>
      </c>
      <c r="D659" s="76" t="s">
        <v>857</v>
      </c>
      <c r="E659" s="72" t="s">
        <v>1909</v>
      </c>
      <c r="F659" s="421">
        <v>1</v>
      </c>
      <c r="G659" s="68" t="s">
        <v>718</v>
      </c>
      <c r="H659" s="72" t="s">
        <v>850</v>
      </c>
      <c r="I659" s="68" t="s">
        <v>782</v>
      </c>
      <c r="J659" s="420" t="s">
        <v>812</v>
      </c>
      <c r="K659" s="68" t="s">
        <v>734</v>
      </c>
      <c r="L659" s="432">
        <v>7.2247310000000002</v>
      </c>
      <c r="M659" s="422">
        <v>8.1036509999999993</v>
      </c>
      <c r="N659" s="367" t="s">
        <v>813</v>
      </c>
      <c r="O659" s="17">
        <v>13</v>
      </c>
      <c r="P659" s="17">
        <v>0</v>
      </c>
      <c r="Q659" s="17">
        <v>1</v>
      </c>
      <c r="R659" s="17">
        <v>0</v>
      </c>
      <c r="S659" s="17">
        <v>4</v>
      </c>
      <c r="T659" s="344">
        <v>208534208.25</v>
      </c>
      <c r="U659" s="351">
        <f t="shared" si="17"/>
        <v>208534208.25</v>
      </c>
    </row>
    <row r="660" spans="2:21" ht="49.5" customHeight="1" x14ac:dyDescent="0.3">
      <c r="B660" s="16">
        <v>9</v>
      </c>
      <c r="C660" s="467" t="s">
        <v>1206</v>
      </c>
      <c r="D660" s="69" t="s">
        <v>859</v>
      </c>
      <c r="E660" s="72" t="s">
        <v>1585</v>
      </c>
      <c r="F660" s="421">
        <v>1</v>
      </c>
      <c r="G660" s="68" t="s">
        <v>717</v>
      </c>
      <c r="H660" s="421" t="s">
        <v>860</v>
      </c>
      <c r="I660" s="68" t="s">
        <v>782</v>
      </c>
      <c r="J660" s="420" t="s">
        <v>812</v>
      </c>
      <c r="K660" s="68" t="s">
        <v>734</v>
      </c>
      <c r="L660" s="415">
        <v>7.9481000000000002</v>
      </c>
      <c r="M660" s="415">
        <v>9.4594400000000007</v>
      </c>
      <c r="N660" s="495" t="s">
        <v>813</v>
      </c>
      <c r="O660" s="17">
        <v>4</v>
      </c>
      <c r="P660" s="17">
        <v>0</v>
      </c>
      <c r="Q660" s="17">
        <v>0</v>
      </c>
      <c r="R660" s="17">
        <v>0</v>
      </c>
      <c r="S660" s="17">
        <v>4</v>
      </c>
      <c r="T660" s="344">
        <v>96101468.629999995</v>
      </c>
      <c r="U660" s="351">
        <f t="shared" si="17"/>
        <v>96101468.629999995</v>
      </c>
    </row>
    <row r="661" spans="2:21" ht="17.25" hidden="1" x14ac:dyDescent="0.3">
      <c r="B661" s="16">
        <v>10</v>
      </c>
      <c r="C661" s="107"/>
      <c r="D661" s="76"/>
      <c r="E661" s="72"/>
      <c r="F661" s="93"/>
      <c r="G661" s="68"/>
      <c r="H661" s="93"/>
      <c r="I661" s="68"/>
      <c r="J661" s="93"/>
      <c r="K661" s="68"/>
      <c r="L661" s="16"/>
      <c r="M661" s="16"/>
      <c r="N661" s="367"/>
      <c r="O661" s="17"/>
      <c r="P661" s="17"/>
      <c r="Q661" s="17"/>
      <c r="R661" s="17"/>
      <c r="S661" s="17"/>
      <c r="T661" s="344">
        <v>0</v>
      </c>
      <c r="U661" s="351">
        <f t="shared" si="17"/>
        <v>0</v>
      </c>
    </row>
    <row r="662" spans="2:21" ht="17.25" hidden="1" x14ac:dyDescent="0.3">
      <c r="B662" s="16">
        <v>11</v>
      </c>
      <c r="C662" s="107"/>
      <c r="D662" s="77"/>
      <c r="E662" s="72"/>
      <c r="F662" s="93"/>
      <c r="G662" s="68"/>
      <c r="H662" s="93"/>
      <c r="I662" s="68"/>
      <c r="J662" s="93"/>
      <c r="K662" s="68"/>
      <c r="L662" s="16"/>
      <c r="M662" s="16"/>
      <c r="N662" s="367"/>
      <c r="O662" s="17"/>
      <c r="P662" s="17"/>
      <c r="Q662" s="17"/>
      <c r="R662" s="17"/>
      <c r="S662" s="17"/>
      <c r="T662" s="344">
        <v>0</v>
      </c>
      <c r="U662" s="351">
        <f t="shared" si="17"/>
        <v>0</v>
      </c>
    </row>
    <row r="663" spans="2:21" ht="17.25" hidden="1" x14ac:dyDescent="0.3">
      <c r="B663" s="16">
        <v>12</v>
      </c>
      <c r="C663" s="107"/>
      <c r="D663" s="77"/>
      <c r="E663" s="72"/>
      <c r="F663" s="93"/>
      <c r="G663" s="68"/>
      <c r="H663" s="93"/>
      <c r="I663" s="68"/>
      <c r="J663" s="93"/>
      <c r="K663" s="68"/>
      <c r="L663" s="16"/>
      <c r="M663" s="16"/>
      <c r="N663" s="367"/>
      <c r="O663" s="17"/>
      <c r="P663" s="17"/>
      <c r="Q663" s="17"/>
      <c r="R663" s="17"/>
      <c r="S663" s="17"/>
      <c r="T663" s="344">
        <v>0</v>
      </c>
      <c r="U663" s="351">
        <f t="shared" si="17"/>
        <v>0</v>
      </c>
    </row>
    <row r="664" spans="2:21" ht="17.25" hidden="1" x14ac:dyDescent="0.3">
      <c r="B664" s="16">
        <v>13</v>
      </c>
      <c r="C664" s="107"/>
      <c r="D664" s="77"/>
      <c r="E664" s="72"/>
      <c r="F664" s="93"/>
      <c r="G664" s="68"/>
      <c r="H664" s="93"/>
      <c r="I664" s="68"/>
      <c r="J664" s="93"/>
      <c r="K664" s="68"/>
      <c r="L664" s="16"/>
      <c r="M664" s="16"/>
      <c r="N664" s="367"/>
      <c r="O664" s="17"/>
      <c r="P664" s="17"/>
      <c r="Q664" s="17"/>
      <c r="R664" s="17"/>
      <c r="S664" s="17"/>
      <c r="T664" s="344">
        <v>0</v>
      </c>
      <c r="U664" s="351">
        <f t="shared" si="17"/>
        <v>0</v>
      </c>
    </row>
    <row r="665" spans="2:21" ht="17.25" hidden="1" x14ac:dyDescent="0.3">
      <c r="B665" s="16">
        <v>14</v>
      </c>
      <c r="C665" s="107"/>
      <c r="D665" s="77"/>
      <c r="E665" s="72"/>
      <c r="F665" s="93"/>
      <c r="G665" s="68"/>
      <c r="H665" s="93"/>
      <c r="I665" s="68"/>
      <c r="J665" s="93"/>
      <c r="K665" s="68"/>
      <c r="L665" s="16"/>
      <c r="M665" s="16"/>
      <c r="N665" s="367"/>
      <c r="O665" s="17"/>
      <c r="P665" s="17"/>
      <c r="Q665" s="17"/>
      <c r="R665" s="17"/>
      <c r="S665" s="17"/>
      <c r="T665" s="344">
        <v>0</v>
      </c>
      <c r="U665" s="351">
        <f t="shared" si="17"/>
        <v>0</v>
      </c>
    </row>
    <row r="666" spans="2:21" ht="17.25" hidden="1" x14ac:dyDescent="0.3">
      <c r="B666" s="16">
        <v>15</v>
      </c>
      <c r="C666" s="107"/>
      <c r="D666" s="77"/>
      <c r="E666" s="72"/>
      <c r="F666" s="93"/>
      <c r="G666" s="68"/>
      <c r="H666" s="93"/>
      <c r="I666" s="68"/>
      <c r="J666" s="93"/>
      <c r="K666" s="68"/>
      <c r="L666" s="16"/>
      <c r="M666" s="16"/>
      <c r="N666" s="367"/>
      <c r="O666" s="17"/>
      <c r="P666" s="17"/>
      <c r="Q666" s="17"/>
      <c r="R666" s="17"/>
      <c r="S666" s="17"/>
      <c r="T666" s="344">
        <v>0</v>
      </c>
      <c r="U666" s="351">
        <f t="shared" si="17"/>
        <v>0</v>
      </c>
    </row>
    <row r="667" spans="2:21" ht="17.25" hidden="1" x14ac:dyDescent="0.3">
      <c r="B667" s="16">
        <v>16</v>
      </c>
      <c r="C667" s="107"/>
      <c r="D667" s="77"/>
      <c r="E667" s="72"/>
      <c r="F667" s="93"/>
      <c r="G667" s="68"/>
      <c r="H667" s="93"/>
      <c r="I667" s="68"/>
      <c r="J667" s="93"/>
      <c r="K667" s="68"/>
      <c r="L667" s="16"/>
      <c r="M667" s="16"/>
      <c r="N667" s="367"/>
      <c r="O667" s="17"/>
      <c r="P667" s="17"/>
      <c r="Q667" s="17"/>
      <c r="R667" s="17"/>
      <c r="S667" s="17"/>
      <c r="T667" s="344">
        <v>0</v>
      </c>
      <c r="U667" s="351">
        <f t="shared" si="17"/>
        <v>0</v>
      </c>
    </row>
    <row r="668" spans="2:21" ht="17.25" hidden="1" x14ac:dyDescent="0.3">
      <c r="B668" s="16">
        <v>17</v>
      </c>
      <c r="C668" s="107"/>
      <c r="D668" s="77"/>
      <c r="E668" s="72"/>
      <c r="F668" s="93"/>
      <c r="G668" s="68"/>
      <c r="H668" s="93"/>
      <c r="I668" s="68"/>
      <c r="J668" s="93"/>
      <c r="K668" s="68"/>
      <c r="L668" s="16"/>
      <c r="M668" s="16"/>
      <c r="N668" s="367"/>
      <c r="O668" s="17"/>
      <c r="P668" s="17"/>
      <c r="Q668" s="17"/>
      <c r="R668" s="17"/>
      <c r="S668" s="17"/>
      <c r="T668" s="344">
        <v>0</v>
      </c>
      <c r="U668" s="351">
        <f t="shared" si="17"/>
        <v>0</v>
      </c>
    </row>
    <row r="669" spans="2:21" ht="17.25" hidden="1" x14ac:dyDescent="0.3">
      <c r="B669" s="16">
        <v>18</v>
      </c>
      <c r="C669" s="107"/>
      <c r="D669" s="77"/>
      <c r="E669" s="72"/>
      <c r="F669" s="93"/>
      <c r="G669" s="68"/>
      <c r="H669" s="93"/>
      <c r="I669" s="68"/>
      <c r="J669" s="93"/>
      <c r="K669" s="68"/>
      <c r="L669" s="16"/>
      <c r="M669" s="16"/>
      <c r="N669" s="367"/>
      <c r="O669" s="17"/>
      <c r="P669" s="17"/>
      <c r="Q669" s="17"/>
      <c r="R669" s="17"/>
      <c r="S669" s="17"/>
      <c r="T669" s="344">
        <v>0</v>
      </c>
      <c r="U669" s="351">
        <f t="shared" si="17"/>
        <v>0</v>
      </c>
    </row>
    <row r="670" spans="2:21" ht="17.25" hidden="1" x14ac:dyDescent="0.3">
      <c r="B670" s="16">
        <v>19</v>
      </c>
      <c r="C670" s="107"/>
      <c r="D670" s="77"/>
      <c r="E670" s="72"/>
      <c r="F670" s="93"/>
      <c r="G670" s="68"/>
      <c r="H670" s="93"/>
      <c r="I670" s="68"/>
      <c r="J670" s="93"/>
      <c r="K670" s="68"/>
      <c r="L670" s="16"/>
      <c r="M670" s="16"/>
      <c r="N670" s="367"/>
      <c r="O670" s="17"/>
      <c r="P670" s="17"/>
      <c r="Q670" s="17"/>
      <c r="R670" s="17"/>
      <c r="S670" s="17"/>
      <c r="T670" s="344">
        <v>0</v>
      </c>
      <c r="U670" s="351">
        <f t="shared" si="17"/>
        <v>0</v>
      </c>
    </row>
    <row r="671" spans="2:21" ht="17.25" hidden="1" x14ac:dyDescent="0.3">
      <c r="B671" s="16">
        <v>20</v>
      </c>
      <c r="C671" s="107"/>
      <c r="D671" s="77"/>
      <c r="E671" s="72"/>
      <c r="F671" s="93"/>
      <c r="G671" s="68"/>
      <c r="H671" s="93"/>
      <c r="I671" s="68"/>
      <c r="J671" s="93"/>
      <c r="K671" s="68"/>
      <c r="L671" s="16"/>
      <c r="M671" s="16"/>
      <c r="N671" s="367"/>
      <c r="O671" s="17"/>
      <c r="P671" s="17"/>
      <c r="Q671" s="17"/>
      <c r="R671" s="17"/>
      <c r="S671" s="17"/>
      <c r="T671" s="344">
        <v>0</v>
      </c>
      <c r="U671" s="351">
        <f t="shared" si="17"/>
        <v>0</v>
      </c>
    </row>
    <row r="672" spans="2:21" ht="17.25" hidden="1" x14ac:dyDescent="0.3">
      <c r="B672" s="16">
        <v>21</v>
      </c>
      <c r="C672" s="107"/>
      <c r="D672" s="77"/>
      <c r="E672" s="72"/>
      <c r="F672" s="93"/>
      <c r="G672" s="68"/>
      <c r="H672" s="93"/>
      <c r="I672" s="68"/>
      <c r="J672" s="93"/>
      <c r="K672" s="68"/>
      <c r="L672" s="16"/>
      <c r="M672" s="16"/>
      <c r="N672" s="367"/>
      <c r="O672" s="17"/>
      <c r="P672" s="17"/>
      <c r="Q672" s="17"/>
      <c r="R672" s="17"/>
      <c r="S672" s="17"/>
      <c r="T672" s="344">
        <v>0</v>
      </c>
      <c r="U672" s="351">
        <f t="shared" si="17"/>
        <v>0</v>
      </c>
    </row>
    <row r="673" spans="2:21" ht="17.25" hidden="1" x14ac:dyDescent="0.3">
      <c r="B673" s="16">
        <v>22</v>
      </c>
      <c r="C673" s="107"/>
      <c r="D673" s="77"/>
      <c r="E673" s="72"/>
      <c r="F673" s="93"/>
      <c r="G673" s="68"/>
      <c r="H673" s="93"/>
      <c r="I673" s="68"/>
      <c r="J673" s="93"/>
      <c r="K673" s="68"/>
      <c r="L673" s="16"/>
      <c r="M673" s="16"/>
      <c r="N673" s="367"/>
      <c r="O673" s="17"/>
      <c r="P673" s="17"/>
      <c r="Q673" s="17"/>
      <c r="R673" s="17"/>
      <c r="S673" s="17"/>
      <c r="T673" s="344">
        <v>0</v>
      </c>
      <c r="U673" s="351">
        <f t="shared" si="17"/>
        <v>0</v>
      </c>
    </row>
    <row r="674" spans="2:21" ht="17.25" hidden="1" x14ac:dyDescent="0.3">
      <c r="B674" s="16">
        <v>23</v>
      </c>
      <c r="C674" s="107"/>
      <c r="D674" s="77"/>
      <c r="E674" s="72"/>
      <c r="F674" s="93"/>
      <c r="G674" s="68"/>
      <c r="H674" s="93"/>
      <c r="I674" s="68"/>
      <c r="J674" s="93"/>
      <c r="K674" s="68"/>
      <c r="L674" s="16"/>
      <c r="M674" s="16"/>
      <c r="N674" s="367"/>
      <c r="O674" s="17"/>
      <c r="P674" s="17"/>
      <c r="Q674" s="17"/>
      <c r="R674" s="17"/>
      <c r="S674" s="17"/>
      <c r="T674" s="344">
        <v>0</v>
      </c>
      <c r="U674" s="351">
        <f t="shared" si="17"/>
        <v>0</v>
      </c>
    </row>
    <row r="675" spans="2:21" ht="17.25" hidden="1" x14ac:dyDescent="0.3">
      <c r="B675" s="16">
        <v>24</v>
      </c>
      <c r="C675" s="107"/>
      <c r="D675" s="77"/>
      <c r="E675" s="72"/>
      <c r="F675" s="93"/>
      <c r="G675" s="68"/>
      <c r="H675" s="93"/>
      <c r="I675" s="68"/>
      <c r="J675" s="93"/>
      <c r="K675" s="68"/>
      <c r="L675" s="16"/>
      <c r="M675" s="16"/>
      <c r="N675" s="367"/>
      <c r="O675" s="17"/>
      <c r="P675" s="17"/>
      <c r="Q675" s="17"/>
      <c r="R675" s="17"/>
      <c r="S675" s="17"/>
      <c r="T675" s="344">
        <v>0</v>
      </c>
      <c r="U675" s="351">
        <f t="shared" si="17"/>
        <v>0</v>
      </c>
    </row>
    <row r="676" spans="2:21" ht="17.25" hidden="1" x14ac:dyDescent="0.3">
      <c r="B676" s="16">
        <v>25</v>
      </c>
      <c r="C676" s="107"/>
      <c r="D676" s="77"/>
      <c r="E676" s="72"/>
      <c r="F676" s="93"/>
      <c r="G676" s="68"/>
      <c r="H676" s="93"/>
      <c r="I676" s="68"/>
      <c r="J676" s="93"/>
      <c r="K676" s="68"/>
      <c r="L676" s="16"/>
      <c r="M676" s="16"/>
      <c r="N676" s="367"/>
      <c r="O676" s="17"/>
      <c r="P676" s="17"/>
      <c r="Q676" s="17"/>
      <c r="R676" s="17"/>
      <c r="S676" s="17"/>
      <c r="T676" s="344">
        <v>0</v>
      </c>
      <c r="U676" s="351">
        <f t="shared" si="17"/>
        <v>0</v>
      </c>
    </row>
    <row r="677" spans="2:21" ht="17.25" hidden="1" x14ac:dyDescent="0.3">
      <c r="B677" s="16">
        <v>26</v>
      </c>
      <c r="C677" s="107"/>
      <c r="D677" s="77"/>
      <c r="E677" s="72"/>
      <c r="F677" s="93"/>
      <c r="G677" s="68"/>
      <c r="H677" s="93"/>
      <c r="I677" s="68"/>
      <c r="J677" s="93"/>
      <c r="K677" s="68"/>
      <c r="L677" s="16"/>
      <c r="M677" s="16"/>
      <c r="N677" s="367"/>
      <c r="O677" s="17"/>
      <c r="P677" s="17"/>
      <c r="Q677" s="17"/>
      <c r="R677" s="17"/>
      <c r="S677" s="17"/>
      <c r="T677" s="344">
        <v>0</v>
      </c>
      <c r="U677" s="351">
        <f t="shared" si="17"/>
        <v>0</v>
      </c>
    </row>
    <row r="678" spans="2:21" ht="17.25" hidden="1" x14ac:dyDescent="0.3">
      <c r="B678" s="16">
        <v>27</v>
      </c>
      <c r="C678" s="119"/>
      <c r="D678" s="120"/>
      <c r="E678" s="121"/>
      <c r="F678" s="93"/>
      <c r="G678" s="68"/>
      <c r="H678" s="93"/>
      <c r="I678" s="68"/>
      <c r="J678" s="93"/>
      <c r="K678" s="68"/>
      <c r="L678" s="16"/>
      <c r="M678" s="16"/>
      <c r="N678" s="367"/>
      <c r="O678" s="17"/>
      <c r="P678" s="17"/>
      <c r="Q678" s="17"/>
      <c r="R678" s="17"/>
      <c r="S678" s="17"/>
      <c r="T678" s="344">
        <v>0</v>
      </c>
      <c r="U678" s="351">
        <f t="shared" si="17"/>
        <v>0</v>
      </c>
    </row>
    <row r="679" spans="2:21" ht="17.25" hidden="1" x14ac:dyDescent="0.3">
      <c r="B679" s="16">
        <v>28</v>
      </c>
      <c r="C679" s="107"/>
      <c r="D679" s="77"/>
      <c r="E679" s="72"/>
      <c r="F679" s="93"/>
      <c r="G679" s="68"/>
      <c r="H679" s="93"/>
      <c r="I679" s="68"/>
      <c r="J679" s="93"/>
      <c r="K679" s="68"/>
      <c r="L679" s="16"/>
      <c r="M679" s="16"/>
      <c r="N679" s="367"/>
      <c r="O679" s="17"/>
      <c r="P679" s="17"/>
      <c r="Q679" s="17"/>
      <c r="R679" s="17"/>
      <c r="S679" s="17"/>
      <c r="T679" s="344">
        <v>0</v>
      </c>
      <c r="U679" s="351">
        <f t="shared" si="17"/>
        <v>0</v>
      </c>
    </row>
    <row r="680" spans="2:21" ht="17.25" hidden="1" x14ac:dyDescent="0.3">
      <c r="B680" s="16">
        <v>29</v>
      </c>
      <c r="C680" s="107"/>
      <c r="D680" s="77"/>
      <c r="E680" s="72"/>
      <c r="F680" s="93"/>
      <c r="G680" s="68"/>
      <c r="H680" s="93"/>
      <c r="I680" s="68"/>
      <c r="J680" s="93"/>
      <c r="K680" s="68"/>
      <c r="L680" s="16"/>
      <c r="M680" s="16"/>
      <c r="N680" s="367"/>
      <c r="O680" s="17"/>
      <c r="P680" s="17"/>
      <c r="Q680" s="17"/>
      <c r="R680" s="17"/>
      <c r="S680" s="17"/>
      <c r="T680" s="344">
        <v>0</v>
      </c>
      <c r="U680" s="351">
        <f t="shared" si="17"/>
        <v>0</v>
      </c>
    </row>
    <row r="681" spans="2:21" ht="17.25" hidden="1" x14ac:dyDescent="0.3">
      <c r="B681" s="16">
        <v>30</v>
      </c>
      <c r="C681" s="107"/>
      <c r="D681" s="77"/>
      <c r="E681" s="72"/>
      <c r="F681" s="93"/>
      <c r="G681" s="68"/>
      <c r="H681" s="93"/>
      <c r="I681" s="68"/>
      <c r="J681" s="93"/>
      <c r="K681" s="68"/>
      <c r="L681" s="16"/>
      <c r="M681" s="16"/>
      <c r="N681" s="367"/>
      <c r="O681" s="17"/>
      <c r="P681" s="17"/>
      <c r="Q681" s="17"/>
      <c r="R681" s="17"/>
      <c r="S681" s="17"/>
      <c r="T681" s="344">
        <v>0</v>
      </c>
      <c r="U681" s="351">
        <f t="shared" si="17"/>
        <v>0</v>
      </c>
    </row>
    <row r="682" spans="2:21" ht="17.25" hidden="1" x14ac:dyDescent="0.3">
      <c r="B682" s="16">
        <v>31</v>
      </c>
      <c r="C682" s="107"/>
      <c r="D682" s="76"/>
      <c r="E682" s="72"/>
      <c r="F682" s="93"/>
      <c r="G682" s="68"/>
      <c r="H682" s="93"/>
      <c r="I682" s="68"/>
      <c r="J682" s="93"/>
      <c r="K682" s="68"/>
      <c r="L682" s="16"/>
      <c r="M682" s="16"/>
      <c r="N682" s="367"/>
      <c r="O682" s="17"/>
      <c r="P682" s="17"/>
      <c r="Q682" s="17"/>
      <c r="R682" s="17"/>
      <c r="S682" s="17"/>
      <c r="T682" s="344">
        <v>0</v>
      </c>
      <c r="U682" s="351">
        <f t="shared" si="17"/>
        <v>0</v>
      </c>
    </row>
    <row r="683" spans="2:21" ht="17.25" hidden="1" x14ac:dyDescent="0.3">
      <c r="B683" s="16">
        <v>32</v>
      </c>
      <c r="C683" s="107"/>
      <c r="D683" s="76"/>
      <c r="E683" s="72"/>
      <c r="F683" s="93"/>
      <c r="G683" s="68"/>
      <c r="H683" s="93"/>
      <c r="I683" s="68"/>
      <c r="J683" s="93"/>
      <c r="K683" s="68"/>
      <c r="L683" s="16"/>
      <c r="M683" s="16"/>
      <c r="N683" s="367"/>
      <c r="O683" s="17"/>
      <c r="P683" s="17"/>
      <c r="Q683" s="17"/>
      <c r="R683" s="17"/>
      <c r="S683" s="17"/>
      <c r="T683" s="344">
        <v>0</v>
      </c>
      <c r="U683" s="351">
        <f t="shared" si="17"/>
        <v>0</v>
      </c>
    </row>
    <row r="684" spans="2:21" ht="17.25" hidden="1" x14ac:dyDescent="0.3">
      <c r="B684" s="16">
        <v>33</v>
      </c>
      <c r="C684" s="107"/>
      <c r="D684" s="76"/>
      <c r="E684" s="72"/>
      <c r="F684" s="93"/>
      <c r="G684" s="68"/>
      <c r="H684" s="93"/>
      <c r="I684" s="68"/>
      <c r="J684" s="93"/>
      <c r="K684" s="68"/>
      <c r="L684" s="16"/>
      <c r="M684" s="16"/>
      <c r="N684" s="367"/>
      <c r="O684" s="17"/>
      <c r="P684" s="17"/>
      <c r="Q684" s="17"/>
      <c r="R684" s="17"/>
      <c r="S684" s="17"/>
      <c r="T684" s="344">
        <v>0</v>
      </c>
      <c r="U684" s="351">
        <f t="shared" ref="U684:U715" si="18">F684*T684</f>
        <v>0</v>
      </c>
    </row>
    <row r="685" spans="2:21" ht="17.25" hidden="1" x14ac:dyDescent="0.3">
      <c r="B685" s="16">
        <v>34</v>
      </c>
      <c r="C685" s="107"/>
      <c r="D685" s="76"/>
      <c r="E685" s="72"/>
      <c r="F685" s="93"/>
      <c r="G685" s="68"/>
      <c r="H685" s="93"/>
      <c r="I685" s="68"/>
      <c r="J685" s="93"/>
      <c r="K685" s="68"/>
      <c r="L685" s="16"/>
      <c r="M685" s="16"/>
      <c r="N685" s="367"/>
      <c r="O685" s="17"/>
      <c r="P685" s="17"/>
      <c r="Q685" s="17"/>
      <c r="R685" s="17"/>
      <c r="S685" s="17"/>
      <c r="T685" s="344">
        <v>0</v>
      </c>
      <c r="U685" s="351">
        <f t="shared" si="18"/>
        <v>0</v>
      </c>
    </row>
    <row r="686" spans="2:21" ht="17.25" hidden="1" x14ac:dyDescent="0.3">
      <c r="B686" s="16">
        <v>35</v>
      </c>
      <c r="C686" s="107"/>
      <c r="D686" s="77"/>
      <c r="E686" s="72"/>
      <c r="F686" s="93"/>
      <c r="G686" s="68"/>
      <c r="H686" s="93"/>
      <c r="I686" s="68"/>
      <c r="J686" s="93"/>
      <c r="K686" s="68"/>
      <c r="L686" s="16"/>
      <c r="M686" s="16"/>
      <c r="N686" s="367"/>
      <c r="O686" s="17"/>
      <c r="P686" s="17"/>
      <c r="Q686" s="17"/>
      <c r="R686" s="17"/>
      <c r="S686" s="17"/>
      <c r="T686" s="344">
        <v>0</v>
      </c>
      <c r="U686" s="351">
        <f t="shared" si="18"/>
        <v>0</v>
      </c>
    </row>
    <row r="687" spans="2:21" ht="17.25" hidden="1" x14ac:dyDescent="0.3">
      <c r="B687" s="16">
        <v>36</v>
      </c>
      <c r="C687" s="107"/>
      <c r="D687" s="77"/>
      <c r="E687" s="72"/>
      <c r="F687" s="93"/>
      <c r="G687" s="68"/>
      <c r="H687" s="93"/>
      <c r="I687" s="68"/>
      <c r="J687" s="93"/>
      <c r="K687" s="68"/>
      <c r="L687" s="16"/>
      <c r="M687" s="16"/>
      <c r="N687" s="367"/>
      <c r="O687" s="17"/>
      <c r="P687" s="17"/>
      <c r="Q687" s="17"/>
      <c r="R687" s="17"/>
      <c r="S687" s="17"/>
      <c r="T687" s="344">
        <v>0</v>
      </c>
      <c r="U687" s="351">
        <f t="shared" si="18"/>
        <v>0</v>
      </c>
    </row>
    <row r="688" spans="2:21" ht="17.25" hidden="1" x14ac:dyDescent="0.3">
      <c r="B688" s="16">
        <v>37</v>
      </c>
      <c r="C688" s="107"/>
      <c r="D688" s="77"/>
      <c r="E688" s="72"/>
      <c r="F688" s="93"/>
      <c r="G688" s="68"/>
      <c r="H688" s="93"/>
      <c r="I688" s="68"/>
      <c r="J688" s="93"/>
      <c r="K688" s="68"/>
      <c r="L688" s="16"/>
      <c r="M688" s="16"/>
      <c r="N688" s="367"/>
      <c r="O688" s="17"/>
      <c r="P688" s="17"/>
      <c r="Q688" s="17"/>
      <c r="R688" s="17"/>
      <c r="S688" s="17"/>
      <c r="T688" s="344">
        <v>0</v>
      </c>
      <c r="U688" s="351">
        <f t="shared" si="18"/>
        <v>0</v>
      </c>
    </row>
    <row r="689" spans="2:21" ht="17.25" hidden="1" x14ac:dyDescent="0.3">
      <c r="B689" s="16">
        <v>38</v>
      </c>
      <c r="C689" s="107"/>
      <c r="D689" s="77"/>
      <c r="E689" s="72"/>
      <c r="F689" s="93"/>
      <c r="G689" s="68"/>
      <c r="H689" s="93"/>
      <c r="I689" s="68"/>
      <c r="J689" s="93"/>
      <c r="K689" s="68"/>
      <c r="L689" s="16"/>
      <c r="M689" s="16"/>
      <c r="N689" s="367"/>
      <c r="O689" s="17"/>
      <c r="P689" s="17"/>
      <c r="Q689" s="17"/>
      <c r="R689" s="17"/>
      <c r="S689" s="17"/>
      <c r="T689" s="344">
        <v>0</v>
      </c>
      <c r="U689" s="351">
        <f t="shared" si="18"/>
        <v>0</v>
      </c>
    </row>
    <row r="690" spans="2:21" ht="17.25" hidden="1" x14ac:dyDescent="0.3">
      <c r="B690" s="16">
        <v>39</v>
      </c>
      <c r="C690" s="107"/>
      <c r="D690" s="77"/>
      <c r="E690" s="72"/>
      <c r="F690" s="93"/>
      <c r="G690" s="68"/>
      <c r="H690" s="93"/>
      <c r="I690" s="68"/>
      <c r="J690" s="93"/>
      <c r="K690" s="68"/>
      <c r="L690" s="16"/>
      <c r="M690" s="16"/>
      <c r="N690" s="367"/>
      <c r="O690" s="17"/>
      <c r="P690" s="17"/>
      <c r="Q690" s="17"/>
      <c r="R690" s="17"/>
      <c r="S690" s="17"/>
      <c r="T690" s="344">
        <v>0</v>
      </c>
      <c r="U690" s="351">
        <f t="shared" si="18"/>
        <v>0</v>
      </c>
    </row>
    <row r="691" spans="2:21" ht="17.25" hidden="1" x14ac:dyDescent="0.3">
      <c r="B691" s="16">
        <v>40</v>
      </c>
      <c r="C691" s="107"/>
      <c r="D691" s="77"/>
      <c r="E691" s="72"/>
      <c r="F691" s="93"/>
      <c r="G691" s="68"/>
      <c r="H691" s="93"/>
      <c r="I691" s="68"/>
      <c r="J691" s="93"/>
      <c r="K691" s="68"/>
      <c r="L691" s="16"/>
      <c r="M691" s="16"/>
      <c r="N691" s="367"/>
      <c r="O691" s="17"/>
      <c r="P691" s="17"/>
      <c r="Q691" s="17"/>
      <c r="R691" s="17"/>
      <c r="S691" s="17"/>
      <c r="T691" s="344">
        <v>0</v>
      </c>
      <c r="U691" s="351">
        <f t="shared" si="18"/>
        <v>0</v>
      </c>
    </row>
    <row r="692" spans="2:21" ht="17.25" hidden="1" x14ac:dyDescent="0.3">
      <c r="B692" s="16">
        <v>41</v>
      </c>
      <c r="C692" s="107"/>
      <c r="D692" s="77"/>
      <c r="E692" s="72"/>
      <c r="F692" s="93"/>
      <c r="G692" s="68"/>
      <c r="H692" s="93"/>
      <c r="I692" s="68"/>
      <c r="J692" s="93"/>
      <c r="K692" s="68"/>
      <c r="L692" s="16"/>
      <c r="M692" s="16"/>
      <c r="N692" s="367"/>
      <c r="O692" s="17"/>
      <c r="P692" s="17"/>
      <c r="Q692" s="17"/>
      <c r="R692" s="17"/>
      <c r="S692" s="17"/>
      <c r="T692" s="344">
        <v>0</v>
      </c>
      <c r="U692" s="351">
        <f t="shared" si="18"/>
        <v>0</v>
      </c>
    </row>
    <row r="693" spans="2:21" ht="17.25" hidden="1" x14ac:dyDescent="0.3">
      <c r="B693" s="16">
        <v>42</v>
      </c>
      <c r="C693" s="107"/>
      <c r="D693" s="77"/>
      <c r="E693" s="72"/>
      <c r="F693" s="93"/>
      <c r="G693" s="68"/>
      <c r="H693" s="93"/>
      <c r="I693" s="68"/>
      <c r="J693" s="93"/>
      <c r="K693" s="68"/>
      <c r="L693" s="16"/>
      <c r="M693" s="16"/>
      <c r="N693" s="367"/>
      <c r="O693" s="17"/>
      <c r="P693" s="17"/>
      <c r="Q693" s="17"/>
      <c r="R693" s="17"/>
      <c r="S693" s="17"/>
      <c r="T693" s="344">
        <v>0</v>
      </c>
      <c r="U693" s="351">
        <f t="shared" si="18"/>
        <v>0</v>
      </c>
    </row>
    <row r="694" spans="2:21" ht="17.25" hidden="1" x14ac:dyDescent="0.3">
      <c r="B694" s="16">
        <v>43</v>
      </c>
      <c r="C694" s="119"/>
      <c r="D694" s="120"/>
      <c r="E694" s="121"/>
      <c r="F694" s="93"/>
      <c r="G694" s="68"/>
      <c r="H694" s="93"/>
      <c r="I694" s="68"/>
      <c r="J694" s="93"/>
      <c r="K694" s="68"/>
      <c r="L694" s="16"/>
      <c r="M694" s="16"/>
      <c r="N694" s="367"/>
      <c r="O694" s="17"/>
      <c r="P694" s="17"/>
      <c r="Q694" s="17"/>
      <c r="R694" s="17"/>
      <c r="S694" s="17"/>
      <c r="T694" s="344">
        <v>0</v>
      </c>
      <c r="U694" s="351">
        <f t="shared" si="18"/>
        <v>0</v>
      </c>
    </row>
    <row r="695" spans="2:21" ht="17.25" hidden="1" x14ac:dyDescent="0.3">
      <c r="B695" s="16">
        <v>44</v>
      </c>
      <c r="C695" s="107"/>
      <c r="D695" s="77"/>
      <c r="E695" s="72"/>
      <c r="F695" s="93"/>
      <c r="G695" s="68"/>
      <c r="H695" s="93"/>
      <c r="I695" s="68"/>
      <c r="J695" s="93"/>
      <c r="K695" s="68"/>
      <c r="L695" s="16"/>
      <c r="M695" s="16"/>
      <c r="N695" s="367"/>
      <c r="O695" s="17"/>
      <c r="P695" s="17"/>
      <c r="Q695" s="17"/>
      <c r="R695" s="17"/>
      <c r="S695" s="17"/>
      <c r="T695" s="344">
        <v>0</v>
      </c>
      <c r="U695" s="351">
        <f t="shared" si="18"/>
        <v>0</v>
      </c>
    </row>
    <row r="696" spans="2:21" ht="17.25" hidden="1" x14ac:dyDescent="0.3">
      <c r="B696" s="16">
        <v>45</v>
      </c>
      <c r="C696" s="107"/>
      <c r="D696" s="77"/>
      <c r="E696" s="72"/>
      <c r="F696" s="93"/>
      <c r="G696" s="68"/>
      <c r="H696" s="93"/>
      <c r="I696" s="68"/>
      <c r="J696" s="93"/>
      <c r="K696" s="68"/>
      <c r="L696" s="16"/>
      <c r="M696" s="16"/>
      <c r="N696" s="367"/>
      <c r="O696" s="17"/>
      <c r="P696" s="17"/>
      <c r="Q696" s="17"/>
      <c r="R696" s="17"/>
      <c r="S696" s="17"/>
      <c r="T696" s="344">
        <v>0</v>
      </c>
      <c r="U696" s="351">
        <f t="shared" si="18"/>
        <v>0</v>
      </c>
    </row>
    <row r="697" spans="2:21" ht="17.25" hidden="1" x14ac:dyDescent="0.3">
      <c r="B697" s="16">
        <v>46</v>
      </c>
      <c r="C697" s="107"/>
      <c r="D697" s="77"/>
      <c r="E697" s="72"/>
      <c r="F697" s="93"/>
      <c r="G697" s="68"/>
      <c r="H697" s="93"/>
      <c r="I697" s="68"/>
      <c r="J697" s="93"/>
      <c r="K697" s="68"/>
      <c r="L697" s="16"/>
      <c r="M697" s="16"/>
      <c r="N697" s="367"/>
      <c r="O697" s="17"/>
      <c r="P697" s="17"/>
      <c r="Q697" s="17"/>
      <c r="R697" s="17"/>
      <c r="S697" s="17"/>
      <c r="T697" s="344">
        <v>0</v>
      </c>
      <c r="U697" s="351">
        <f t="shared" si="18"/>
        <v>0</v>
      </c>
    </row>
    <row r="698" spans="2:21" ht="17.25" hidden="1" x14ac:dyDescent="0.3">
      <c r="B698" s="16">
        <v>47</v>
      </c>
      <c r="C698" s="107"/>
      <c r="D698" s="77"/>
      <c r="E698" s="72"/>
      <c r="F698" s="93"/>
      <c r="G698" s="68"/>
      <c r="H698" s="93"/>
      <c r="I698" s="68"/>
      <c r="J698" s="93"/>
      <c r="K698" s="68"/>
      <c r="L698" s="16"/>
      <c r="M698" s="16"/>
      <c r="N698" s="367"/>
      <c r="O698" s="17"/>
      <c r="P698" s="17"/>
      <c r="Q698" s="17"/>
      <c r="R698" s="17"/>
      <c r="S698" s="17"/>
      <c r="T698" s="344">
        <v>0</v>
      </c>
      <c r="U698" s="351">
        <f t="shared" si="18"/>
        <v>0</v>
      </c>
    </row>
    <row r="699" spans="2:21" ht="17.25" hidden="1" x14ac:dyDescent="0.3">
      <c r="B699" s="16">
        <v>48</v>
      </c>
      <c r="C699" s="107"/>
      <c r="D699" s="77"/>
      <c r="E699" s="72"/>
      <c r="F699" s="93"/>
      <c r="G699" s="68"/>
      <c r="H699" s="93"/>
      <c r="I699" s="68"/>
      <c r="J699" s="93"/>
      <c r="K699" s="68"/>
      <c r="L699" s="16"/>
      <c r="M699" s="16"/>
      <c r="N699" s="367"/>
      <c r="O699" s="17"/>
      <c r="P699" s="17"/>
      <c r="Q699" s="17"/>
      <c r="R699" s="17"/>
      <c r="S699" s="17"/>
      <c r="T699" s="344">
        <v>0</v>
      </c>
      <c r="U699" s="351">
        <f t="shared" si="18"/>
        <v>0</v>
      </c>
    </row>
    <row r="700" spans="2:21" ht="17.25" hidden="1" x14ac:dyDescent="0.3">
      <c r="B700" s="16">
        <v>49</v>
      </c>
      <c r="C700" s="107"/>
      <c r="D700" s="77"/>
      <c r="E700" s="72"/>
      <c r="F700" s="93"/>
      <c r="G700" s="68"/>
      <c r="H700" s="93"/>
      <c r="I700" s="68"/>
      <c r="J700" s="93"/>
      <c r="K700" s="68"/>
      <c r="L700" s="16"/>
      <c r="M700" s="16"/>
      <c r="N700" s="367"/>
      <c r="O700" s="17"/>
      <c r="P700" s="17"/>
      <c r="Q700" s="17"/>
      <c r="R700" s="17"/>
      <c r="S700" s="17"/>
      <c r="T700" s="344">
        <v>0</v>
      </c>
      <c r="U700" s="351">
        <f t="shared" si="18"/>
        <v>0</v>
      </c>
    </row>
    <row r="701" spans="2:21" ht="17.25" hidden="1" x14ac:dyDescent="0.3">
      <c r="B701" s="16">
        <v>50</v>
      </c>
      <c r="C701" s="107"/>
      <c r="D701" s="77"/>
      <c r="E701" s="72"/>
      <c r="F701" s="93"/>
      <c r="G701" s="68"/>
      <c r="H701" s="93"/>
      <c r="I701" s="68"/>
      <c r="J701" s="93"/>
      <c r="K701" s="68"/>
      <c r="L701" s="16"/>
      <c r="M701" s="16"/>
      <c r="N701" s="367"/>
      <c r="O701" s="17"/>
      <c r="P701" s="17"/>
      <c r="Q701" s="17"/>
      <c r="R701" s="17"/>
      <c r="S701" s="17"/>
      <c r="T701" s="344">
        <v>0</v>
      </c>
      <c r="U701" s="351">
        <f t="shared" si="18"/>
        <v>0</v>
      </c>
    </row>
    <row r="702" spans="2:21" ht="17.25" hidden="1" x14ac:dyDescent="0.3">
      <c r="B702" s="16">
        <v>51</v>
      </c>
      <c r="C702" s="107"/>
      <c r="D702" s="77"/>
      <c r="E702" s="72"/>
      <c r="F702" s="93"/>
      <c r="G702" s="68"/>
      <c r="H702" s="93"/>
      <c r="I702" s="68"/>
      <c r="J702" s="93"/>
      <c r="K702" s="68"/>
      <c r="L702" s="16"/>
      <c r="M702" s="16"/>
      <c r="N702" s="367"/>
      <c r="O702" s="17"/>
      <c r="P702" s="17"/>
      <c r="Q702" s="17"/>
      <c r="R702" s="17"/>
      <c r="S702" s="17"/>
      <c r="T702" s="344">
        <v>0</v>
      </c>
      <c r="U702" s="351">
        <f t="shared" si="18"/>
        <v>0</v>
      </c>
    </row>
    <row r="703" spans="2:21" ht="17.25" hidden="1" x14ac:dyDescent="0.3">
      <c r="B703" s="16">
        <v>52</v>
      </c>
      <c r="C703" s="107"/>
      <c r="D703" s="77"/>
      <c r="E703" s="72"/>
      <c r="F703" s="93"/>
      <c r="G703" s="68"/>
      <c r="H703" s="93"/>
      <c r="I703" s="68"/>
      <c r="J703" s="93"/>
      <c r="K703" s="68"/>
      <c r="L703" s="16"/>
      <c r="M703" s="16"/>
      <c r="N703" s="367"/>
      <c r="O703" s="17"/>
      <c r="P703" s="17"/>
      <c r="Q703" s="17"/>
      <c r="R703" s="17"/>
      <c r="S703" s="17"/>
      <c r="T703" s="344">
        <v>0</v>
      </c>
      <c r="U703" s="351">
        <f t="shared" si="18"/>
        <v>0</v>
      </c>
    </row>
    <row r="704" spans="2:21" ht="17.25" hidden="1" x14ac:dyDescent="0.3">
      <c r="B704" s="16">
        <v>53</v>
      </c>
      <c r="C704" s="107"/>
      <c r="D704" s="77"/>
      <c r="E704" s="72"/>
      <c r="F704" s="93"/>
      <c r="G704" s="68"/>
      <c r="H704" s="93"/>
      <c r="I704" s="68"/>
      <c r="J704" s="93"/>
      <c r="K704" s="68"/>
      <c r="L704" s="16"/>
      <c r="M704" s="16"/>
      <c r="N704" s="367"/>
      <c r="O704" s="17"/>
      <c r="P704" s="17"/>
      <c r="Q704" s="17"/>
      <c r="R704" s="17"/>
      <c r="S704" s="17"/>
      <c r="T704" s="344">
        <v>0</v>
      </c>
      <c r="U704" s="351">
        <f t="shared" si="18"/>
        <v>0</v>
      </c>
    </row>
    <row r="705" spans="2:21" ht="17.25" hidden="1" x14ac:dyDescent="0.3">
      <c r="B705" s="16">
        <v>54</v>
      </c>
      <c r="C705" s="107"/>
      <c r="D705" s="77"/>
      <c r="E705" s="72"/>
      <c r="F705" s="93"/>
      <c r="G705" s="68"/>
      <c r="H705" s="93"/>
      <c r="I705" s="68"/>
      <c r="J705" s="93"/>
      <c r="K705" s="68"/>
      <c r="L705" s="16"/>
      <c r="M705" s="16"/>
      <c r="N705" s="367"/>
      <c r="O705" s="17"/>
      <c r="P705" s="17"/>
      <c r="Q705" s="17"/>
      <c r="R705" s="17"/>
      <c r="S705" s="17"/>
      <c r="T705" s="344">
        <v>0</v>
      </c>
      <c r="U705" s="351">
        <f t="shared" si="18"/>
        <v>0</v>
      </c>
    </row>
    <row r="706" spans="2:21" ht="17.25" hidden="1" x14ac:dyDescent="0.3">
      <c r="B706" s="16">
        <v>55</v>
      </c>
      <c r="C706" s="107"/>
      <c r="D706" s="77"/>
      <c r="E706" s="72"/>
      <c r="F706" s="93"/>
      <c r="G706" s="68"/>
      <c r="H706" s="93"/>
      <c r="I706" s="68"/>
      <c r="J706" s="93"/>
      <c r="K706" s="68"/>
      <c r="L706" s="16"/>
      <c r="M706" s="16"/>
      <c r="N706" s="367"/>
      <c r="O706" s="17"/>
      <c r="P706" s="17"/>
      <c r="Q706" s="17"/>
      <c r="R706" s="17"/>
      <c r="S706" s="17"/>
      <c r="T706" s="344">
        <v>0</v>
      </c>
      <c r="U706" s="351">
        <f t="shared" si="18"/>
        <v>0</v>
      </c>
    </row>
    <row r="707" spans="2:21" ht="17.25" hidden="1" x14ac:dyDescent="0.3">
      <c r="B707" s="16">
        <v>56</v>
      </c>
      <c r="C707" s="107"/>
      <c r="D707" s="77"/>
      <c r="E707" s="72"/>
      <c r="F707" s="93"/>
      <c r="G707" s="68"/>
      <c r="H707" s="93"/>
      <c r="I707" s="68"/>
      <c r="J707" s="93"/>
      <c r="K707" s="68"/>
      <c r="L707" s="16"/>
      <c r="M707" s="16"/>
      <c r="N707" s="367"/>
      <c r="O707" s="17"/>
      <c r="P707" s="17"/>
      <c r="Q707" s="17"/>
      <c r="R707" s="17"/>
      <c r="S707" s="17"/>
      <c r="T707" s="344">
        <v>0</v>
      </c>
      <c r="U707" s="351">
        <f t="shared" si="18"/>
        <v>0</v>
      </c>
    </row>
    <row r="708" spans="2:21" ht="17.25" hidden="1" x14ac:dyDescent="0.3">
      <c r="B708" s="16">
        <v>57</v>
      </c>
      <c r="C708" s="107"/>
      <c r="D708" s="77"/>
      <c r="E708" s="72"/>
      <c r="F708" s="93"/>
      <c r="G708" s="68"/>
      <c r="H708" s="93"/>
      <c r="I708" s="68"/>
      <c r="J708" s="93"/>
      <c r="K708" s="68"/>
      <c r="L708" s="16"/>
      <c r="M708" s="16"/>
      <c r="N708" s="367"/>
      <c r="O708" s="17"/>
      <c r="P708" s="17"/>
      <c r="Q708" s="17"/>
      <c r="R708" s="17"/>
      <c r="S708" s="17"/>
      <c r="T708" s="344">
        <v>0</v>
      </c>
      <c r="U708" s="351">
        <f t="shared" si="18"/>
        <v>0</v>
      </c>
    </row>
    <row r="709" spans="2:21" ht="17.25" hidden="1" x14ac:dyDescent="0.3">
      <c r="B709" s="16">
        <v>58</v>
      </c>
      <c r="C709" s="107"/>
      <c r="D709" s="77"/>
      <c r="E709" s="72"/>
      <c r="F709" s="93"/>
      <c r="G709" s="68"/>
      <c r="H709" s="93"/>
      <c r="I709" s="68"/>
      <c r="J709" s="93"/>
      <c r="K709" s="68"/>
      <c r="L709" s="16"/>
      <c r="M709" s="16"/>
      <c r="N709" s="367"/>
      <c r="O709" s="17"/>
      <c r="P709" s="17"/>
      <c r="Q709" s="17"/>
      <c r="R709" s="17"/>
      <c r="S709" s="17"/>
      <c r="T709" s="344">
        <v>0</v>
      </c>
      <c r="U709" s="351">
        <f t="shared" si="18"/>
        <v>0</v>
      </c>
    </row>
    <row r="710" spans="2:21" ht="17.25" hidden="1" x14ac:dyDescent="0.3">
      <c r="B710" s="16">
        <v>59</v>
      </c>
      <c r="C710" s="107"/>
      <c r="D710" s="77"/>
      <c r="E710" s="72"/>
      <c r="F710" s="93"/>
      <c r="G710" s="68"/>
      <c r="H710" s="93"/>
      <c r="I710" s="68"/>
      <c r="J710" s="93"/>
      <c r="K710" s="68"/>
      <c r="L710" s="16"/>
      <c r="M710" s="16"/>
      <c r="N710" s="367"/>
      <c r="O710" s="17"/>
      <c r="P710" s="17"/>
      <c r="Q710" s="17"/>
      <c r="R710" s="17"/>
      <c r="S710" s="17"/>
      <c r="T710" s="344">
        <v>0</v>
      </c>
      <c r="U710" s="351">
        <f t="shared" si="18"/>
        <v>0</v>
      </c>
    </row>
    <row r="711" spans="2:21" ht="17.25" hidden="1" x14ac:dyDescent="0.3">
      <c r="B711" s="16">
        <v>60</v>
      </c>
      <c r="C711" s="107"/>
      <c r="D711" s="77"/>
      <c r="E711" s="72"/>
      <c r="F711" s="93"/>
      <c r="G711" s="68"/>
      <c r="H711" s="93"/>
      <c r="I711" s="68"/>
      <c r="J711" s="93"/>
      <c r="K711" s="68"/>
      <c r="L711" s="16"/>
      <c r="M711" s="16"/>
      <c r="N711" s="367"/>
      <c r="O711" s="17"/>
      <c r="P711" s="17"/>
      <c r="Q711" s="17"/>
      <c r="R711" s="17"/>
      <c r="S711" s="17"/>
      <c r="T711" s="344">
        <v>0</v>
      </c>
      <c r="U711" s="351">
        <f t="shared" si="18"/>
        <v>0</v>
      </c>
    </row>
    <row r="712" spans="2:21" ht="17.25" hidden="1" x14ac:dyDescent="0.3">
      <c r="B712" s="16">
        <v>61</v>
      </c>
      <c r="C712" s="107"/>
      <c r="D712" s="77"/>
      <c r="E712" s="72"/>
      <c r="F712" s="93"/>
      <c r="G712" s="68"/>
      <c r="H712" s="93"/>
      <c r="I712" s="68"/>
      <c r="J712" s="93"/>
      <c r="K712" s="68"/>
      <c r="L712" s="16"/>
      <c r="M712" s="16"/>
      <c r="N712" s="367"/>
      <c r="O712" s="17"/>
      <c r="P712" s="17"/>
      <c r="Q712" s="17"/>
      <c r="R712" s="17"/>
      <c r="S712" s="17"/>
      <c r="T712" s="344">
        <v>0</v>
      </c>
      <c r="U712" s="351">
        <f t="shared" si="18"/>
        <v>0</v>
      </c>
    </row>
    <row r="713" spans="2:21" ht="17.25" hidden="1" x14ac:dyDescent="0.3">
      <c r="B713" s="16">
        <v>62</v>
      </c>
      <c r="C713" s="107"/>
      <c r="D713" s="77"/>
      <c r="E713" s="72"/>
      <c r="F713" s="93"/>
      <c r="G713" s="68"/>
      <c r="H713" s="93"/>
      <c r="I713" s="68"/>
      <c r="J713" s="93"/>
      <c r="K713" s="68"/>
      <c r="L713" s="16"/>
      <c r="M713" s="16"/>
      <c r="N713" s="367"/>
      <c r="O713" s="17"/>
      <c r="P713" s="17"/>
      <c r="Q713" s="17"/>
      <c r="R713" s="17"/>
      <c r="S713" s="17"/>
      <c r="T713" s="344">
        <v>0</v>
      </c>
      <c r="U713" s="351">
        <f t="shared" si="18"/>
        <v>0</v>
      </c>
    </row>
    <row r="714" spans="2:21" ht="17.25" hidden="1" x14ac:dyDescent="0.3">
      <c r="B714" s="16">
        <v>63</v>
      </c>
      <c r="C714" s="107"/>
      <c r="D714" s="77"/>
      <c r="E714" s="72"/>
      <c r="F714" s="93"/>
      <c r="G714" s="68"/>
      <c r="H714" s="93"/>
      <c r="I714" s="68"/>
      <c r="J714" s="93"/>
      <c r="K714" s="68"/>
      <c r="L714" s="16"/>
      <c r="M714" s="16"/>
      <c r="N714" s="367"/>
      <c r="O714" s="17"/>
      <c r="P714" s="17"/>
      <c r="Q714" s="17"/>
      <c r="R714" s="17"/>
      <c r="S714" s="17"/>
      <c r="T714" s="344">
        <v>0</v>
      </c>
      <c r="U714" s="351">
        <f t="shared" si="18"/>
        <v>0</v>
      </c>
    </row>
    <row r="715" spans="2:21" ht="17.25" hidden="1" x14ac:dyDescent="0.3">
      <c r="B715" s="16">
        <v>64</v>
      </c>
      <c r="C715" s="107"/>
      <c r="D715" s="77"/>
      <c r="E715" s="72"/>
      <c r="F715" s="93"/>
      <c r="G715" s="68"/>
      <c r="H715" s="93"/>
      <c r="I715" s="68"/>
      <c r="J715" s="93"/>
      <c r="K715" s="68"/>
      <c r="L715" s="16"/>
      <c r="M715" s="16"/>
      <c r="N715" s="367"/>
      <c r="O715" s="17"/>
      <c r="P715" s="17"/>
      <c r="Q715" s="17"/>
      <c r="R715" s="17"/>
      <c r="S715" s="17"/>
      <c r="T715" s="344">
        <v>0</v>
      </c>
      <c r="U715" s="351">
        <f t="shared" si="18"/>
        <v>0</v>
      </c>
    </row>
    <row r="716" spans="2:21" ht="17.25" hidden="1" x14ac:dyDescent="0.3">
      <c r="B716" s="16">
        <v>65</v>
      </c>
      <c r="C716" s="107"/>
      <c r="D716" s="77"/>
      <c r="E716" s="72"/>
      <c r="F716" s="93"/>
      <c r="G716" s="68"/>
      <c r="H716" s="93"/>
      <c r="I716" s="68"/>
      <c r="J716" s="93"/>
      <c r="K716" s="68"/>
      <c r="L716" s="16"/>
      <c r="M716" s="16"/>
      <c r="N716" s="367"/>
      <c r="O716" s="17"/>
      <c r="P716" s="17"/>
      <c r="Q716" s="17"/>
      <c r="R716" s="17"/>
      <c r="S716" s="17"/>
      <c r="T716" s="344">
        <v>0</v>
      </c>
      <c r="U716" s="351">
        <f t="shared" ref="U716:U747" si="19">F716*T716</f>
        <v>0</v>
      </c>
    </row>
    <row r="717" spans="2:21" ht="17.25" hidden="1" x14ac:dyDescent="0.3">
      <c r="B717" s="16">
        <v>66</v>
      </c>
      <c r="C717" s="107"/>
      <c r="D717" s="77"/>
      <c r="E717" s="72"/>
      <c r="F717" s="93"/>
      <c r="G717" s="68"/>
      <c r="H717" s="93"/>
      <c r="I717" s="68"/>
      <c r="J717" s="93"/>
      <c r="K717" s="68"/>
      <c r="L717" s="16"/>
      <c r="M717" s="16"/>
      <c r="N717" s="367"/>
      <c r="O717" s="17"/>
      <c r="P717" s="17"/>
      <c r="Q717" s="17"/>
      <c r="R717" s="17"/>
      <c r="S717" s="17"/>
      <c r="T717" s="344">
        <v>0</v>
      </c>
      <c r="U717" s="351">
        <f t="shared" si="19"/>
        <v>0</v>
      </c>
    </row>
    <row r="718" spans="2:21" ht="17.25" hidden="1" x14ac:dyDescent="0.3">
      <c r="B718" s="16">
        <v>67</v>
      </c>
      <c r="C718" s="107"/>
      <c r="D718" s="77"/>
      <c r="E718" s="72"/>
      <c r="F718" s="93"/>
      <c r="G718" s="68"/>
      <c r="H718" s="93"/>
      <c r="I718" s="68"/>
      <c r="J718" s="93"/>
      <c r="K718" s="68"/>
      <c r="L718" s="16"/>
      <c r="M718" s="16"/>
      <c r="N718" s="367"/>
      <c r="O718" s="17"/>
      <c r="P718" s="17"/>
      <c r="Q718" s="17"/>
      <c r="R718" s="17"/>
      <c r="S718" s="17"/>
      <c r="T718" s="344">
        <v>0</v>
      </c>
      <c r="U718" s="351">
        <f t="shared" si="19"/>
        <v>0</v>
      </c>
    </row>
    <row r="719" spans="2:21" ht="17.25" hidden="1" x14ac:dyDescent="0.3">
      <c r="B719" s="16">
        <v>68</v>
      </c>
      <c r="C719" s="107"/>
      <c r="D719" s="77"/>
      <c r="E719" s="72"/>
      <c r="F719" s="93"/>
      <c r="G719" s="68"/>
      <c r="H719" s="93"/>
      <c r="I719" s="68"/>
      <c r="J719" s="93"/>
      <c r="K719" s="68"/>
      <c r="L719" s="16"/>
      <c r="M719" s="16"/>
      <c r="N719" s="367"/>
      <c r="O719" s="17"/>
      <c r="P719" s="17"/>
      <c r="Q719" s="17"/>
      <c r="R719" s="17"/>
      <c r="S719" s="17"/>
      <c r="T719" s="344">
        <v>0</v>
      </c>
      <c r="U719" s="351">
        <f t="shared" si="19"/>
        <v>0</v>
      </c>
    </row>
    <row r="720" spans="2:21" ht="17.25" hidden="1" x14ac:dyDescent="0.3">
      <c r="B720" s="16">
        <v>69</v>
      </c>
      <c r="C720" s="107"/>
      <c r="D720" s="77"/>
      <c r="E720" s="72"/>
      <c r="F720" s="93"/>
      <c r="G720" s="68"/>
      <c r="H720" s="93"/>
      <c r="I720" s="68"/>
      <c r="J720" s="93"/>
      <c r="K720" s="68"/>
      <c r="L720" s="16"/>
      <c r="M720" s="16"/>
      <c r="N720" s="367"/>
      <c r="O720" s="17"/>
      <c r="P720" s="17"/>
      <c r="Q720" s="17"/>
      <c r="R720" s="17"/>
      <c r="S720" s="17"/>
      <c r="T720" s="344">
        <v>0</v>
      </c>
      <c r="U720" s="351">
        <f t="shared" si="19"/>
        <v>0</v>
      </c>
    </row>
    <row r="721" spans="2:21" ht="17.25" hidden="1" x14ac:dyDescent="0.3">
      <c r="B721" s="16">
        <v>70</v>
      </c>
      <c r="C721" s="107"/>
      <c r="D721" s="77"/>
      <c r="E721" s="72"/>
      <c r="F721" s="93"/>
      <c r="G721" s="68"/>
      <c r="H721" s="93"/>
      <c r="I721" s="68"/>
      <c r="J721" s="93"/>
      <c r="K721" s="68"/>
      <c r="L721" s="16"/>
      <c r="M721" s="16"/>
      <c r="N721" s="367"/>
      <c r="O721" s="17"/>
      <c r="P721" s="17"/>
      <c r="Q721" s="17"/>
      <c r="R721" s="17"/>
      <c r="S721" s="17"/>
      <c r="T721" s="344">
        <v>0</v>
      </c>
      <c r="U721" s="351">
        <f t="shared" si="19"/>
        <v>0</v>
      </c>
    </row>
    <row r="722" spans="2:21" ht="17.25" hidden="1" x14ac:dyDescent="0.3">
      <c r="B722" s="16">
        <v>71</v>
      </c>
      <c r="C722" s="107"/>
      <c r="D722" s="77"/>
      <c r="E722" s="72"/>
      <c r="F722" s="93"/>
      <c r="G722" s="68"/>
      <c r="H722" s="93"/>
      <c r="I722" s="68"/>
      <c r="J722" s="93"/>
      <c r="K722" s="68"/>
      <c r="L722" s="16"/>
      <c r="M722" s="16"/>
      <c r="N722" s="367"/>
      <c r="O722" s="17"/>
      <c r="P722" s="17"/>
      <c r="Q722" s="17"/>
      <c r="R722" s="17"/>
      <c r="S722" s="17"/>
      <c r="T722" s="344">
        <v>0</v>
      </c>
      <c r="U722" s="351">
        <f t="shared" si="19"/>
        <v>0</v>
      </c>
    </row>
    <row r="723" spans="2:21" ht="17.25" hidden="1" x14ac:dyDescent="0.3">
      <c r="B723" s="16">
        <v>72</v>
      </c>
      <c r="C723" s="107"/>
      <c r="D723" s="77"/>
      <c r="E723" s="72"/>
      <c r="F723" s="93"/>
      <c r="G723" s="68"/>
      <c r="H723" s="93"/>
      <c r="I723" s="68"/>
      <c r="J723" s="93"/>
      <c r="K723" s="68"/>
      <c r="L723" s="16"/>
      <c r="M723" s="16"/>
      <c r="N723" s="367"/>
      <c r="O723" s="17"/>
      <c r="P723" s="17"/>
      <c r="Q723" s="17"/>
      <c r="R723" s="17"/>
      <c r="S723" s="17"/>
      <c r="T723" s="344">
        <v>0</v>
      </c>
      <c r="U723" s="351">
        <f t="shared" si="19"/>
        <v>0</v>
      </c>
    </row>
    <row r="724" spans="2:21" ht="17.25" hidden="1" x14ac:dyDescent="0.3">
      <c r="B724" s="16">
        <v>73</v>
      </c>
      <c r="C724" s="107"/>
      <c r="D724" s="77"/>
      <c r="E724" s="72"/>
      <c r="F724" s="93"/>
      <c r="G724" s="68"/>
      <c r="H724" s="93"/>
      <c r="I724" s="68"/>
      <c r="J724" s="93"/>
      <c r="K724" s="68"/>
      <c r="L724" s="16"/>
      <c r="M724" s="16"/>
      <c r="N724" s="367"/>
      <c r="O724" s="17"/>
      <c r="P724" s="17"/>
      <c r="Q724" s="17"/>
      <c r="R724" s="17"/>
      <c r="S724" s="17"/>
      <c r="T724" s="344">
        <v>0</v>
      </c>
      <c r="U724" s="351">
        <f t="shared" si="19"/>
        <v>0</v>
      </c>
    </row>
    <row r="725" spans="2:21" ht="17.25" hidden="1" x14ac:dyDescent="0.3">
      <c r="B725" s="16">
        <v>74</v>
      </c>
      <c r="C725" s="107"/>
      <c r="D725" s="77"/>
      <c r="E725" s="72"/>
      <c r="F725" s="93"/>
      <c r="G725" s="68"/>
      <c r="H725" s="93"/>
      <c r="I725" s="68"/>
      <c r="J725" s="93"/>
      <c r="K725" s="68"/>
      <c r="L725" s="16"/>
      <c r="M725" s="16"/>
      <c r="N725" s="367"/>
      <c r="O725" s="17"/>
      <c r="P725" s="17"/>
      <c r="Q725" s="17"/>
      <c r="R725" s="17"/>
      <c r="S725" s="17"/>
      <c r="T725" s="344">
        <v>0</v>
      </c>
      <c r="U725" s="351">
        <f t="shared" si="19"/>
        <v>0</v>
      </c>
    </row>
    <row r="726" spans="2:21" ht="17.25" hidden="1" x14ac:dyDescent="0.3">
      <c r="B726" s="16">
        <v>75</v>
      </c>
      <c r="C726" s="107"/>
      <c r="D726" s="77"/>
      <c r="E726" s="72"/>
      <c r="F726" s="93"/>
      <c r="G726" s="68"/>
      <c r="H726" s="93"/>
      <c r="I726" s="68"/>
      <c r="J726" s="93"/>
      <c r="K726" s="68"/>
      <c r="L726" s="16"/>
      <c r="M726" s="16"/>
      <c r="N726" s="367"/>
      <c r="O726" s="17"/>
      <c r="P726" s="17"/>
      <c r="Q726" s="17"/>
      <c r="R726" s="17"/>
      <c r="S726" s="17"/>
      <c r="T726" s="344">
        <v>0</v>
      </c>
      <c r="U726" s="351">
        <f t="shared" si="19"/>
        <v>0</v>
      </c>
    </row>
    <row r="727" spans="2:21" ht="17.25" hidden="1" x14ac:dyDescent="0.3">
      <c r="B727" s="16">
        <v>76</v>
      </c>
      <c r="C727" s="107"/>
      <c r="D727" s="77"/>
      <c r="E727" s="72"/>
      <c r="F727" s="93"/>
      <c r="G727" s="68"/>
      <c r="H727" s="93"/>
      <c r="I727" s="68"/>
      <c r="J727" s="93"/>
      <c r="K727" s="68"/>
      <c r="L727" s="16"/>
      <c r="M727" s="16"/>
      <c r="N727" s="367"/>
      <c r="O727" s="17"/>
      <c r="P727" s="17"/>
      <c r="Q727" s="17"/>
      <c r="R727" s="17"/>
      <c r="S727" s="17"/>
      <c r="T727" s="344">
        <v>0</v>
      </c>
      <c r="U727" s="351">
        <f t="shared" si="19"/>
        <v>0</v>
      </c>
    </row>
    <row r="728" spans="2:21" ht="17.25" hidden="1" x14ac:dyDescent="0.3">
      <c r="B728" s="16">
        <v>77</v>
      </c>
      <c r="C728" s="107"/>
      <c r="D728" s="77"/>
      <c r="E728" s="72"/>
      <c r="F728" s="93"/>
      <c r="G728" s="68"/>
      <c r="H728" s="93"/>
      <c r="I728" s="68"/>
      <c r="J728" s="93"/>
      <c r="K728" s="68"/>
      <c r="L728" s="16"/>
      <c r="M728" s="16"/>
      <c r="N728" s="367"/>
      <c r="O728" s="17"/>
      <c r="P728" s="17"/>
      <c r="Q728" s="17"/>
      <c r="R728" s="17"/>
      <c r="S728" s="17"/>
      <c r="T728" s="344">
        <v>0</v>
      </c>
      <c r="U728" s="351">
        <f t="shared" si="19"/>
        <v>0</v>
      </c>
    </row>
    <row r="729" spans="2:21" ht="17.25" hidden="1" x14ac:dyDescent="0.3">
      <c r="B729" s="16">
        <v>78</v>
      </c>
      <c r="C729" s="107"/>
      <c r="D729" s="77"/>
      <c r="E729" s="72"/>
      <c r="F729" s="93"/>
      <c r="G729" s="68"/>
      <c r="H729" s="93"/>
      <c r="I729" s="68"/>
      <c r="J729" s="93"/>
      <c r="K729" s="68"/>
      <c r="L729" s="16"/>
      <c r="M729" s="16"/>
      <c r="N729" s="367"/>
      <c r="O729" s="17"/>
      <c r="P729" s="17"/>
      <c r="Q729" s="17"/>
      <c r="R729" s="17"/>
      <c r="S729" s="17"/>
      <c r="T729" s="344">
        <v>0</v>
      </c>
      <c r="U729" s="351">
        <f t="shared" si="19"/>
        <v>0</v>
      </c>
    </row>
    <row r="730" spans="2:21" ht="17.25" hidden="1" x14ac:dyDescent="0.3">
      <c r="B730" s="16">
        <v>79</v>
      </c>
      <c r="C730" s="107"/>
      <c r="D730" s="77"/>
      <c r="E730" s="72"/>
      <c r="F730" s="93"/>
      <c r="G730" s="68"/>
      <c r="H730" s="93"/>
      <c r="I730" s="68"/>
      <c r="J730" s="93"/>
      <c r="K730" s="68"/>
      <c r="L730" s="16"/>
      <c r="M730" s="16"/>
      <c r="N730" s="367"/>
      <c r="O730" s="17"/>
      <c r="P730" s="17"/>
      <c r="Q730" s="17"/>
      <c r="R730" s="17"/>
      <c r="S730" s="17"/>
      <c r="T730" s="344">
        <v>0</v>
      </c>
      <c r="U730" s="351">
        <f t="shared" si="19"/>
        <v>0</v>
      </c>
    </row>
    <row r="731" spans="2:21" ht="17.25" hidden="1" x14ac:dyDescent="0.3">
      <c r="B731" s="16">
        <v>80</v>
      </c>
      <c r="C731" s="107"/>
      <c r="D731" s="77"/>
      <c r="E731" s="72"/>
      <c r="F731" s="93"/>
      <c r="G731" s="68"/>
      <c r="H731" s="93"/>
      <c r="I731" s="68"/>
      <c r="J731" s="93"/>
      <c r="K731" s="68"/>
      <c r="L731" s="16"/>
      <c r="M731" s="16"/>
      <c r="N731" s="367"/>
      <c r="O731" s="17"/>
      <c r="P731" s="17"/>
      <c r="Q731" s="17"/>
      <c r="R731" s="17"/>
      <c r="S731" s="17"/>
      <c r="T731" s="344">
        <v>0</v>
      </c>
      <c r="U731" s="351">
        <f t="shared" si="19"/>
        <v>0</v>
      </c>
    </row>
    <row r="732" spans="2:21" ht="17.25" hidden="1" x14ac:dyDescent="0.3">
      <c r="B732" s="16">
        <v>81</v>
      </c>
      <c r="C732" s="107"/>
      <c r="D732" s="77"/>
      <c r="E732" s="72"/>
      <c r="F732" s="93"/>
      <c r="G732" s="68"/>
      <c r="H732" s="93"/>
      <c r="I732" s="68"/>
      <c r="J732" s="93"/>
      <c r="K732" s="68"/>
      <c r="L732" s="16"/>
      <c r="M732" s="16"/>
      <c r="N732" s="367"/>
      <c r="O732" s="17"/>
      <c r="P732" s="17"/>
      <c r="Q732" s="17"/>
      <c r="R732" s="17"/>
      <c r="S732" s="17"/>
      <c r="T732" s="344">
        <v>0</v>
      </c>
      <c r="U732" s="351">
        <f t="shared" si="19"/>
        <v>0</v>
      </c>
    </row>
    <row r="733" spans="2:21" ht="17.25" hidden="1" x14ac:dyDescent="0.3">
      <c r="B733" s="16">
        <v>82</v>
      </c>
      <c r="C733" s="107"/>
      <c r="D733" s="77"/>
      <c r="E733" s="72"/>
      <c r="F733" s="93"/>
      <c r="G733" s="68"/>
      <c r="H733" s="93"/>
      <c r="I733" s="68"/>
      <c r="J733" s="93"/>
      <c r="K733" s="68"/>
      <c r="L733" s="16"/>
      <c r="M733" s="16"/>
      <c r="N733" s="367"/>
      <c r="O733" s="17"/>
      <c r="P733" s="17"/>
      <c r="Q733" s="17"/>
      <c r="R733" s="17"/>
      <c r="S733" s="17"/>
      <c r="T733" s="344">
        <v>0</v>
      </c>
      <c r="U733" s="351">
        <f t="shared" si="19"/>
        <v>0</v>
      </c>
    </row>
    <row r="734" spans="2:21" ht="17.25" hidden="1" x14ac:dyDescent="0.3">
      <c r="B734" s="16">
        <v>83</v>
      </c>
      <c r="C734" s="107"/>
      <c r="D734" s="77"/>
      <c r="E734" s="72"/>
      <c r="F734" s="93"/>
      <c r="G734" s="68"/>
      <c r="H734" s="93"/>
      <c r="I734" s="68"/>
      <c r="J734" s="93"/>
      <c r="K734" s="68"/>
      <c r="L734" s="16"/>
      <c r="M734" s="16"/>
      <c r="N734" s="367"/>
      <c r="O734" s="17"/>
      <c r="P734" s="17"/>
      <c r="Q734" s="17"/>
      <c r="R734" s="17"/>
      <c r="S734" s="17"/>
      <c r="T734" s="344">
        <v>0</v>
      </c>
      <c r="U734" s="351">
        <f t="shared" si="19"/>
        <v>0</v>
      </c>
    </row>
    <row r="735" spans="2:21" ht="17.25" hidden="1" x14ac:dyDescent="0.3">
      <c r="B735" s="16">
        <v>84</v>
      </c>
      <c r="C735" s="107"/>
      <c r="D735" s="77"/>
      <c r="E735" s="72"/>
      <c r="F735" s="93"/>
      <c r="G735" s="68"/>
      <c r="H735" s="93"/>
      <c r="I735" s="68"/>
      <c r="J735" s="93"/>
      <c r="K735" s="68"/>
      <c r="L735" s="16"/>
      <c r="M735" s="16"/>
      <c r="N735" s="367"/>
      <c r="O735" s="17"/>
      <c r="P735" s="17"/>
      <c r="Q735" s="17"/>
      <c r="R735" s="17"/>
      <c r="S735" s="17"/>
      <c r="T735" s="344">
        <v>0</v>
      </c>
      <c r="U735" s="351">
        <f t="shared" si="19"/>
        <v>0</v>
      </c>
    </row>
    <row r="736" spans="2:21" ht="17.25" hidden="1" x14ac:dyDescent="0.3">
      <c r="B736" s="16">
        <v>85</v>
      </c>
      <c r="C736" s="107"/>
      <c r="D736" s="77"/>
      <c r="E736" s="72"/>
      <c r="F736" s="93"/>
      <c r="G736" s="68"/>
      <c r="H736" s="93"/>
      <c r="I736" s="68"/>
      <c r="J736" s="93"/>
      <c r="K736" s="68"/>
      <c r="L736" s="16"/>
      <c r="M736" s="16"/>
      <c r="N736" s="367"/>
      <c r="O736" s="17"/>
      <c r="P736" s="17"/>
      <c r="Q736" s="17"/>
      <c r="R736" s="17"/>
      <c r="S736" s="17"/>
      <c r="T736" s="344">
        <v>0</v>
      </c>
      <c r="U736" s="351">
        <f t="shared" si="19"/>
        <v>0</v>
      </c>
    </row>
    <row r="737" spans="2:21" ht="17.25" hidden="1" x14ac:dyDescent="0.3">
      <c r="B737" s="16">
        <v>86</v>
      </c>
      <c r="C737" s="107"/>
      <c r="D737" s="77"/>
      <c r="E737" s="72"/>
      <c r="F737" s="93"/>
      <c r="G737" s="68"/>
      <c r="H737" s="93"/>
      <c r="I737" s="68"/>
      <c r="J737" s="93"/>
      <c r="K737" s="68"/>
      <c r="L737" s="16"/>
      <c r="M737" s="16"/>
      <c r="N737" s="367"/>
      <c r="O737" s="17"/>
      <c r="P737" s="17"/>
      <c r="Q737" s="17"/>
      <c r="R737" s="17"/>
      <c r="S737" s="17"/>
      <c r="T737" s="344">
        <v>0</v>
      </c>
      <c r="U737" s="351">
        <f t="shared" si="19"/>
        <v>0</v>
      </c>
    </row>
    <row r="738" spans="2:21" ht="17.25" hidden="1" x14ac:dyDescent="0.3">
      <c r="B738" s="16">
        <v>87</v>
      </c>
      <c r="C738" s="107"/>
      <c r="D738" s="77"/>
      <c r="E738" s="72"/>
      <c r="F738" s="93"/>
      <c r="G738" s="68"/>
      <c r="H738" s="93"/>
      <c r="I738" s="68"/>
      <c r="J738" s="93"/>
      <c r="K738" s="68"/>
      <c r="L738" s="16"/>
      <c r="M738" s="16"/>
      <c r="N738" s="367"/>
      <c r="O738" s="17"/>
      <c r="P738" s="17"/>
      <c r="Q738" s="17"/>
      <c r="R738" s="17"/>
      <c r="S738" s="17"/>
      <c r="T738" s="344">
        <v>0</v>
      </c>
      <c r="U738" s="351">
        <f t="shared" si="19"/>
        <v>0</v>
      </c>
    </row>
    <row r="739" spans="2:21" ht="17.25" hidden="1" x14ac:dyDescent="0.3">
      <c r="B739" s="16">
        <v>88</v>
      </c>
      <c r="C739" s="107"/>
      <c r="D739" s="77"/>
      <c r="E739" s="72"/>
      <c r="F739" s="93"/>
      <c r="G739" s="68"/>
      <c r="H739" s="93"/>
      <c r="I739" s="68"/>
      <c r="J739" s="93"/>
      <c r="K739" s="68"/>
      <c r="L739" s="16"/>
      <c r="M739" s="16"/>
      <c r="N739" s="367"/>
      <c r="O739" s="17"/>
      <c r="P739" s="17"/>
      <c r="Q739" s="17"/>
      <c r="R739" s="17"/>
      <c r="S739" s="17"/>
      <c r="T739" s="344">
        <v>0</v>
      </c>
      <c r="U739" s="351">
        <f t="shared" si="19"/>
        <v>0</v>
      </c>
    </row>
    <row r="740" spans="2:21" ht="17.25" hidden="1" x14ac:dyDescent="0.3">
      <c r="B740" s="16">
        <v>89</v>
      </c>
      <c r="C740" s="107"/>
      <c r="D740" s="77"/>
      <c r="E740" s="72"/>
      <c r="F740" s="93"/>
      <c r="G740" s="68"/>
      <c r="H740" s="93"/>
      <c r="I740" s="68"/>
      <c r="J740" s="93"/>
      <c r="K740" s="68"/>
      <c r="L740" s="16"/>
      <c r="M740" s="16"/>
      <c r="N740" s="367"/>
      <c r="O740" s="17"/>
      <c r="P740" s="17"/>
      <c r="Q740" s="17"/>
      <c r="R740" s="17"/>
      <c r="S740" s="17"/>
      <c r="T740" s="344">
        <v>0</v>
      </c>
      <c r="U740" s="351">
        <f t="shared" si="19"/>
        <v>0</v>
      </c>
    </row>
    <row r="741" spans="2:21" ht="17.25" hidden="1" x14ac:dyDescent="0.3">
      <c r="B741" s="16">
        <v>90</v>
      </c>
      <c r="C741" s="107"/>
      <c r="D741" s="77"/>
      <c r="E741" s="72"/>
      <c r="F741" s="93"/>
      <c r="G741" s="68"/>
      <c r="H741" s="93"/>
      <c r="I741" s="68"/>
      <c r="J741" s="93"/>
      <c r="K741" s="68"/>
      <c r="L741" s="16"/>
      <c r="M741" s="16"/>
      <c r="N741" s="367"/>
      <c r="O741" s="17"/>
      <c r="P741" s="17"/>
      <c r="Q741" s="17"/>
      <c r="R741" s="17"/>
      <c r="S741" s="17"/>
      <c r="T741" s="344">
        <v>0</v>
      </c>
      <c r="U741" s="351">
        <f t="shared" si="19"/>
        <v>0</v>
      </c>
    </row>
    <row r="742" spans="2:21" ht="17.25" hidden="1" x14ac:dyDescent="0.3">
      <c r="B742" s="16">
        <v>91</v>
      </c>
      <c r="C742" s="107"/>
      <c r="D742" s="77"/>
      <c r="E742" s="72"/>
      <c r="F742" s="93"/>
      <c r="G742" s="68"/>
      <c r="H742" s="93"/>
      <c r="I742" s="68"/>
      <c r="J742" s="93"/>
      <c r="K742" s="68"/>
      <c r="L742" s="16"/>
      <c r="M742" s="16"/>
      <c r="N742" s="367"/>
      <c r="O742" s="17"/>
      <c r="P742" s="17"/>
      <c r="Q742" s="17"/>
      <c r="R742" s="17"/>
      <c r="S742" s="17"/>
      <c r="T742" s="344">
        <v>0</v>
      </c>
      <c r="U742" s="351">
        <f t="shared" si="19"/>
        <v>0</v>
      </c>
    </row>
    <row r="743" spans="2:21" ht="17.25" hidden="1" x14ac:dyDescent="0.3">
      <c r="B743" s="16">
        <v>92</v>
      </c>
      <c r="C743" s="107"/>
      <c r="D743" s="77"/>
      <c r="E743" s="72"/>
      <c r="F743" s="93"/>
      <c r="G743" s="68"/>
      <c r="H743" s="93"/>
      <c r="I743" s="68"/>
      <c r="J743" s="93"/>
      <c r="K743" s="68"/>
      <c r="L743" s="16"/>
      <c r="M743" s="16"/>
      <c r="N743" s="367"/>
      <c r="O743" s="17"/>
      <c r="P743" s="17"/>
      <c r="Q743" s="17"/>
      <c r="R743" s="17"/>
      <c r="S743" s="17"/>
      <c r="T743" s="344">
        <v>0</v>
      </c>
      <c r="U743" s="351">
        <f t="shared" si="19"/>
        <v>0</v>
      </c>
    </row>
    <row r="744" spans="2:21" ht="17.25" hidden="1" x14ac:dyDescent="0.3">
      <c r="B744" s="16">
        <v>93</v>
      </c>
      <c r="C744" s="107"/>
      <c r="D744" s="77"/>
      <c r="E744" s="72"/>
      <c r="F744" s="93"/>
      <c r="G744" s="68"/>
      <c r="H744" s="93"/>
      <c r="I744" s="68"/>
      <c r="J744" s="93"/>
      <c r="K744" s="68"/>
      <c r="L744" s="16"/>
      <c r="M744" s="16"/>
      <c r="N744" s="367"/>
      <c r="O744" s="17"/>
      <c r="P744" s="17"/>
      <c r="Q744" s="17"/>
      <c r="R744" s="17"/>
      <c r="S744" s="17"/>
      <c r="T744" s="344">
        <v>0</v>
      </c>
      <c r="U744" s="351">
        <f t="shared" si="19"/>
        <v>0</v>
      </c>
    </row>
    <row r="745" spans="2:21" ht="17.25" hidden="1" x14ac:dyDescent="0.3">
      <c r="B745" s="16">
        <v>94</v>
      </c>
      <c r="C745" s="107"/>
      <c r="D745" s="77"/>
      <c r="E745" s="72"/>
      <c r="F745" s="93"/>
      <c r="G745" s="68"/>
      <c r="H745" s="93"/>
      <c r="I745" s="68"/>
      <c r="J745" s="93"/>
      <c r="K745" s="68"/>
      <c r="L745" s="16"/>
      <c r="M745" s="16"/>
      <c r="N745" s="367"/>
      <c r="O745" s="17"/>
      <c r="P745" s="17"/>
      <c r="Q745" s="17"/>
      <c r="R745" s="17"/>
      <c r="S745" s="17"/>
      <c r="T745" s="344">
        <v>0</v>
      </c>
      <c r="U745" s="351">
        <f t="shared" si="19"/>
        <v>0</v>
      </c>
    </row>
    <row r="746" spans="2:21" ht="17.25" hidden="1" x14ac:dyDescent="0.3">
      <c r="B746" s="16">
        <v>95</v>
      </c>
      <c r="C746" s="17"/>
      <c r="D746" s="17"/>
      <c r="E746" s="100"/>
      <c r="F746" s="100"/>
      <c r="G746" s="68"/>
      <c r="H746" s="17"/>
      <c r="I746" s="68"/>
      <c r="J746" s="100"/>
      <c r="K746" s="68"/>
      <c r="L746" s="17"/>
      <c r="M746" s="17"/>
      <c r="N746" s="343"/>
      <c r="O746" s="17"/>
      <c r="P746" s="17"/>
      <c r="Q746" s="17"/>
      <c r="R746" s="17"/>
      <c r="S746" s="17"/>
      <c r="T746" s="344">
        <v>0</v>
      </c>
      <c r="U746" s="351">
        <f t="shared" si="19"/>
        <v>0</v>
      </c>
    </row>
    <row r="747" spans="2:21" ht="17.25" hidden="1" x14ac:dyDescent="0.3">
      <c r="B747" s="16">
        <v>96</v>
      </c>
      <c r="C747" s="107"/>
      <c r="D747" s="77"/>
      <c r="E747" s="72"/>
      <c r="F747" s="93"/>
      <c r="G747" s="68"/>
      <c r="H747" s="93"/>
      <c r="I747" s="68"/>
      <c r="J747" s="93"/>
      <c r="K747" s="68"/>
      <c r="L747" s="16"/>
      <c r="M747" s="16"/>
      <c r="N747" s="367"/>
      <c r="O747" s="17"/>
      <c r="P747" s="17"/>
      <c r="Q747" s="17"/>
      <c r="R747" s="17"/>
      <c r="S747" s="17"/>
      <c r="T747" s="344">
        <v>0</v>
      </c>
      <c r="U747" s="351">
        <f t="shared" si="19"/>
        <v>0</v>
      </c>
    </row>
    <row r="748" spans="2:21" ht="17.25" hidden="1" x14ac:dyDescent="0.3">
      <c r="B748" s="16">
        <v>97</v>
      </c>
      <c r="C748" s="107"/>
      <c r="D748" s="77"/>
      <c r="E748" s="72"/>
      <c r="F748" s="93"/>
      <c r="G748" s="68"/>
      <c r="H748" s="93"/>
      <c r="I748" s="68"/>
      <c r="J748" s="93"/>
      <c r="K748" s="68"/>
      <c r="L748" s="16"/>
      <c r="M748" s="16"/>
      <c r="N748" s="367"/>
      <c r="O748" s="17"/>
      <c r="P748" s="17"/>
      <c r="Q748" s="17"/>
      <c r="R748" s="17"/>
      <c r="S748" s="17"/>
      <c r="T748" s="344">
        <v>0</v>
      </c>
      <c r="U748" s="351">
        <f t="shared" ref="U748:U779" si="20">F748*T748</f>
        <v>0</v>
      </c>
    </row>
    <row r="749" spans="2:21" ht="17.25" hidden="1" x14ac:dyDescent="0.3">
      <c r="B749" s="16">
        <v>98</v>
      </c>
      <c r="C749" s="107"/>
      <c r="D749" s="77"/>
      <c r="E749" s="72"/>
      <c r="F749" s="93"/>
      <c r="G749" s="68"/>
      <c r="H749" s="93"/>
      <c r="I749" s="68"/>
      <c r="J749" s="93"/>
      <c r="K749" s="68"/>
      <c r="L749" s="16"/>
      <c r="M749" s="16"/>
      <c r="N749" s="367"/>
      <c r="O749" s="17"/>
      <c r="P749" s="17"/>
      <c r="Q749" s="17"/>
      <c r="R749" s="17"/>
      <c r="S749" s="17"/>
      <c r="T749" s="344">
        <v>0</v>
      </c>
      <c r="U749" s="351">
        <f t="shared" si="20"/>
        <v>0</v>
      </c>
    </row>
    <row r="750" spans="2:21" ht="17.25" hidden="1" x14ac:dyDescent="0.3">
      <c r="B750" s="16">
        <v>99</v>
      </c>
      <c r="C750" s="107"/>
      <c r="D750" s="77"/>
      <c r="E750" s="72"/>
      <c r="F750" s="93"/>
      <c r="G750" s="68"/>
      <c r="H750" s="93"/>
      <c r="I750" s="68"/>
      <c r="J750" s="93"/>
      <c r="K750" s="68"/>
      <c r="L750" s="16"/>
      <c r="M750" s="16"/>
      <c r="N750" s="367"/>
      <c r="O750" s="17"/>
      <c r="P750" s="17"/>
      <c r="Q750" s="17"/>
      <c r="R750" s="17"/>
      <c r="S750" s="17"/>
      <c r="T750" s="344">
        <v>0</v>
      </c>
      <c r="U750" s="351">
        <f t="shared" si="20"/>
        <v>0</v>
      </c>
    </row>
    <row r="751" spans="2:21" ht="17.25" hidden="1" x14ac:dyDescent="0.3">
      <c r="B751" s="16">
        <v>100</v>
      </c>
      <c r="C751" s="107"/>
      <c r="D751" s="77"/>
      <c r="E751" s="72"/>
      <c r="F751" s="93"/>
      <c r="G751" s="68"/>
      <c r="H751" s="93"/>
      <c r="I751" s="68"/>
      <c r="J751" s="93"/>
      <c r="K751" s="68"/>
      <c r="L751" s="16"/>
      <c r="M751" s="16"/>
      <c r="N751" s="367"/>
      <c r="O751" s="17"/>
      <c r="P751" s="17"/>
      <c r="Q751" s="17"/>
      <c r="R751" s="17"/>
      <c r="S751" s="17"/>
      <c r="T751" s="344">
        <v>0</v>
      </c>
      <c r="U751" s="351">
        <f t="shared" si="20"/>
        <v>0</v>
      </c>
    </row>
    <row r="752" spans="2:21" ht="17.25" hidden="1" x14ac:dyDescent="0.3">
      <c r="B752" s="16">
        <v>101</v>
      </c>
      <c r="C752" s="107"/>
      <c r="D752" s="77"/>
      <c r="E752" s="72"/>
      <c r="F752" s="93"/>
      <c r="G752" s="68"/>
      <c r="H752" s="93"/>
      <c r="I752" s="68"/>
      <c r="J752" s="93"/>
      <c r="K752" s="68"/>
      <c r="L752" s="16"/>
      <c r="M752" s="16"/>
      <c r="N752" s="367"/>
      <c r="O752" s="17"/>
      <c r="P752" s="17"/>
      <c r="Q752" s="17"/>
      <c r="R752" s="17"/>
      <c r="S752" s="17"/>
      <c r="T752" s="344">
        <v>0</v>
      </c>
      <c r="U752" s="351">
        <f t="shared" si="20"/>
        <v>0</v>
      </c>
    </row>
    <row r="753" spans="2:21" ht="17.25" hidden="1" x14ac:dyDescent="0.3">
      <c r="B753" s="16">
        <v>102</v>
      </c>
      <c r="C753" s="107"/>
      <c r="D753" s="77"/>
      <c r="E753" s="72"/>
      <c r="F753" s="93"/>
      <c r="G753" s="68"/>
      <c r="H753" s="93"/>
      <c r="I753" s="68"/>
      <c r="J753" s="93"/>
      <c r="K753" s="68"/>
      <c r="L753" s="16"/>
      <c r="M753" s="16"/>
      <c r="N753" s="367"/>
      <c r="O753" s="17"/>
      <c r="P753" s="17"/>
      <c r="Q753" s="17"/>
      <c r="R753" s="17"/>
      <c r="S753" s="17"/>
      <c r="T753" s="344">
        <v>0</v>
      </c>
      <c r="U753" s="351">
        <f t="shared" si="20"/>
        <v>0</v>
      </c>
    </row>
    <row r="754" spans="2:21" ht="17.25" hidden="1" x14ac:dyDescent="0.3">
      <c r="B754" s="16">
        <v>103</v>
      </c>
      <c r="C754" s="107"/>
      <c r="D754" s="77"/>
      <c r="E754" s="72"/>
      <c r="F754" s="93"/>
      <c r="G754" s="68"/>
      <c r="H754" s="93"/>
      <c r="I754" s="68"/>
      <c r="J754" s="93"/>
      <c r="K754" s="68"/>
      <c r="L754" s="16"/>
      <c r="M754" s="16"/>
      <c r="N754" s="367"/>
      <c r="O754" s="17"/>
      <c r="P754" s="17"/>
      <c r="Q754" s="17"/>
      <c r="R754" s="17"/>
      <c r="S754" s="17"/>
      <c r="T754" s="344">
        <v>0</v>
      </c>
      <c r="U754" s="351">
        <f t="shared" si="20"/>
        <v>0</v>
      </c>
    </row>
    <row r="755" spans="2:21" ht="17.25" hidden="1" x14ac:dyDescent="0.3">
      <c r="B755" s="16">
        <v>104</v>
      </c>
      <c r="C755" s="107"/>
      <c r="D755" s="77"/>
      <c r="E755" s="72"/>
      <c r="F755" s="93"/>
      <c r="G755" s="68"/>
      <c r="H755" s="93"/>
      <c r="I755" s="68"/>
      <c r="J755" s="93"/>
      <c r="K755" s="68"/>
      <c r="L755" s="16"/>
      <c r="M755" s="16"/>
      <c r="N755" s="367"/>
      <c r="O755" s="17"/>
      <c r="P755" s="17"/>
      <c r="Q755" s="17"/>
      <c r="R755" s="17"/>
      <c r="S755" s="17"/>
      <c r="T755" s="344">
        <v>0</v>
      </c>
      <c r="U755" s="351">
        <f t="shared" si="20"/>
        <v>0</v>
      </c>
    </row>
    <row r="756" spans="2:21" ht="17.25" hidden="1" x14ac:dyDescent="0.3">
      <c r="B756" s="16">
        <v>105</v>
      </c>
      <c r="C756" s="107"/>
      <c r="D756" s="77"/>
      <c r="E756" s="72"/>
      <c r="F756" s="93"/>
      <c r="G756" s="68"/>
      <c r="H756" s="93"/>
      <c r="I756" s="68"/>
      <c r="J756" s="93"/>
      <c r="K756" s="68"/>
      <c r="L756" s="16"/>
      <c r="M756" s="16"/>
      <c r="N756" s="367"/>
      <c r="O756" s="17"/>
      <c r="P756" s="17"/>
      <c r="Q756" s="17"/>
      <c r="R756" s="17"/>
      <c r="S756" s="17"/>
      <c r="T756" s="344">
        <v>0</v>
      </c>
      <c r="U756" s="351">
        <f t="shared" si="20"/>
        <v>0</v>
      </c>
    </row>
    <row r="757" spans="2:21" ht="17.25" hidden="1" x14ac:dyDescent="0.3">
      <c r="B757" s="16">
        <v>106</v>
      </c>
      <c r="C757" s="107"/>
      <c r="D757" s="77"/>
      <c r="E757" s="72"/>
      <c r="F757" s="93"/>
      <c r="G757" s="68"/>
      <c r="H757" s="93"/>
      <c r="I757" s="68"/>
      <c r="J757" s="93"/>
      <c r="K757" s="68"/>
      <c r="L757" s="16"/>
      <c r="M757" s="16"/>
      <c r="N757" s="367"/>
      <c r="O757" s="17"/>
      <c r="P757" s="17"/>
      <c r="Q757" s="17"/>
      <c r="R757" s="17"/>
      <c r="S757" s="17"/>
      <c r="T757" s="344">
        <v>0</v>
      </c>
      <c r="U757" s="351">
        <f t="shared" si="20"/>
        <v>0</v>
      </c>
    </row>
    <row r="758" spans="2:21" ht="17.25" hidden="1" x14ac:dyDescent="0.3">
      <c r="B758" s="16">
        <v>107</v>
      </c>
      <c r="C758" s="107"/>
      <c r="D758" s="77"/>
      <c r="E758" s="72"/>
      <c r="F758" s="93"/>
      <c r="G758" s="68"/>
      <c r="H758" s="93"/>
      <c r="I758" s="68"/>
      <c r="J758" s="93"/>
      <c r="K758" s="68"/>
      <c r="L758" s="16"/>
      <c r="M758" s="16"/>
      <c r="N758" s="367"/>
      <c r="O758" s="17"/>
      <c r="P758" s="17"/>
      <c r="Q758" s="17"/>
      <c r="R758" s="17"/>
      <c r="S758" s="17"/>
      <c r="T758" s="344">
        <v>0</v>
      </c>
      <c r="U758" s="351">
        <f t="shared" si="20"/>
        <v>0</v>
      </c>
    </row>
    <row r="759" spans="2:21" ht="17.25" hidden="1" x14ac:dyDescent="0.3">
      <c r="B759" s="16">
        <v>108</v>
      </c>
      <c r="C759" s="107"/>
      <c r="D759" s="77"/>
      <c r="E759" s="72"/>
      <c r="F759" s="93"/>
      <c r="G759" s="68"/>
      <c r="H759" s="93"/>
      <c r="I759" s="68"/>
      <c r="J759" s="93"/>
      <c r="K759" s="68"/>
      <c r="L759" s="16"/>
      <c r="M759" s="16"/>
      <c r="N759" s="367"/>
      <c r="O759" s="17"/>
      <c r="P759" s="17"/>
      <c r="Q759" s="17"/>
      <c r="R759" s="17"/>
      <c r="S759" s="17"/>
      <c r="T759" s="344">
        <v>0</v>
      </c>
      <c r="U759" s="351">
        <f t="shared" si="20"/>
        <v>0</v>
      </c>
    </row>
    <row r="760" spans="2:21" ht="17.25" hidden="1" x14ac:dyDescent="0.3">
      <c r="B760" s="16">
        <v>109</v>
      </c>
      <c r="C760" s="107"/>
      <c r="D760" s="77"/>
      <c r="E760" s="72"/>
      <c r="F760" s="93"/>
      <c r="G760" s="68"/>
      <c r="H760" s="93"/>
      <c r="I760" s="68"/>
      <c r="J760" s="93"/>
      <c r="K760" s="68"/>
      <c r="L760" s="16"/>
      <c r="M760" s="16"/>
      <c r="N760" s="367"/>
      <c r="O760" s="17"/>
      <c r="P760" s="17"/>
      <c r="Q760" s="17"/>
      <c r="R760" s="17"/>
      <c r="S760" s="17"/>
      <c r="T760" s="344">
        <v>0</v>
      </c>
      <c r="U760" s="351">
        <f t="shared" si="20"/>
        <v>0</v>
      </c>
    </row>
    <row r="761" spans="2:21" ht="17.25" hidden="1" x14ac:dyDescent="0.3">
      <c r="B761" s="16">
        <v>110</v>
      </c>
      <c r="C761" s="107"/>
      <c r="D761" s="77"/>
      <c r="E761" s="72"/>
      <c r="F761" s="93"/>
      <c r="G761" s="68"/>
      <c r="H761" s="93"/>
      <c r="I761" s="68"/>
      <c r="J761" s="93"/>
      <c r="K761" s="68"/>
      <c r="L761" s="16"/>
      <c r="M761" s="16"/>
      <c r="N761" s="367"/>
      <c r="O761" s="17"/>
      <c r="P761" s="17"/>
      <c r="Q761" s="17"/>
      <c r="R761" s="17"/>
      <c r="S761" s="17"/>
      <c r="T761" s="344">
        <v>0</v>
      </c>
      <c r="U761" s="351">
        <f t="shared" si="20"/>
        <v>0</v>
      </c>
    </row>
    <row r="762" spans="2:21" ht="17.25" hidden="1" x14ac:dyDescent="0.3">
      <c r="B762" s="16">
        <v>111</v>
      </c>
      <c r="C762" s="107"/>
      <c r="D762" s="77"/>
      <c r="E762" s="72"/>
      <c r="F762" s="93"/>
      <c r="G762" s="68"/>
      <c r="H762" s="93"/>
      <c r="I762" s="68"/>
      <c r="J762" s="93"/>
      <c r="K762" s="68"/>
      <c r="L762" s="16"/>
      <c r="M762" s="16"/>
      <c r="N762" s="367"/>
      <c r="O762" s="17"/>
      <c r="P762" s="17"/>
      <c r="Q762" s="17"/>
      <c r="R762" s="17"/>
      <c r="S762" s="17"/>
      <c r="T762" s="344">
        <v>0</v>
      </c>
      <c r="U762" s="351">
        <f t="shared" si="20"/>
        <v>0</v>
      </c>
    </row>
    <row r="763" spans="2:21" ht="17.25" hidden="1" x14ac:dyDescent="0.3">
      <c r="B763" s="122">
        <v>112</v>
      </c>
      <c r="C763" s="107"/>
      <c r="D763" s="77"/>
      <c r="E763" s="72"/>
      <c r="F763" s="93"/>
      <c r="G763" s="68"/>
      <c r="H763" s="93"/>
      <c r="I763" s="68"/>
      <c r="J763" s="93"/>
      <c r="K763" s="68"/>
      <c r="L763" s="16"/>
      <c r="M763" s="16"/>
      <c r="N763" s="367"/>
      <c r="O763" s="17"/>
      <c r="P763" s="17"/>
      <c r="Q763" s="17"/>
      <c r="R763" s="17"/>
      <c r="S763" s="17"/>
      <c r="T763" s="344">
        <v>0</v>
      </c>
      <c r="U763" s="351">
        <f t="shared" si="20"/>
        <v>0</v>
      </c>
    </row>
    <row r="764" spans="2:21" ht="17.25" hidden="1" x14ac:dyDescent="0.3">
      <c r="B764" s="122">
        <v>113</v>
      </c>
      <c r="C764" s="107"/>
      <c r="D764" s="77"/>
      <c r="E764" s="72"/>
      <c r="F764" s="93"/>
      <c r="G764" s="68"/>
      <c r="H764" s="93"/>
      <c r="I764" s="68"/>
      <c r="J764" s="93"/>
      <c r="K764" s="68"/>
      <c r="L764" s="16"/>
      <c r="M764" s="16"/>
      <c r="N764" s="367"/>
      <c r="O764" s="17"/>
      <c r="P764" s="17"/>
      <c r="Q764" s="17"/>
      <c r="R764" s="17"/>
      <c r="S764" s="17"/>
      <c r="T764" s="344">
        <v>0</v>
      </c>
      <c r="U764" s="351">
        <f t="shared" si="20"/>
        <v>0</v>
      </c>
    </row>
    <row r="765" spans="2:21" ht="17.25" hidden="1" x14ac:dyDescent="0.3">
      <c r="B765" s="122">
        <v>114</v>
      </c>
      <c r="C765" s="107"/>
      <c r="D765" s="77"/>
      <c r="E765" s="72"/>
      <c r="F765" s="93"/>
      <c r="G765" s="68"/>
      <c r="H765" s="93"/>
      <c r="I765" s="68"/>
      <c r="J765" s="93"/>
      <c r="K765" s="68"/>
      <c r="L765" s="16"/>
      <c r="M765" s="16"/>
      <c r="N765" s="367"/>
      <c r="O765" s="17"/>
      <c r="P765" s="17"/>
      <c r="Q765" s="17"/>
      <c r="R765" s="17"/>
      <c r="S765" s="17"/>
      <c r="T765" s="344">
        <v>0</v>
      </c>
      <c r="U765" s="351">
        <f t="shared" si="20"/>
        <v>0</v>
      </c>
    </row>
    <row r="766" spans="2:21" ht="17.25" hidden="1" x14ac:dyDescent="0.3">
      <c r="B766" s="122">
        <v>115</v>
      </c>
      <c r="C766" s="107"/>
      <c r="D766" s="77"/>
      <c r="E766" s="72"/>
      <c r="F766" s="93"/>
      <c r="G766" s="68"/>
      <c r="H766" s="93"/>
      <c r="I766" s="68"/>
      <c r="J766" s="93"/>
      <c r="K766" s="68"/>
      <c r="L766" s="16"/>
      <c r="M766" s="16"/>
      <c r="N766" s="367"/>
      <c r="O766" s="17"/>
      <c r="P766" s="17"/>
      <c r="Q766" s="17"/>
      <c r="R766" s="17"/>
      <c r="S766" s="17"/>
      <c r="T766" s="344">
        <v>0</v>
      </c>
      <c r="U766" s="351">
        <f t="shared" si="20"/>
        <v>0</v>
      </c>
    </row>
    <row r="767" spans="2:21" ht="17.25" hidden="1" x14ac:dyDescent="0.3">
      <c r="B767" s="122">
        <v>116</v>
      </c>
      <c r="C767" s="107"/>
      <c r="D767" s="77"/>
      <c r="E767" s="72"/>
      <c r="F767" s="93"/>
      <c r="G767" s="68"/>
      <c r="H767" s="93"/>
      <c r="I767" s="68"/>
      <c r="J767" s="93"/>
      <c r="K767" s="68"/>
      <c r="L767" s="16"/>
      <c r="M767" s="16"/>
      <c r="N767" s="367"/>
      <c r="O767" s="17"/>
      <c r="P767" s="17"/>
      <c r="Q767" s="17"/>
      <c r="R767" s="17"/>
      <c r="S767" s="17"/>
      <c r="T767" s="344">
        <v>0</v>
      </c>
      <c r="U767" s="351">
        <f t="shared" si="20"/>
        <v>0</v>
      </c>
    </row>
    <row r="768" spans="2:21" ht="17.25" hidden="1" x14ac:dyDescent="0.3">
      <c r="B768" s="122">
        <v>117</v>
      </c>
      <c r="C768" s="107"/>
      <c r="D768" s="77"/>
      <c r="E768" s="72"/>
      <c r="F768" s="93"/>
      <c r="G768" s="68"/>
      <c r="H768" s="93"/>
      <c r="I768" s="68"/>
      <c r="J768" s="93"/>
      <c r="K768" s="68"/>
      <c r="L768" s="16"/>
      <c r="M768" s="16"/>
      <c r="N768" s="367"/>
      <c r="O768" s="17"/>
      <c r="P768" s="17"/>
      <c r="Q768" s="17"/>
      <c r="R768" s="17"/>
      <c r="S768" s="17"/>
      <c r="T768" s="344">
        <v>0</v>
      </c>
      <c r="U768" s="351">
        <f t="shared" si="20"/>
        <v>0</v>
      </c>
    </row>
    <row r="769" spans="2:21" ht="17.25" hidden="1" x14ac:dyDescent="0.3">
      <c r="B769" s="122">
        <v>118</v>
      </c>
      <c r="C769" s="107"/>
      <c r="D769" s="77"/>
      <c r="E769" s="72"/>
      <c r="F769" s="93"/>
      <c r="G769" s="68"/>
      <c r="H769" s="93"/>
      <c r="I769" s="68"/>
      <c r="J769" s="93"/>
      <c r="K769" s="68"/>
      <c r="L769" s="16"/>
      <c r="M769" s="16"/>
      <c r="N769" s="367"/>
      <c r="O769" s="17"/>
      <c r="P769" s="17"/>
      <c r="Q769" s="17"/>
      <c r="R769" s="17"/>
      <c r="S769" s="17"/>
      <c r="T769" s="344">
        <v>0</v>
      </c>
      <c r="U769" s="351">
        <f t="shared" si="20"/>
        <v>0</v>
      </c>
    </row>
    <row r="770" spans="2:21" ht="17.25" hidden="1" x14ac:dyDescent="0.3">
      <c r="B770" s="122">
        <v>119</v>
      </c>
      <c r="C770" s="107"/>
      <c r="D770" s="77"/>
      <c r="E770" s="72"/>
      <c r="F770" s="93"/>
      <c r="G770" s="68"/>
      <c r="H770" s="93"/>
      <c r="I770" s="68"/>
      <c r="J770" s="93"/>
      <c r="K770" s="68"/>
      <c r="L770" s="16"/>
      <c r="M770" s="16"/>
      <c r="N770" s="367"/>
      <c r="O770" s="17"/>
      <c r="P770" s="17"/>
      <c r="Q770" s="17"/>
      <c r="R770" s="17"/>
      <c r="S770" s="17"/>
      <c r="T770" s="344">
        <v>0</v>
      </c>
      <c r="U770" s="351">
        <f t="shared" si="20"/>
        <v>0</v>
      </c>
    </row>
    <row r="771" spans="2:21" ht="17.25" hidden="1" x14ac:dyDescent="0.3">
      <c r="B771" s="122">
        <v>120</v>
      </c>
      <c r="C771" s="107"/>
      <c r="D771" s="77"/>
      <c r="E771" s="72"/>
      <c r="F771" s="93"/>
      <c r="G771" s="68"/>
      <c r="H771" s="93"/>
      <c r="I771" s="68"/>
      <c r="J771" s="93"/>
      <c r="K771" s="68"/>
      <c r="L771" s="16"/>
      <c r="M771" s="16"/>
      <c r="N771" s="367"/>
      <c r="O771" s="17"/>
      <c r="P771" s="17"/>
      <c r="Q771" s="17"/>
      <c r="R771" s="17"/>
      <c r="S771" s="17"/>
      <c r="T771" s="344">
        <v>0</v>
      </c>
      <c r="U771" s="351">
        <f t="shared" si="20"/>
        <v>0</v>
      </c>
    </row>
    <row r="772" spans="2:21" ht="17.25" hidden="1" x14ac:dyDescent="0.3">
      <c r="B772" s="122">
        <v>121</v>
      </c>
      <c r="C772" s="107"/>
      <c r="D772" s="77"/>
      <c r="E772" s="72"/>
      <c r="F772" s="93"/>
      <c r="G772" s="68"/>
      <c r="H772" s="93"/>
      <c r="I772" s="68"/>
      <c r="J772" s="93"/>
      <c r="K772" s="68"/>
      <c r="L772" s="16"/>
      <c r="M772" s="16"/>
      <c r="N772" s="367"/>
      <c r="O772" s="17"/>
      <c r="P772" s="17"/>
      <c r="Q772" s="17"/>
      <c r="R772" s="17"/>
      <c r="S772" s="17"/>
      <c r="T772" s="344">
        <v>0</v>
      </c>
      <c r="U772" s="351">
        <f t="shared" si="20"/>
        <v>0</v>
      </c>
    </row>
    <row r="773" spans="2:21" ht="17.25" hidden="1" x14ac:dyDescent="0.3">
      <c r="B773" s="122">
        <v>122</v>
      </c>
      <c r="C773" s="107"/>
      <c r="D773" s="77"/>
      <c r="E773" s="72"/>
      <c r="F773" s="93"/>
      <c r="G773" s="68"/>
      <c r="H773" s="93"/>
      <c r="I773" s="68"/>
      <c r="J773" s="93"/>
      <c r="K773" s="68"/>
      <c r="L773" s="16"/>
      <c r="M773" s="16"/>
      <c r="N773" s="367"/>
      <c r="O773" s="17"/>
      <c r="P773" s="17"/>
      <c r="Q773" s="17"/>
      <c r="R773" s="17"/>
      <c r="S773" s="17"/>
      <c r="T773" s="344">
        <v>0</v>
      </c>
      <c r="U773" s="351">
        <f t="shared" si="20"/>
        <v>0</v>
      </c>
    </row>
    <row r="774" spans="2:21" ht="17.25" hidden="1" x14ac:dyDescent="0.3">
      <c r="B774" s="122">
        <v>123</v>
      </c>
      <c r="C774" s="107"/>
      <c r="D774" s="77"/>
      <c r="E774" s="72"/>
      <c r="F774" s="93"/>
      <c r="G774" s="68"/>
      <c r="H774" s="93"/>
      <c r="I774" s="68"/>
      <c r="J774" s="93"/>
      <c r="K774" s="68"/>
      <c r="L774" s="16"/>
      <c r="M774" s="16"/>
      <c r="N774" s="367"/>
      <c r="O774" s="17"/>
      <c r="P774" s="17"/>
      <c r="Q774" s="17"/>
      <c r="R774" s="17"/>
      <c r="S774" s="17"/>
      <c r="T774" s="344">
        <v>0</v>
      </c>
      <c r="U774" s="351">
        <f t="shared" si="20"/>
        <v>0</v>
      </c>
    </row>
    <row r="775" spans="2:21" ht="17.25" hidden="1" x14ac:dyDescent="0.3">
      <c r="B775" s="122">
        <v>124</v>
      </c>
      <c r="C775" s="107"/>
      <c r="D775" s="77"/>
      <c r="E775" s="72"/>
      <c r="F775" s="93"/>
      <c r="G775" s="68"/>
      <c r="H775" s="93"/>
      <c r="I775" s="68"/>
      <c r="J775" s="93"/>
      <c r="K775" s="68"/>
      <c r="L775" s="16"/>
      <c r="M775" s="16"/>
      <c r="N775" s="367"/>
      <c r="O775" s="17"/>
      <c r="P775" s="17"/>
      <c r="Q775" s="17"/>
      <c r="R775" s="17"/>
      <c r="S775" s="17"/>
      <c r="T775" s="344">
        <v>0</v>
      </c>
      <c r="U775" s="351">
        <f t="shared" si="20"/>
        <v>0</v>
      </c>
    </row>
    <row r="776" spans="2:21" ht="17.25" hidden="1" x14ac:dyDescent="0.3">
      <c r="B776" s="122">
        <v>125</v>
      </c>
      <c r="C776" s="107"/>
      <c r="D776" s="77"/>
      <c r="E776" s="72"/>
      <c r="F776" s="93"/>
      <c r="G776" s="68"/>
      <c r="H776" s="93"/>
      <c r="I776" s="68"/>
      <c r="J776" s="93"/>
      <c r="K776" s="68"/>
      <c r="L776" s="16"/>
      <c r="M776" s="16"/>
      <c r="N776" s="367"/>
      <c r="O776" s="17"/>
      <c r="P776" s="17"/>
      <c r="Q776" s="17"/>
      <c r="R776" s="17"/>
      <c r="S776" s="17"/>
      <c r="T776" s="344">
        <v>0</v>
      </c>
      <c r="U776" s="351">
        <f t="shared" si="20"/>
        <v>0</v>
      </c>
    </row>
    <row r="777" spans="2:21" ht="17.25" hidden="1" x14ac:dyDescent="0.3">
      <c r="B777" s="122">
        <v>126</v>
      </c>
      <c r="C777" s="107"/>
      <c r="D777" s="77"/>
      <c r="E777" s="72"/>
      <c r="F777" s="93"/>
      <c r="G777" s="68"/>
      <c r="H777" s="93"/>
      <c r="I777" s="68"/>
      <c r="J777" s="93"/>
      <c r="K777" s="68"/>
      <c r="L777" s="16"/>
      <c r="M777" s="16"/>
      <c r="N777" s="367"/>
      <c r="O777" s="17"/>
      <c r="P777" s="17"/>
      <c r="Q777" s="17"/>
      <c r="R777" s="17"/>
      <c r="S777" s="17"/>
      <c r="T777" s="344">
        <v>0</v>
      </c>
      <c r="U777" s="351">
        <f t="shared" si="20"/>
        <v>0</v>
      </c>
    </row>
    <row r="778" spans="2:21" ht="17.25" hidden="1" x14ac:dyDescent="0.3">
      <c r="B778" s="122">
        <v>127</v>
      </c>
      <c r="C778" s="107"/>
      <c r="D778" s="77"/>
      <c r="E778" s="72"/>
      <c r="F778" s="93"/>
      <c r="G778" s="68"/>
      <c r="H778" s="93"/>
      <c r="I778" s="68"/>
      <c r="J778" s="93"/>
      <c r="K778" s="68"/>
      <c r="L778" s="16"/>
      <c r="M778" s="16"/>
      <c r="N778" s="367"/>
      <c r="O778" s="17"/>
      <c r="P778" s="17"/>
      <c r="Q778" s="17"/>
      <c r="R778" s="17"/>
      <c r="S778" s="17"/>
      <c r="T778" s="344">
        <v>0</v>
      </c>
      <c r="U778" s="351">
        <f t="shared" si="20"/>
        <v>0</v>
      </c>
    </row>
    <row r="779" spans="2:21" ht="17.25" hidden="1" x14ac:dyDescent="0.3">
      <c r="B779" s="122">
        <v>128</v>
      </c>
      <c r="C779" s="107"/>
      <c r="D779" s="77"/>
      <c r="E779" s="72"/>
      <c r="F779" s="93"/>
      <c r="G779" s="68"/>
      <c r="H779" s="93"/>
      <c r="I779" s="68"/>
      <c r="J779" s="93"/>
      <c r="K779" s="68"/>
      <c r="L779" s="16"/>
      <c r="M779" s="16"/>
      <c r="N779" s="367"/>
      <c r="O779" s="17"/>
      <c r="P779" s="17"/>
      <c r="Q779" s="17"/>
      <c r="R779" s="17"/>
      <c r="S779" s="17"/>
      <c r="T779" s="344">
        <v>0</v>
      </c>
      <c r="U779" s="351">
        <f t="shared" si="20"/>
        <v>0</v>
      </c>
    </row>
    <row r="780" spans="2:21" ht="17.25" hidden="1" x14ac:dyDescent="0.3">
      <c r="B780" s="122">
        <v>129</v>
      </c>
      <c r="C780" s="107"/>
      <c r="D780" s="77"/>
      <c r="E780" s="72"/>
      <c r="F780" s="93"/>
      <c r="G780" s="68"/>
      <c r="H780" s="93"/>
      <c r="I780" s="68"/>
      <c r="J780" s="93"/>
      <c r="K780" s="68"/>
      <c r="L780" s="16"/>
      <c r="M780" s="16"/>
      <c r="N780" s="367"/>
      <c r="O780" s="17"/>
      <c r="P780" s="17"/>
      <c r="Q780" s="17"/>
      <c r="R780" s="17"/>
      <c r="S780" s="17"/>
      <c r="T780" s="344">
        <v>0</v>
      </c>
      <c r="U780" s="351">
        <f t="shared" ref="U780:U952" si="21">F780*T780</f>
        <v>0</v>
      </c>
    </row>
    <row r="781" spans="2:21" ht="17.25" hidden="1" x14ac:dyDescent="0.3">
      <c r="B781" s="122">
        <v>130</v>
      </c>
      <c r="C781" s="107"/>
      <c r="D781" s="77"/>
      <c r="E781" s="72"/>
      <c r="F781" s="93"/>
      <c r="G781" s="68"/>
      <c r="H781" s="93"/>
      <c r="I781" s="68"/>
      <c r="J781" s="93"/>
      <c r="K781" s="68"/>
      <c r="L781" s="16"/>
      <c r="M781" s="16"/>
      <c r="N781" s="367"/>
      <c r="O781" s="17"/>
      <c r="P781" s="17"/>
      <c r="Q781" s="17"/>
      <c r="R781" s="17"/>
      <c r="S781" s="17"/>
      <c r="T781" s="344">
        <v>0</v>
      </c>
      <c r="U781" s="351">
        <f t="shared" si="21"/>
        <v>0</v>
      </c>
    </row>
    <row r="782" spans="2:21" ht="17.25" hidden="1" x14ac:dyDescent="0.3">
      <c r="B782" s="122">
        <v>131</v>
      </c>
      <c r="C782" s="107"/>
      <c r="D782" s="77"/>
      <c r="E782" s="72"/>
      <c r="F782" s="93"/>
      <c r="G782" s="68"/>
      <c r="H782" s="93"/>
      <c r="I782" s="68"/>
      <c r="J782" s="93"/>
      <c r="K782" s="68"/>
      <c r="L782" s="16"/>
      <c r="M782" s="16"/>
      <c r="N782" s="367"/>
      <c r="O782" s="17"/>
      <c r="P782" s="17"/>
      <c r="Q782" s="17"/>
      <c r="R782" s="17"/>
      <c r="S782" s="17"/>
      <c r="T782" s="344">
        <v>0</v>
      </c>
      <c r="U782" s="351">
        <f t="shared" si="21"/>
        <v>0</v>
      </c>
    </row>
    <row r="783" spans="2:21" ht="17.25" hidden="1" x14ac:dyDescent="0.3">
      <c r="B783" s="122">
        <v>132</v>
      </c>
      <c r="C783" s="107"/>
      <c r="D783" s="77"/>
      <c r="E783" s="72"/>
      <c r="F783" s="93"/>
      <c r="G783" s="68"/>
      <c r="H783" s="93"/>
      <c r="I783" s="68"/>
      <c r="J783" s="93"/>
      <c r="K783" s="68"/>
      <c r="L783" s="16"/>
      <c r="M783" s="16"/>
      <c r="N783" s="367"/>
      <c r="O783" s="17"/>
      <c r="P783" s="17"/>
      <c r="Q783" s="17"/>
      <c r="R783" s="17"/>
      <c r="S783" s="17"/>
      <c r="T783" s="344">
        <v>0</v>
      </c>
      <c r="U783" s="351">
        <f t="shared" si="21"/>
        <v>0</v>
      </c>
    </row>
    <row r="784" spans="2:21" ht="17.25" hidden="1" x14ac:dyDescent="0.3">
      <c r="B784" s="122">
        <v>133</v>
      </c>
      <c r="C784" s="107"/>
      <c r="D784" s="77"/>
      <c r="E784" s="72"/>
      <c r="F784" s="93"/>
      <c r="G784" s="68"/>
      <c r="H784" s="93"/>
      <c r="I784" s="68"/>
      <c r="J784" s="93"/>
      <c r="K784" s="68"/>
      <c r="L784" s="16"/>
      <c r="M784" s="16"/>
      <c r="N784" s="367"/>
      <c r="O784" s="17"/>
      <c r="P784" s="17"/>
      <c r="Q784" s="17"/>
      <c r="R784" s="17"/>
      <c r="S784" s="17"/>
      <c r="T784" s="344">
        <v>0</v>
      </c>
      <c r="U784" s="351">
        <f t="shared" si="21"/>
        <v>0</v>
      </c>
    </row>
    <row r="785" spans="2:21" ht="17.25" hidden="1" x14ac:dyDescent="0.3">
      <c r="B785" s="122">
        <v>134</v>
      </c>
      <c r="C785" s="107"/>
      <c r="D785" s="77"/>
      <c r="E785" s="72"/>
      <c r="F785" s="93"/>
      <c r="G785" s="68"/>
      <c r="H785" s="93"/>
      <c r="I785" s="68"/>
      <c r="J785" s="93"/>
      <c r="K785" s="68"/>
      <c r="L785" s="16"/>
      <c r="M785" s="16"/>
      <c r="N785" s="367"/>
      <c r="O785" s="17"/>
      <c r="P785" s="17"/>
      <c r="Q785" s="17"/>
      <c r="R785" s="17"/>
      <c r="S785" s="17"/>
      <c r="T785" s="344">
        <v>0</v>
      </c>
      <c r="U785" s="351">
        <f t="shared" si="21"/>
        <v>0</v>
      </c>
    </row>
    <row r="786" spans="2:21" ht="17.25" hidden="1" x14ac:dyDescent="0.3">
      <c r="B786" s="122">
        <v>135</v>
      </c>
      <c r="C786" s="107"/>
      <c r="D786" s="77"/>
      <c r="E786" s="72"/>
      <c r="F786" s="93"/>
      <c r="G786" s="68"/>
      <c r="H786" s="93"/>
      <c r="I786" s="68"/>
      <c r="J786" s="93"/>
      <c r="K786" s="68"/>
      <c r="L786" s="16"/>
      <c r="M786" s="16"/>
      <c r="N786" s="367"/>
      <c r="O786" s="17"/>
      <c r="P786" s="17"/>
      <c r="Q786" s="17"/>
      <c r="R786" s="17"/>
      <c r="S786" s="17"/>
      <c r="T786" s="344">
        <v>0</v>
      </c>
      <c r="U786" s="351">
        <f t="shared" si="21"/>
        <v>0</v>
      </c>
    </row>
    <row r="787" spans="2:21" ht="17.25" hidden="1" x14ac:dyDescent="0.3">
      <c r="B787" s="122">
        <v>136</v>
      </c>
      <c r="C787" s="107"/>
      <c r="D787" s="77"/>
      <c r="E787" s="72"/>
      <c r="F787" s="93"/>
      <c r="G787" s="68"/>
      <c r="H787" s="93"/>
      <c r="I787" s="68"/>
      <c r="J787" s="93"/>
      <c r="K787" s="68"/>
      <c r="L787" s="16"/>
      <c r="M787" s="16"/>
      <c r="N787" s="367"/>
      <c r="O787" s="17"/>
      <c r="P787" s="17"/>
      <c r="Q787" s="17"/>
      <c r="R787" s="17"/>
      <c r="S787" s="17"/>
      <c r="T787" s="344">
        <v>0</v>
      </c>
      <c r="U787" s="351">
        <f t="shared" si="21"/>
        <v>0</v>
      </c>
    </row>
    <row r="788" spans="2:21" ht="17.25" hidden="1" x14ac:dyDescent="0.3">
      <c r="B788" s="122">
        <v>137</v>
      </c>
      <c r="C788" s="107"/>
      <c r="D788" s="77"/>
      <c r="E788" s="72"/>
      <c r="F788" s="93"/>
      <c r="G788" s="68"/>
      <c r="H788" s="93"/>
      <c r="I788" s="68"/>
      <c r="J788" s="93"/>
      <c r="K788" s="68"/>
      <c r="L788" s="16"/>
      <c r="M788" s="16"/>
      <c r="N788" s="367"/>
      <c r="O788" s="17"/>
      <c r="P788" s="17"/>
      <c r="Q788" s="17"/>
      <c r="R788" s="17"/>
      <c r="S788" s="17"/>
      <c r="T788" s="344">
        <v>0</v>
      </c>
      <c r="U788" s="351">
        <f t="shared" si="21"/>
        <v>0</v>
      </c>
    </row>
    <row r="789" spans="2:21" ht="17.25" hidden="1" x14ac:dyDescent="0.3">
      <c r="B789" s="122">
        <v>138</v>
      </c>
      <c r="C789" s="107"/>
      <c r="D789" s="77"/>
      <c r="E789" s="72"/>
      <c r="F789" s="93"/>
      <c r="G789" s="68"/>
      <c r="H789" s="93"/>
      <c r="I789" s="68"/>
      <c r="J789" s="93"/>
      <c r="K789" s="68"/>
      <c r="L789" s="16"/>
      <c r="M789" s="16"/>
      <c r="N789" s="367"/>
      <c r="O789" s="17"/>
      <c r="P789" s="17"/>
      <c r="Q789" s="17"/>
      <c r="R789" s="17"/>
      <c r="S789" s="17"/>
      <c r="T789" s="344">
        <v>0</v>
      </c>
      <c r="U789" s="351">
        <f t="shared" si="21"/>
        <v>0</v>
      </c>
    </row>
    <row r="790" spans="2:21" ht="17.25" hidden="1" x14ac:dyDescent="0.3">
      <c r="B790" s="122">
        <v>139</v>
      </c>
      <c r="C790" s="107"/>
      <c r="D790" s="77"/>
      <c r="E790" s="72"/>
      <c r="F790" s="93"/>
      <c r="G790" s="68"/>
      <c r="H790" s="93"/>
      <c r="I790" s="68"/>
      <c r="J790" s="93"/>
      <c r="K790" s="68"/>
      <c r="L790" s="16"/>
      <c r="M790" s="16"/>
      <c r="N790" s="367"/>
      <c r="O790" s="17"/>
      <c r="P790" s="17"/>
      <c r="Q790" s="17"/>
      <c r="R790" s="17"/>
      <c r="S790" s="17"/>
      <c r="T790" s="344">
        <v>0</v>
      </c>
      <c r="U790" s="351">
        <f t="shared" si="21"/>
        <v>0</v>
      </c>
    </row>
    <row r="791" spans="2:21" ht="17.25" hidden="1" x14ac:dyDescent="0.3">
      <c r="B791" s="122">
        <v>140</v>
      </c>
      <c r="C791" s="107"/>
      <c r="D791" s="77"/>
      <c r="E791" s="72"/>
      <c r="F791" s="93"/>
      <c r="G791" s="68"/>
      <c r="H791" s="93"/>
      <c r="I791" s="68"/>
      <c r="J791" s="93"/>
      <c r="K791" s="68"/>
      <c r="L791" s="16"/>
      <c r="M791" s="16"/>
      <c r="N791" s="367"/>
      <c r="O791" s="17"/>
      <c r="P791" s="17"/>
      <c r="Q791" s="17"/>
      <c r="R791" s="17"/>
      <c r="S791" s="17"/>
      <c r="T791" s="344">
        <v>0</v>
      </c>
      <c r="U791" s="351">
        <f t="shared" si="21"/>
        <v>0</v>
      </c>
    </row>
    <row r="792" spans="2:21" ht="17.25" hidden="1" x14ac:dyDescent="0.3">
      <c r="B792" s="122">
        <v>141</v>
      </c>
      <c r="C792" s="107"/>
      <c r="D792" s="77"/>
      <c r="E792" s="72"/>
      <c r="F792" s="93"/>
      <c r="G792" s="68"/>
      <c r="H792" s="93"/>
      <c r="I792" s="68"/>
      <c r="J792" s="93"/>
      <c r="K792" s="68"/>
      <c r="L792" s="16"/>
      <c r="M792" s="16"/>
      <c r="N792" s="367"/>
      <c r="O792" s="17"/>
      <c r="P792" s="17"/>
      <c r="Q792" s="17"/>
      <c r="R792" s="17"/>
      <c r="S792" s="17"/>
      <c r="T792" s="344">
        <v>0</v>
      </c>
      <c r="U792" s="351">
        <f t="shared" si="21"/>
        <v>0</v>
      </c>
    </row>
    <row r="793" spans="2:21" ht="17.25" hidden="1" x14ac:dyDescent="0.3">
      <c r="B793" s="122">
        <v>142</v>
      </c>
      <c r="C793" s="107"/>
      <c r="D793" s="77"/>
      <c r="E793" s="72"/>
      <c r="F793" s="93"/>
      <c r="G793" s="68"/>
      <c r="H793" s="93"/>
      <c r="I793" s="68"/>
      <c r="J793" s="93"/>
      <c r="K793" s="68"/>
      <c r="L793" s="16"/>
      <c r="M793" s="16"/>
      <c r="N793" s="367"/>
      <c r="O793" s="17"/>
      <c r="P793" s="17"/>
      <c r="Q793" s="17"/>
      <c r="R793" s="17"/>
      <c r="S793" s="17"/>
      <c r="T793" s="344">
        <v>0</v>
      </c>
      <c r="U793" s="351">
        <f t="shared" si="21"/>
        <v>0</v>
      </c>
    </row>
    <row r="794" spans="2:21" ht="17.25" hidden="1" x14ac:dyDescent="0.3">
      <c r="B794" s="122">
        <v>143</v>
      </c>
      <c r="C794" s="107"/>
      <c r="D794" s="77"/>
      <c r="E794" s="72"/>
      <c r="F794" s="93"/>
      <c r="G794" s="68"/>
      <c r="H794" s="93"/>
      <c r="I794" s="68"/>
      <c r="J794" s="93"/>
      <c r="K794" s="68"/>
      <c r="L794" s="16"/>
      <c r="M794" s="16"/>
      <c r="N794" s="367"/>
      <c r="O794" s="17"/>
      <c r="P794" s="17"/>
      <c r="Q794" s="17"/>
      <c r="R794" s="17"/>
      <c r="S794" s="17"/>
      <c r="T794" s="344">
        <v>0</v>
      </c>
      <c r="U794" s="351">
        <f t="shared" si="21"/>
        <v>0</v>
      </c>
    </row>
    <row r="795" spans="2:21" ht="17.25" hidden="1" x14ac:dyDescent="0.3">
      <c r="B795" s="122">
        <v>144</v>
      </c>
      <c r="C795" s="17"/>
      <c r="D795" s="17"/>
      <c r="E795" s="100"/>
      <c r="F795" s="100"/>
      <c r="G795" s="68"/>
      <c r="H795" s="17"/>
      <c r="I795" s="68"/>
      <c r="J795" s="100"/>
      <c r="K795" s="68"/>
      <c r="L795" s="17"/>
      <c r="M795" s="17"/>
      <c r="N795" s="343"/>
      <c r="O795" s="17"/>
      <c r="P795" s="17"/>
      <c r="Q795" s="17"/>
      <c r="R795" s="17"/>
      <c r="S795" s="17"/>
      <c r="T795" s="344">
        <v>0</v>
      </c>
      <c r="U795" s="351">
        <f t="shared" si="21"/>
        <v>0</v>
      </c>
    </row>
    <row r="796" spans="2:21" ht="17.25" hidden="1" x14ac:dyDescent="0.3">
      <c r="B796" s="122">
        <v>145</v>
      </c>
      <c r="C796" s="17"/>
      <c r="D796" s="17"/>
      <c r="E796" s="100"/>
      <c r="F796" s="100"/>
      <c r="G796" s="68"/>
      <c r="H796" s="17"/>
      <c r="I796" s="68"/>
      <c r="J796" s="100"/>
      <c r="K796" s="68"/>
      <c r="L796" s="17"/>
      <c r="M796" s="17"/>
      <c r="N796" s="343"/>
      <c r="O796" s="17"/>
      <c r="P796" s="17"/>
      <c r="Q796" s="17"/>
      <c r="R796" s="17"/>
      <c r="S796" s="17"/>
      <c r="T796" s="344">
        <v>0</v>
      </c>
      <c r="U796" s="351">
        <f t="shared" si="21"/>
        <v>0</v>
      </c>
    </row>
    <row r="797" spans="2:21" ht="17.25" hidden="1" x14ac:dyDescent="0.3">
      <c r="B797" s="122">
        <v>146</v>
      </c>
      <c r="C797" s="17"/>
      <c r="D797" s="17"/>
      <c r="E797" s="100"/>
      <c r="F797" s="100"/>
      <c r="G797" s="68"/>
      <c r="H797" s="17"/>
      <c r="I797" s="68"/>
      <c r="J797" s="100"/>
      <c r="K797" s="68"/>
      <c r="L797" s="17"/>
      <c r="M797" s="17"/>
      <c r="N797" s="343"/>
      <c r="O797" s="17"/>
      <c r="P797" s="17"/>
      <c r="Q797" s="17"/>
      <c r="R797" s="17"/>
      <c r="S797" s="17"/>
      <c r="T797" s="344">
        <v>0</v>
      </c>
      <c r="U797" s="351">
        <f t="shared" si="21"/>
        <v>0</v>
      </c>
    </row>
    <row r="798" spans="2:21" ht="17.25" hidden="1" x14ac:dyDescent="0.3">
      <c r="B798" s="122">
        <v>147</v>
      </c>
      <c r="C798" s="17"/>
      <c r="D798" s="17"/>
      <c r="E798" s="100"/>
      <c r="F798" s="100"/>
      <c r="G798" s="68"/>
      <c r="H798" s="17"/>
      <c r="I798" s="68"/>
      <c r="J798" s="100"/>
      <c r="K798" s="68"/>
      <c r="L798" s="17"/>
      <c r="M798" s="17"/>
      <c r="N798" s="343"/>
      <c r="O798" s="17"/>
      <c r="P798" s="17"/>
      <c r="Q798" s="17"/>
      <c r="R798" s="17"/>
      <c r="S798" s="17"/>
      <c r="T798" s="344">
        <v>0</v>
      </c>
      <c r="U798" s="351">
        <f t="shared" si="21"/>
        <v>0</v>
      </c>
    </row>
    <row r="799" spans="2:21" ht="17.25" hidden="1" x14ac:dyDescent="0.3">
      <c r="B799" s="122">
        <v>148</v>
      </c>
      <c r="C799" s="17"/>
      <c r="D799" s="17"/>
      <c r="E799" s="100"/>
      <c r="F799" s="100"/>
      <c r="G799" s="68"/>
      <c r="H799" s="17"/>
      <c r="I799" s="68"/>
      <c r="J799" s="100"/>
      <c r="K799" s="68"/>
      <c r="L799" s="17"/>
      <c r="M799" s="17"/>
      <c r="N799" s="343"/>
      <c r="O799" s="17"/>
      <c r="P799" s="17"/>
      <c r="Q799" s="17"/>
      <c r="R799" s="17"/>
      <c r="S799" s="17"/>
      <c r="T799" s="344">
        <v>0</v>
      </c>
      <c r="U799" s="351">
        <f t="shared" si="21"/>
        <v>0</v>
      </c>
    </row>
    <row r="800" spans="2:21" ht="17.25" hidden="1" x14ac:dyDescent="0.3">
      <c r="B800" s="122">
        <v>149</v>
      </c>
      <c r="C800" s="17"/>
      <c r="D800" s="17"/>
      <c r="E800" s="100"/>
      <c r="F800" s="100"/>
      <c r="G800" s="68"/>
      <c r="H800" s="17"/>
      <c r="I800" s="68"/>
      <c r="J800" s="100"/>
      <c r="K800" s="68"/>
      <c r="L800" s="17"/>
      <c r="M800" s="17"/>
      <c r="N800" s="343"/>
      <c r="O800" s="17"/>
      <c r="P800" s="17"/>
      <c r="Q800" s="17"/>
      <c r="R800" s="17"/>
      <c r="S800" s="17"/>
      <c r="T800" s="344">
        <v>0</v>
      </c>
      <c r="U800" s="351">
        <f t="shared" si="21"/>
        <v>0</v>
      </c>
    </row>
    <row r="801" spans="2:21" ht="17.25" hidden="1" x14ac:dyDescent="0.3">
      <c r="B801" s="16">
        <v>150</v>
      </c>
      <c r="C801" s="17"/>
      <c r="D801" s="17"/>
      <c r="E801" s="100"/>
      <c r="F801" s="100"/>
      <c r="G801" s="68"/>
      <c r="H801" s="17"/>
      <c r="I801" s="68"/>
      <c r="J801" s="100"/>
      <c r="K801" s="68"/>
      <c r="L801" s="17"/>
      <c r="M801" s="17"/>
      <c r="N801" s="343"/>
      <c r="O801" s="17"/>
      <c r="P801" s="17"/>
      <c r="Q801" s="17"/>
      <c r="R801" s="17"/>
      <c r="S801" s="17"/>
      <c r="T801" s="344">
        <v>0</v>
      </c>
      <c r="U801" s="351">
        <f t="shared" si="21"/>
        <v>0</v>
      </c>
    </row>
    <row r="802" spans="2:21" ht="17.25" hidden="1" x14ac:dyDescent="0.3">
      <c r="B802" s="122">
        <v>151</v>
      </c>
      <c r="C802" s="17"/>
      <c r="D802" s="17"/>
      <c r="E802" s="100"/>
      <c r="F802" s="100"/>
      <c r="G802" s="68"/>
      <c r="H802" s="17"/>
      <c r="I802" s="68"/>
      <c r="J802" s="100"/>
      <c r="K802" s="68"/>
      <c r="L802" s="17"/>
      <c r="M802" s="17"/>
      <c r="N802" s="343"/>
      <c r="O802" s="17"/>
      <c r="P802" s="17"/>
      <c r="Q802" s="17"/>
      <c r="R802" s="17"/>
      <c r="S802" s="17"/>
      <c r="T802" s="344">
        <v>0</v>
      </c>
      <c r="U802" s="351">
        <f t="shared" si="21"/>
        <v>0</v>
      </c>
    </row>
    <row r="803" spans="2:21" ht="17.25" hidden="1" x14ac:dyDescent="0.3">
      <c r="B803" s="16">
        <v>152</v>
      </c>
      <c r="C803" s="17"/>
      <c r="D803" s="17"/>
      <c r="E803" s="100"/>
      <c r="F803" s="100"/>
      <c r="G803" s="68"/>
      <c r="H803" s="17"/>
      <c r="I803" s="68"/>
      <c r="J803" s="100"/>
      <c r="K803" s="68"/>
      <c r="L803" s="17"/>
      <c r="M803" s="17"/>
      <c r="N803" s="343"/>
      <c r="O803" s="17"/>
      <c r="P803" s="17"/>
      <c r="Q803" s="17"/>
      <c r="R803" s="17"/>
      <c r="S803" s="17"/>
      <c r="T803" s="344">
        <v>0</v>
      </c>
      <c r="U803" s="351">
        <f t="shared" si="21"/>
        <v>0</v>
      </c>
    </row>
    <row r="804" spans="2:21" ht="17.25" hidden="1" x14ac:dyDescent="0.3">
      <c r="B804" s="122">
        <v>153</v>
      </c>
      <c r="C804" s="17"/>
      <c r="D804" s="17"/>
      <c r="E804" s="100"/>
      <c r="F804" s="100"/>
      <c r="G804" s="68"/>
      <c r="H804" s="17"/>
      <c r="I804" s="68"/>
      <c r="J804" s="100"/>
      <c r="K804" s="68"/>
      <c r="L804" s="17"/>
      <c r="M804" s="17"/>
      <c r="N804" s="343"/>
      <c r="O804" s="17"/>
      <c r="P804" s="17"/>
      <c r="Q804" s="17"/>
      <c r="R804" s="17"/>
      <c r="S804" s="17"/>
      <c r="T804" s="344">
        <v>0</v>
      </c>
      <c r="U804" s="351">
        <f t="shared" si="21"/>
        <v>0</v>
      </c>
    </row>
    <row r="805" spans="2:21" ht="17.25" hidden="1" x14ac:dyDescent="0.3">
      <c r="B805" s="16">
        <v>154</v>
      </c>
      <c r="C805" s="17"/>
      <c r="D805" s="17"/>
      <c r="E805" s="100"/>
      <c r="F805" s="100"/>
      <c r="G805" s="68"/>
      <c r="H805" s="17"/>
      <c r="I805" s="68"/>
      <c r="J805" s="100"/>
      <c r="K805" s="68"/>
      <c r="L805" s="17"/>
      <c r="M805" s="17"/>
      <c r="N805" s="343"/>
      <c r="O805" s="17"/>
      <c r="P805" s="17"/>
      <c r="Q805" s="17"/>
      <c r="R805" s="17"/>
      <c r="S805" s="17"/>
      <c r="T805" s="344">
        <v>0</v>
      </c>
      <c r="U805" s="351">
        <f t="shared" si="21"/>
        <v>0</v>
      </c>
    </row>
    <row r="806" spans="2:21" ht="17.25" hidden="1" x14ac:dyDescent="0.3">
      <c r="B806" s="122">
        <v>155</v>
      </c>
      <c r="C806" s="17"/>
      <c r="D806" s="17"/>
      <c r="E806" s="100"/>
      <c r="F806" s="100"/>
      <c r="G806" s="68"/>
      <c r="H806" s="17"/>
      <c r="I806" s="68"/>
      <c r="J806" s="100"/>
      <c r="K806" s="68"/>
      <c r="L806" s="17"/>
      <c r="M806" s="17"/>
      <c r="N806" s="343"/>
      <c r="O806" s="17"/>
      <c r="P806" s="17"/>
      <c r="Q806" s="17"/>
      <c r="R806" s="17"/>
      <c r="S806" s="17"/>
      <c r="T806" s="344">
        <v>0</v>
      </c>
      <c r="U806" s="351">
        <f t="shared" si="21"/>
        <v>0</v>
      </c>
    </row>
    <row r="807" spans="2:21" ht="17.25" hidden="1" x14ac:dyDescent="0.3">
      <c r="B807" s="16">
        <v>156</v>
      </c>
      <c r="C807" s="17"/>
      <c r="D807" s="17"/>
      <c r="E807" s="100"/>
      <c r="F807" s="100"/>
      <c r="G807" s="68"/>
      <c r="H807" s="17"/>
      <c r="I807" s="68"/>
      <c r="J807" s="100"/>
      <c r="K807" s="68"/>
      <c r="L807" s="17"/>
      <c r="M807" s="17"/>
      <c r="N807" s="343"/>
      <c r="O807" s="17"/>
      <c r="P807" s="17"/>
      <c r="Q807" s="17"/>
      <c r="R807" s="17"/>
      <c r="S807" s="17"/>
      <c r="T807" s="344">
        <v>0</v>
      </c>
      <c r="U807" s="351">
        <f t="shared" si="21"/>
        <v>0</v>
      </c>
    </row>
    <row r="808" spans="2:21" ht="17.25" hidden="1" x14ac:dyDescent="0.3">
      <c r="B808" s="122">
        <v>157</v>
      </c>
      <c r="C808" s="17"/>
      <c r="D808" s="17"/>
      <c r="E808" s="100"/>
      <c r="F808" s="100"/>
      <c r="G808" s="68"/>
      <c r="H808" s="17"/>
      <c r="I808" s="68"/>
      <c r="J808" s="100"/>
      <c r="K808" s="68"/>
      <c r="L808" s="17"/>
      <c r="M808" s="17"/>
      <c r="N808" s="343"/>
      <c r="O808" s="17"/>
      <c r="P808" s="17"/>
      <c r="Q808" s="17"/>
      <c r="R808" s="17"/>
      <c r="S808" s="17"/>
      <c r="T808" s="344">
        <v>0</v>
      </c>
      <c r="U808" s="351">
        <f t="shared" si="21"/>
        <v>0</v>
      </c>
    </row>
    <row r="809" spans="2:21" ht="17.25" hidden="1" x14ac:dyDescent="0.3">
      <c r="B809" s="16">
        <v>158</v>
      </c>
      <c r="C809" s="17"/>
      <c r="D809" s="17"/>
      <c r="E809" s="100"/>
      <c r="F809" s="100"/>
      <c r="G809" s="68"/>
      <c r="H809" s="17"/>
      <c r="I809" s="68"/>
      <c r="J809" s="100"/>
      <c r="K809" s="68"/>
      <c r="L809" s="17"/>
      <c r="M809" s="17"/>
      <c r="N809" s="343"/>
      <c r="O809" s="17"/>
      <c r="P809" s="17"/>
      <c r="Q809" s="17"/>
      <c r="R809" s="17"/>
      <c r="S809" s="17"/>
      <c r="T809" s="344">
        <v>0</v>
      </c>
      <c r="U809" s="351">
        <f t="shared" si="21"/>
        <v>0</v>
      </c>
    </row>
    <row r="810" spans="2:21" ht="17.25" hidden="1" x14ac:dyDescent="0.3">
      <c r="B810" s="122">
        <v>159</v>
      </c>
      <c r="C810" s="17"/>
      <c r="D810" s="17"/>
      <c r="E810" s="100"/>
      <c r="F810" s="100"/>
      <c r="G810" s="68"/>
      <c r="H810" s="17"/>
      <c r="I810" s="68"/>
      <c r="J810" s="100"/>
      <c r="K810" s="68"/>
      <c r="L810" s="17"/>
      <c r="M810" s="17"/>
      <c r="N810" s="343"/>
      <c r="O810" s="17"/>
      <c r="P810" s="17"/>
      <c r="Q810" s="17"/>
      <c r="R810" s="17"/>
      <c r="S810" s="17"/>
      <c r="T810" s="344">
        <v>0</v>
      </c>
      <c r="U810" s="351">
        <f t="shared" si="21"/>
        <v>0</v>
      </c>
    </row>
    <row r="811" spans="2:21" ht="17.25" hidden="1" x14ac:dyDescent="0.3">
      <c r="B811" s="16">
        <v>160</v>
      </c>
      <c r="C811" s="17"/>
      <c r="D811" s="17"/>
      <c r="E811" s="100"/>
      <c r="F811" s="100"/>
      <c r="G811" s="68"/>
      <c r="H811" s="17"/>
      <c r="I811" s="68"/>
      <c r="J811" s="100"/>
      <c r="K811" s="68"/>
      <c r="L811" s="17"/>
      <c r="M811" s="17"/>
      <c r="N811" s="343"/>
      <c r="O811" s="17"/>
      <c r="P811" s="17"/>
      <c r="Q811" s="17"/>
      <c r="R811" s="17"/>
      <c r="S811" s="17"/>
      <c r="T811" s="344">
        <v>0</v>
      </c>
      <c r="U811" s="351">
        <f t="shared" si="21"/>
        <v>0</v>
      </c>
    </row>
    <row r="812" spans="2:21" ht="17.25" hidden="1" x14ac:dyDescent="0.3">
      <c r="B812" s="122">
        <v>161</v>
      </c>
      <c r="C812" s="17"/>
      <c r="D812" s="17"/>
      <c r="E812" s="100"/>
      <c r="F812" s="100"/>
      <c r="G812" s="68"/>
      <c r="H812" s="17"/>
      <c r="I812" s="68"/>
      <c r="J812" s="100"/>
      <c r="K812" s="68"/>
      <c r="L812" s="17"/>
      <c r="M812" s="17"/>
      <c r="N812" s="343"/>
      <c r="O812" s="17"/>
      <c r="P812" s="17"/>
      <c r="Q812" s="17"/>
      <c r="R812" s="17"/>
      <c r="S812" s="17"/>
      <c r="T812" s="344">
        <v>0</v>
      </c>
      <c r="U812" s="351">
        <f t="shared" si="21"/>
        <v>0</v>
      </c>
    </row>
    <row r="813" spans="2:21" ht="17.25" hidden="1" x14ac:dyDescent="0.3">
      <c r="B813" s="16">
        <v>162</v>
      </c>
      <c r="C813" s="17"/>
      <c r="D813" s="17"/>
      <c r="E813" s="100"/>
      <c r="F813" s="100"/>
      <c r="G813" s="68"/>
      <c r="H813" s="17"/>
      <c r="I813" s="68"/>
      <c r="J813" s="100"/>
      <c r="K813" s="68"/>
      <c r="L813" s="17"/>
      <c r="M813" s="17"/>
      <c r="N813" s="343"/>
      <c r="O813" s="17"/>
      <c r="P813" s="17"/>
      <c r="Q813" s="17"/>
      <c r="R813" s="17"/>
      <c r="S813" s="17"/>
      <c r="T813" s="344">
        <v>0</v>
      </c>
      <c r="U813" s="351">
        <f t="shared" si="21"/>
        <v>0</v>
      </c>
    </row>
    <row r="814" spans="2:21" ht="17.25" hidden="1" x14ac:dyDescent="0.3">
      <c r="B814" s="122">
        <v>163</v>
      </c>
      <c r="C814" s="17"/>
      <c r="D814" s="17"/>
      <c r="E814" s="100"/>
      <c r="F814" s="100"/>
      <c r="G814" s="68"/>
      <c r="H814" s="17"/>
      <c r="I814" s="68"/>
      <c r="J814" s="100"/>
      <c r="K814" s="68"/>
      <c r="L814" s="17"/>
      <c r="M814" s="17"/>
      <c r="N814" s="343"/>
      <c r="O814" s="17"/>
      <c r="P814" s="17"/>
      <c r="Q814" s="17"/>
      <c r="R814" s="17"/>
      <c r="S814" s="17"/>
      <c r="T814" s="344">
        <v>0</v>
      </c>
      <c r="U814" s="351">
        <f t="shared" si="21"/>
        <v>0</v>
      </c>
    </row>
    <row r="815" spans="2:21" ht="17.25" hidden="1" x14ac:dyDescent="0.3">
      <c r="B815" s="16">
        <v>164</v>
      </c>
      <c r="C815" s="17"/>
      <c r="D815" s="17"/>
      <c r="E815" s="100"/>
      <c r="F815" s="100"/>
      <c r="G815" s="68"/>
      <c r="H815" s="17"/>
      <c r="I815" s="68"/>
      <c r="J815" s="100"/>
      <c r="K815" s="68"/>
      <c r="L815" s="17"/>
      <c r="M815" s="17"/>
      <c r="N815" s="343"/>
      <c r="O815" s="17"/>
      <c r="P815" s="17"/>
      <c r="Q815" s="17"/>
      <c r="R815" s="17"/>
      <c r="S815" s="17"/>
      <c r="T815" s="344">
        <v>0</v>
      </c>
      <c r="U815" s="351">
        <f t="shared" si="21"/>
        <v>0</v>
      </c>
    </row>
    <row r="816" spans="2:21" ht="17.25" hidden="1" x14ac:dyDescent="0.3">
      <c r="B816" s="122">
        <v>165</v>
      </c>
      <c r="C816" s="17"/>
      <c r="D816" s="17"/>
      <c r="E816" s="100"/>
      <c r="F816" s="100"/>
      <c r="G816" s="68"/>
      <c r="H816" s="17"/>
      <c r="I816" s="68"/>
      <c r="J816" s="100"/>
      <c r="K816" s="68"/>
      <c r="L816" s="17"/>
      <c r="M816" s="17"/>
      <c r="N816" s="343"/>
      <c r="O816" s="17"/>
      <c r="P816" s="17"/>
      <c r="Q816" s="17"/>
      <c r="R816" s="17"/>
      <c r="S816" s="17"/>
      <c r="T816" s="344">
        <v>0</v>
      </c>
      <c r="U816" s="351">
        <f t="shared" si="21"/>
        <v>0</v>
      </c>
    </row>
    <row r="817" spans="2:21" ht="17.25" hidden="1" x14ac:dyDescent="0.3">
      <c r="B817" s="16">
        <v>166</v>
      </c>
      <c r="C817" s="17"/>
      <c r="D817" s="17"/>
      <c r="E817" s="100"/>
      <c r="F817" s="100"/>
      <c r="G817" s="68"/>
      <c r="H817" s="17"/>
      <c r="I817" s="68"/>
      <c r="J817" s="100"/>
      <c r="K817" s="68"/>
      <c r="L817" s="17"/>
      <c r="M817" s="17"/>
      <c r="N817" s="343"/>
      <c r="O817" s="17"/>
      <c r="P817" s="17"/>
      <c r="Q817" s="17"/>
      <c r="R817" s="17"/>
      <c r="S817" s="17"/>
      <c r="T817" s="344">
        <v>0</v>
      </c>
      <c r="U817" s="351">
        <f t="shared" si="21"/>
        <v>0</v>
      </c>
    </row>
    <row r="818" spans="2:21" ht="17.25" hidden="1" x14ac:dyDescent="0.3">
      <c r="B818" s="122">
        <v>167</v>
      </c>
      <c r="C818" s="17"/>
      <c r="D818" s="17"/>
      <c r="E818" s="100"/>
      <c r="F818" s="100"/>
      <c r="G818" s="68"/>
      <c r="H818" s="17"/>
      <c r="I818" s="68"/>
      <c r="J818" s="100"/>
      <c r="K818" s="68"/>
      <c r="L818" s="17"/>
      <c r="M818" s="17"/>
      <c r="N818" s="343"/>
      <c r="O818" s="17"/>
      <c r="P818" s="17"/>
      <c r="Q818" s="17"/>
      <c r="R818" s="17"/>
      <c r="S818" s="17"/>
      <c r="T818" s="344">
        <v>0</v>
      </c>
      <c r="U818" s="351">
        <f t="shared" si="21"/>
        <v>0</v>
      </c>
    </row>
    <row r="819" spans="2:21" ht="17.25" hidden="1" x14ac:dyDescent="0.3">
      <c r="B819" s="16">
        <v>168</v>
      </c>
      <c r="C819" s="17"/>
      <c r="D819" s="17"/>
      <c r="E819" s="100"/>
      <c r="F819" s="100"/>
      <c r="G819" s="68"/>
      <c r="H819" s="17"/>
      <c r="I819" s="68"/>
      <c r="J819" s="100"/>
      <c r="K819" s="68"/>
      <c r="L819" s="17"/>
      <c r="M819" s="17"/>
      <c r="N819" s="343"/>
      <c r="O819" s="17"/>
      <c r="P819" s="17"/>
      <c r="Q819" s="17"/>
      <c r="R819" s="17"/>
      <c r="S819" s="17"/>
      <c r="T819" s="344">
        <v>0</v>
      </c>
      <c r="U819" s="351">
        <f t="shared" si="21"/>
        <v>0</v>
      </c>
    </row>
    <row r="820" spans="2:21" ht="17.25" hidden="1" x14ac:dyDescent="0.3">
      <c r="B820" s="122">
        <v>169</v>
      </c>
      <c r="C820" s="17"/>
      <c r="D820" s="17"/>
      <c r="E820" s="100"/>
      <c r="F820" s="100"/>
      <c r="G820" s="68"/>
      <c r="H820" s="17"/>
      <c r="I820" s="68"/>
      <c r="J820" s="100"/>
      <c r="K820" s="68"/>
      <c r="L820" s="17"/>
      <c r="M820" s="17"/>
      <c r="N820" s="343"/>
      <c r="O820" s="17"/>
      <c r="P820" s="17"/>
      <c r="Q820" s="17"/>
      <c r="R820" s="17"/>
      <c r="S820" s="17"/>
      <c r="T820" s="344">
        <v>0</v>
      </c>
      <c r="U820" s="351">
        <f t="shared" si="21"/>
        <v>0</v>
      </c>
    </row>
    <row r="821" spans="2:21" ht="17.25" hidden="1" x14ac:dyDescent="0.3">
      <c r="B821" s="16">
        <v>170</v>
      </c>
      <c r="C821" s="17"/>
      <c r="D821" s="17"/>
      <c r="E821" s="100"/>
      <c r="F821" s="100"/>
      <c r="G821" s="68"/>
      <c r="H821" s="17"/>
      <c r="I821" s="68"/>
      <c r="J821" s="100"/>
      <c r="K821" s="68"/>
      <c r="L821" s="17"/>
      <c r="M821" s="17"/>
      <c r="N821" s="343"/>
      <c r="O821" s="17"/>
      <c r="P821" s="17"/>
      <c r="Q821" s="17"/>
      <c r="R821" s="17"/>
      <c r="S821" s="17"/>
      <c r="T821" s="344">
        <v>0</v>
      </c>
      <c r="U821" s="351">
        <f t="shared" si="21"/>
        <v>0</v>
      </c>
    </row>
    <row r="822" spans="2:21" ht="17.25" hidden="1" x14ac:dyDescent="0.3">
      <c r="B822" s="122">
        <v>171</v>
      </c>
      <c r="C822" s="17"/>
      <c r="D822" s="17"/>
      <c r="E822" s="100"/>
      <c r="F822" s="100"/>
      <c r="G822" s="68"/>
      <c r="H822" s="17"/>
      <c r="I822" s="68"/>
      <c r="J822" s="100"/>
      <c r="K822" s="68"/>
      <c r="L822" s="17"/>
      <c r="M822" s="17"/>
      <c r="N822" s="343"/>
      <c r="O822" s="17"/>
      <c r="P822" s="17"/>
      <c r="Q822" s="17"/>
      <c r="R822" s="17"/>
      <c r="S822" s="17"/>
      <c r="T822" s="344">
        <v>0</v>
      </c>
      <c r="U822" s="351">
        <f t="shared" si="21"/>
        <v>0</v>
      </c>
    </row>
    <row r="823" spans="2:21" ht="17.25" hidden="1" x14ac:dyDescent="0.3">
      <c r="B823" s="16">
        <v>172</v>
      </c>
      <c r="C823" s="17"/>
      <c r="D823" s="17"/>
      <c r="E823" s="100"/>
      <c r="F823" s="100"/>
      <c r="G823" s="68"/>
      <c r="H823" s="17"/>
      <c r="I823" s="68"/>
      <c r="J823" s="100"/>
      <c r="K823" s="68"/>
      <c r="L823" s="17"/>
      <c r="M823" s="17"/>
      <c r="N823" s="343"/>
      <c r="O823" s="17"/>
      <c r="P823" s="17"/>
      <c r="Q823" s="17"/>
      <c r="R823" s="17"/>
      <c r="S823" s="17"/>
      <c r="T823" s="344">
        <v>0</v>
      </c>
      <c r="U823" s="351">
        <f t="shared" si="21"/>
        <v>0</v>
      </c>
    </row>
    <row r="824" spans="2:21" ht="17.25" hidden="1" x14ac:dyDescent="0.3">
      <c r="B824" s="122">
        <v>173</v>
      </c>
      <c r="C824" s="17"/>
      <c r="D824" s="17"/>
      <c r="E824" s="100"/>
      <c r="F824" s="100"/>
      <c r="G824" s="68"/>
      <c r="H824" s="17"/>
      <c r="I824" s="68"/>
      <c r="J824" s="100"/>
      <c r="K824" s="68"/>
      <c r="L824" s="17"/>
      <c r="M824" s="17"/>
      <c r="N824" s="343"/>
      <c r="O824" s="17"/>
      <c r="P824" s="17"/>
      <c r="Q824" s="17"/>
      <c r="R824" s="17"/>
      <c r="S824" s="17"/>
      <c r="T824" s="344">
        <v>0</v>
      </c>
      <c r="U824" s="351">
        <f t="shared" si="21"/>
        <v>0</v>
      </c>
    </row>
    <row r="825" spans="2:21" ht="17.25" hidden="1" x14ac:dyDescent="0.3">
      <c r="B825" s="16">
        <v>174</v>
      </c>
      <c r="C825" s="17"/>
      <c r="D825" s="17"/>
      <c r="E825" s="100"/>
      <c r="F825" s="100"/>
      <c r="G825" s="68"/>
      <c r="H825" s="17"/>
      <c r="I825" s="68"/>
      <c r="J825" s="100"/>
      <c r="K825" s="68"/>
      <c r="L825" s="17"/>
      <c r="M825" s="17"/>
      <c r="N825" s="343"/>
      <c r="O825" s="17"/>
      <c r="P825" s="17"/>
      <c r="Q825" s="17"/>
      <c r="R825" s="17"/>
      <c r="S825" s="17"/>
      <c r="T825" s="344">
        <v>0</v>
      </c>
      <c r="U825" s="351">
        <f t="shared" si="21"/>
        <v>0</v>
      </c>
    </row>
    <row r="826" spans="2:21" ht="17.25" hidden="1" x14ac:dyDescent="0.3">
      <c r="B826" s="122">
        <v>175</v>
      </c>
      <c r="C826" s="17"/>
      <c r="D826" s="17"/>
      <c r="E826" s="100"/>
      <c r="F826" s="100"/>
      <c r="G826" s="68"/>
      <c r="H826" s="17"/>
      <c r="I826" s="68"/>
      <c r="J826" s="100"/>
      <c r="K826" s="68"/>
      <c r="L826" s="17"/>
      <c r="M826" s="17"/>
      <c r="N826" s="343"/>
      <c r="O826" s="17"/>
      <c r="P826" s="17"/>
      <c r="Q826" s="17"/>
      <c r="R826" s="17"/>
      <c r="S826" s="17"/>
      <c r="T826" s="344">
        <v>0</v>
      </c>
      <c r="U826" s="351">
        <f t="shared" si="21"/>
        <v>0</v>
      </c>
    </row>
    <row r="827" spans="2:21" ht="17.25" hidden="1" x14ac:dyDescent="0.3">
      <c r="B827" s="16">
        <v>176</v>
      </c>
      <c r="C827" s="17"/>
      <c r="D827" s="17"/>
      <c r="E827" s="100"/>
      <c r="F827" s="100"/>
      <c r="G827" s="68"/>
      <c r="H827" s="17"/>
      <c r="I827" s="68"/>
      <c r="J827" s="100"/>
      <c r="K827" s="68"/>
      <c r="L827" s="17"/>
      <c r="M827" s="17"/>
      <c r="N827" s="343"/>
      <c r="O827" s="17"/>
      <c r="P827" s="17"/>
      <c r="Q827" s="17"/>
      <c r="R827" s="17"/>
      <c r="S827" s="17"/>
      <c r="T827" s="344">
        <v>0</v>
      </c>
      <c r="U827" s="351">
        <f t="shared" si="21"/>
        <v>0</v>
      </c>
    </row>
    <row r="828" spans="2:21" ht="17.25" hidden="1" x14ac:dyDescent="0.3">
      <c r="B828" s="122">
        <v>177</v>
      </c>
      <c r="C828" s="17"/>
      <c r="D828" s="17"/>
      <c r="E828" s="100"/>
      <c r="F828" s="100"/>
      <c r="G828" s="68"/>
      <c r="H828" s="17"/>
      <c r="I828" s="68"/>
      <c r="J828" s="100"/>
      <c r="K828" s="68"/>
      <c r="L828" s="17"/>
      <c r="M828" s="17"/>
      <c r="N828" s="343"/>
      <c r="O828" s="17"/>
      <c r="P828" s="17"/>
      <c r="Q828" s="17"/>
      <c r="R828" s="17"/>
      <c r="S828" s="17"/>
      <c r="T828" s="344">
        <v>0</v>
      </c>
      <c r="U828" s="351">
        <f t="shared" si="21"/>
        <v>0</v>
      </c>
    </row>
    <row r="829" spans="2:21" ht="17.25" hidden="1" x14ac:dyDescent="0.3">
      <c r="B829" s="16">
        <v>178</v>
      </c>
      <c r="C829" s="17"/>
      <c r="D829" s="17"/>
      <c r="E829" s="100"/>
      <c r="F829" s="100"/>
      <c r="G829" s="68"/>
      <c r="H829" s="17"/>
      <c r="I829" s="68"/>
      <c r="J829" s="100"/>
      <c r="K829" s="68"/>
      <c r="L829" s="17"/>
      <c r="M829" s="17"/>
      <c r="N829" s="343"/>
      <c r="O829" s="17"/>
      <c r="P829" s="17"/>
      <c r="Q829" s="17"/>
      <c r="R829" s="17"/>
      <c r="S829" s="17"/>
      <c r="T829" s="344">
        <v>0</v>
      </c>
      <c r="U829" s="351">
        <f t="shared" si="21"/>
        <v>0</v>
      </c>
    </row>
    <row r="830" spans="2:21" ht="17.25" hidden="1" x14ac:dyDescent="0.3">
      <c r="B830" s="122">
        <v>179</v>
      </c>
      <c r="C830" s="17"/>
      <c r="D830" s="17"/>
      <c r="E830" s="100"/>
      <c r="F830" s="100"/>
      <c r="G830" s="68"/>
      <c r="H830" s="17"/>
      <c r="I830" s="68"/>
      <c r="J830" s="100"/>
      <c r="K830" s="68"/>
      <c r="L830" s="17"/>
      <c r="M830" s="17"/>
      <c r="N830" s="343"/>
      <c r="O830" s="17"/>
      <c r="P830" s="17"/>
      <c r="Q830" s="17"/>
      <c r="R830" s="17"/>
      <c r="S830" s="17"/>
      <c r="T830" s="344">
        <v>0</v>
      </c>
      <c r="U830" s="351">
        <f t="shared" si="21"/>
        <v>0</v>
      </c>
    </row>
    <row r="831" spans="2:21" ht="17.25" hidden="1" x14ac:dyDescent="0.3">
      <c r="B831" s="16">
        <v>180</v>
      </c>
      <c r="C831" s="17"/>
      <c r="D831" s="17"/>
      <c r="E831" s="100"/>
      <c r="F831" s="100"/>
      <c r="G831" s="68"/>
      <c r="H831" s="17"/>
      <c r="I831" s="68"/>
      <c r="J831" s="100"/>
      <c r="K831" s="68"/>
      <c r="L831" s="17"/>
      <c r="M831" s="17"/>
      <c r="N831" s="343"/>
      <c r="O831" s="17"/>
      <c r="P831" s="17"/>
      <c r="Q831" s="17"/>
      <c r="R831" s="17"/>
      <c r="S831" s="17"/>
      <c r="T831" s="344">
        <v>0</v>
      </c>
      <c r="U831" s="351">
        <f t="shared" si="21"/>
        <v>0</v>
      </c>
    </row>
    <row r="832" spans="2:21" ht="17.25" hidden="1" x14ac:dyDescent="0.3">
      <c r="B832" s="122">
        <v>181</v>
      </c>
      <c r="C832" s="17"/>
      <c r="D832" s="17"/>
      <c r="E832" s="100"/>
      <c r="F832" s="100"/>
      <c r="G832" s="68"/>
      <c r="H832" s="17"/>
      <c r="I832" s="68"/>
      <c r="J832" s="100"/>
      <c r="K832" s="68"/>
      <c r="L832" s="17"/>
      <c r="M832" s="17"/>
      <c r="N832" s="343"/>
      <c r="O832" s="17"/>
      <c r="P832" s="17"/>
      <c r="Q832" s="17"/>
      <c r="R832" s="17"/>
      <c r="S832" s="17"/>
      <c r="T832" s="344">
        <v>0</v>
      </c>
      <c r="U832" s="351">
        <f t="shared" si="21"/>
        <v>0</v>
      </c>
    </row>
    <row r="833" spans="2:21" ht="17.25" hidden="1" x14ac:dyDescent="0.3">
      <c r="B833" s="16">
        <v>182</v>
      </c>
      <c r="C833" s="17"/>
      <c r="D833" s="17"/>
      <c r="E833" s="100"/>
      <c r="F833" s="100"/>
      <c r="G833" s="68"/>
      <c r="H833" s="17"/>
      <c r="I833" s="68"/>
      <c r="J833" s="100"/>
      <c r="K833" s="68"/>
      <c r="L833" s="17"/>
      <c r="M833" s="17"/>
      <c r="N833" s="343"/>
      <c r="O833" s="17"/>
      <c r="P833" s="17"/>
      <c r="Q833" s="17"/>
      <c r="R833" s="17"/>
      <c r="S833" s="17"/>
      <c r="T833" s="344">
        <v>0</v>
      </c>
      <c r="U833" s="351">
        <f t="shared" si="21"/>
        <v>0</v>
      </c>
    </row>
    <row r="834" spans="2:21" ht="17.25" hidden="1" x14ac:dyDescent="0.3">
      <c r="B834" s="122">
        <v>183</v>
      </c>
      <c r="C834" s="17"/>
      <c r="D834" s="17"/>
      <c r="E834" s="100"/>
      <c r="F834" s="100"/>
      <c r="G834" s="68"/>
      <c r="H834" s="17"/>
      <c r="I834" s="68"/>
      <c r="J834" s="100"/>
      <c r="K834" s="68"/>
      <c r="L834" s="17"/>
      <c r="M834" s="17"/>
      <c r="N834" s="343"/>
      <c r="O834" s="17"/>
      <c r="P834" s="17"/>
      <c r="Q834" s="17"/>
      <c r="R834" s="17"/>
      <c r="S834" s="17"/>
      <c r="T834" s="344">
        <v>0</v>
      </c>
      <c r="U834" s="351">
        <f t="shared" si="21"/>
        <v>0</v>
      </c>
    </row>
    <row r="835" spans="2:21" ht="17.25" hidden="1" x14ac:dyDescent="0.3">
      <c r="B835" s="16">
        <v>184</v>
      </c>
      <c r="C835" s="17"/>
      <c r="D835" s="17"/>
      <c r="E835" s="100"/>
      <c r="F835" s="100"/>
      <c r="G835" s="68"/>
      <c r="H835" s="17"/>
      <c r="I835" s="68"/>
      <c r="J835" s="100"/>
      <c r="K835" s="68"/>
      <c r="L835" s="17"/>
      <c r="M835" s="17"/>
      <c r="N835" s="343"/>
      <c r="O835" s="17"/>
      <c r="P835" s="17"/>
      <c r="Q835" s="17"/>
      <c r="R835" s="17"/>
      <c r="S835" s="17"/>
      <c r="T835" s="344">
        <v>0</v>
      </c>
      <c r="U835" s="351">
        <f t="shared" si="21"/>
        <v>0</v>
      </c>
    </row>
    <row r="836" spans="2:21" ht="17.25" hidden="1" x14ac:dyDescent="0.3">
      <c r="B836" s="122">
        <v>185</v>
      </c>
      <c r="C836" s="17"/>
      <c r="D836" s="17"/>
      <c r="E836" s="100"/>
      <c r="F836" s="100"/>
      <c r="G836" s="68"/>
      <c r="H836" s="17"/>
      <c r="I836" s="68"/>
      <c r="J836" s="100"/>
      <c r="K836" s="68"/>
      <c r="L836" s="17"/>
      <c r="M836" s="17"/>
      <c r="N836" s="343"/>
      <c r="O836" s="17"/>
      <c r="P836" s="17"/>
      <c r="Q836" s="17"/>
      <c r="R836" s="17"/>
      <c r="S836" s="17"/>
      <c r="T836" s="344">
        <v>0</v>
      </c>
      <c r="U836" s="351">
        <f t="shared" si="21"/>
        <v>0</v>
      </c>
    </row>
    <row r="837" spans="2:21" ht="17.25" hidden="1" x14ac:dyDescent="0.3">
      <c r="B837" s="16">
        <v>186</v>
      </c>
      <c r="C837" s="17"/>
      <c r="D837" s="17"/>
      <c r="E837" s="100"/>
      <c r="F837" s="100"/>
      <c r="G837" s="68"/>
      <c r="H837" s="17"/>
      <c r="I837" s="68"/>
      <c r="J837" s="100"/>
      <c r="K837" s="68"/>
      <c r="L837" s="17"/>
      <c r="M837" s="17"/>
      <c r="N837" s="343"/>
      <c r="O837" s="17"/>
      <c r="P837" s="17"/>
      <c r="Q837" s="17"/>
      <c r="R837" s="17"/>
      <c r="S837" s="17"/>
      <c r="T837" s="344">
        <v>0</v>
      </c>
      <c r="U837" s="351">
        <f t="shared" si="21"/>
        <v>0</v>
      </c>
    </row>
    <row r="838" spans="2:21" ht="17.25" hidden="1" x14ac:dyDescent="0.3">
      <c r="B838" s="122">
        <v>187</v>
      </c>
      <c r="C838" s="17"/>
      <c r="D838" s="17"/>
      <c r="E838" s="100"/>
      <c r="F838" s="100"/>
      <c r="G838" s="68"/>
      <c r="H838" s="17"/>
      <c r="I838" s="68"/>
      <c r="J838" s="100"/>
      <c r="K838" s="68"/>
      <c r="L838" s="17"/>
      <c r="M838" s="17"/>
      <c r="N838" s="343"/>
      <c r="O838" s="17"/>
      <c r="P838" s="17"/>
      <c r="Q838" s="17"/>
      <c r="R838" s="17"/>
      <c r="S838" s="17"/>
      <c r="T838" s="344">
        <v>0</v>
      </c>
      <c r="U838" s="351">
        <f t="shared" si="21"/>
        <v>0</v>
      </c>
    </row>
    <row r="839" spans="2:21" ht="17.25" hidden="1" x14ac:dyDescent="0.3">
      <c r="B839" s="16">
        <v>188</v>
      </c>
      <c r="C839" s="17"/>
      <c r="D839" s="17"/>
      <c r="E839" s="100"/>
      <c r="F839" s="100"/>
      <c r="G839" s="68"/>
      <c r="H839" s="17"/>
      <c r="I839" s="68"/>
      <c r="J839" s="100"/>
      <c r="K839" s="68"/>
      <c r="L839" s="17"/>
      <c r="M839" s="17"/>
      <c r="N839" s="343"/>
      <c r="O839" s="17"/>
      <c r="P839" s="17"/>
      <c r="Q839" s="17"/>
      <c r="R839" s="17"/>
      <c r="S839" s="17"/>
      <c r="T839" s="344">
        <v>0</v>
      </c>
      <c r="U839" s="351">
        <f t="shared" si="21"/>
        <v>0</v>
      </c>
    </row>
    <row r="840" spans="2:21" ht="17.25" hidden="1" x14ac:dyDescent="0.3">
      <c r="B840" s="122">
        <v>189</v>
      </c>
      <c r="C840" s="17"/>
      <c r="D840" s="17"/>
      <c r="E840" s="100"/>
      <c r="F840" s="100"/>
      <c r="G840" s="68"/>
      <c r="H840" s="17"/>
      <c r="I840" s="68"/>
      <c r="J840" s="100"/>
      <c r="K840" s="68"/>
      <c r="L840" s="17"/>
      <c r="M840" s="17"/>
      <c r="N840" s="343"/>
      <c r="O840" s="17"/>
      <c r="P840" s="17"/>
      <c r="Q840" s="17"/>
      <c r="R840" s="17"/>
      <c r="S840" s="17"/>
      <c r="T840" s="344">
        <v>0</v>
      </c>
      <c r="U840" s="351">
        <f t="shared" si="21"/>
        <v>0</v>
      </c>
    </row>
    <row r="841" spans="2:21" ht="17.25" hidden="1" x14ac:dyDescent="0.3">
      <c r="B841" s="16">
        <v>190</v>
      </c>
      <c r="C841" s="17"/>
      <c r="D841" s="17"/>
      <c r="E841" s="100"/>
      <c r="F841" s="100"/>
      <c r="G841" s="68"/>
      <c r="H841" s="17"/>
      <c r="I841" s="68"/>
      <c r="J841" s="100"/>
      <c r="K841" s="68"/>
      <c r="L841" s="17"/>
      <c r="M841" s="17"/>
      <c r="N841" s="343"/>
      <c r="O841" s="17"/>
      <c r="P841" s="17"/>
      <c r="Q841" s="17"/>
      <c r="R841" s="17"/>
      <c r="S841" s="17"/>
      <c r="T841" s="344">
        <v>0</v>
      </c>
      <c r="U841" s="351">
        <f t="shared" si="21"/>
        <v>0</v>
      </c>
    </row>
    <row r="842" spans="2:21" ht="17.25" hidden="1" x14ac:dyDescent="0.3">
      <c r="B842" s="122">
        <v>191</v>
      </c>
      <c r="C842" s="17"/>
      <c r="D842" s="17"/>
      <c r="E842" s="100"/>
      <c r="F842" s="100"/>
      <c r="G842" s="68"/>
      <c r="H842" s="17"/>
      <c r="I842" s="68"/>
      <c r="J842" s="100"/>
      <c r="K842" s="68"/>
      <c r="L842" s="17"/>
      <c r="M842" s="17"/>
      <c r="N842" s="343"/>
      <c r="O842" s="17"/>
      <c r="P842" s="17"/>
      <c r="Q842" s="17"/>
      <c r="R842" s="17"/>
      <c r="S842" s="17"/>
      <c r="T842" s="344">
        <v>0</v>
      </c>
      <c r="U842" s="351">
        <f t="shared" si="21"/>
        <v>0</v>
      </c>
    </row>
    <row r="843" spans="2:21" ht="17.25" hidden="1" x14ac:dyDescent="0.3">
      <c r="B843" s="16">
        <v>192</v>
      </c>
      <c r="C843" s="17"/>
      <c r="D843" s="17"/>
      <c r="E843" s="100"/>
      <c r="F843" s="100"/>
      <c r="G843" s="68"/>
      <c r="H843" s="17"/>
      <c r="I843" s="68"/>
      <c r="J843" s="100"/>
      <c r="K843" s="68"/>
      <c r="L843" s="17"/>
      <c r="M843" s="17"/>
      <c r="N843" s="343"/>
      <c r="O843" s="17"/>
      <c r="P843" s="17"/>
      <c r="Q843" s="17"/>
      <c r="R843" s="17"/>
      <c r="S843" s="17"/>
      <c r="T843" s="344">
        <v>0</v>
      </c>
      <c r="U843" s="351">
        <f t="shared" si="21"/>
        <v>0</v>
      </c>
    </row>
    <row r="844" spans="2:21" ht="17.25" hidden="1" x14ac:dyDescent="0.3">
      <c r="B844" s="122">
        <v>193</v>
      </c>
      <c r="C844" s="17"/>
      <c r="D844" s="17"/>
      <c r="E844" s="100"/>
      <c r="F844" s="100"/>
      <c r="G844" s="68"/>
      <c r="H844" s="17"/>
      <c r="I844" s="68"/>
      <c r="J844" s="100"/>
      <c r="K844" s="68"/>
      <c r="L844" s="17"/>
      <c r="M844" s="17"/>
      <c r="N844" s="343"/>
      <c r="O844" s="17"/>
      <c r="P844" s="17"/>
      <c r="Q844" s="17"/>
      <c r="R844" s="17"/>
      <c r="S844" s="17"/>
      <c r="T844" s="344">
        <v>0</v>
      </c>
      <c r="U844" s="351">
        <f t="shared" si="21"/>
        <v>0</v>
      </c>
    </row>
    <row r="845" spans="2:21" ht="17.25" hidden="1" x14ac:dyDescent="0.3">
      <c r="B845" s="16">
        <v>194</v>
      </c>
      <c r="C845" s="17"/>
      <c r="D845" s="17"/>
      <c r="E845" s="100"/>
      <c r="F845" s="100"/>
      <c r="G845" s="68"/>
      <c r="H845" s="17"/>
      <c r="I845" s="68"/>
      <c r="J845" s="100"/>
      <c r="K845" s="68"/>
      <c r="L845" s="17"/>
      <c r="M845" s="17"/>
      <c r="N845" s="343"/>
      <c r="O845" s="17"/>
      <c r="P845" s="17"/>
      <c r="Q845" s="17"/>
      <c r="R845" s="17"/>
      <c r="S845" s="17"/>
      <c r="T845" s="344">
        <v>0</v>
      </c>
      <c r="U845" s="351">
        <f t="shared" si="21"/>
        <v>0</v>
      </c>
    </row>
    <row r="846" spans="2:21" ht="17.25" hidden="1" x14ac:dyDescent="0.3">
      <c r="B846" s="122">
        <v>195</v>
      </c>
      <c r="C846" s="17"/>
      <c r="D846" s="17"/>
      <c r="E846" s="100"/>
      <c r="F846" s="100"/>
      <c r="G846" s="68"/>
      <c r="H846" s="17"/>
      <c r="I846" s="68"/>
      <c r="J846" s="100"/>
      <c r="K846" s="68"/>
      <c r="L846" s="17"/>
      <c r="M846" s="17"/>
      <c r="N846" s="343"/>
      <c r="O846" s="17"/>
      <c r="P846" s="17"/>
      <c r="Q846" s="17"/>
      <c r="R846" s="17"/>
      <c r="S846" s="17"/>
      <c r="T846" s="344">
        <v>0</v>
      </c>
      <c r="U846" s="351">
        <f t="shared" si="21"/>
        <v>0</v>
      </c>
    </row>
    <row r="847" spans="2:21" ht="17.25" hidden="1" x14ac:dyDescent="0.3">
      <c r="B847" s="16">
        <v>196</v>
      </c>
      <c r="C847" s="17"/>
      <c r="D847" s="17"/>
      <c r="E847" s="100"/>
      <c r="F847" s="100"/>
      <c r="G847" s="68"/>
      <c r="H847" s="17"/>
      <c r="I847" s="68"/>
      <c r="J847" s="100"/>
      <c r="K847" s="68"/>
      <c r="L847" s="17"/>
      <c r="M847" s="17"/>
      <c r="N847" s="343"/>
      <c r="O847" s="17"/>
      <c r="P847" s="17"/>
      <c r="Q847" s="17"/>
      <c r="R847" s="17"/>
      <c r="S847" s="17"/>
      <c r="T847" s="344">
        <v>0</v>
      </c>
      <c r="U847" s="351">
        <f t="shared" si="21"/>
        <v>0</v>
      </c>
    </row>
    <row r="848" spans="2:21" ht="17.25" hidden="1" x14ac:dyDescent="0.3">
      <c r="B848" s="122">
        <v>197</v>
      </c>
      <c r="C848" s="17"/>
      <c r="D848" s="17"/>
      <c r="E848" s="100"/>
      <c r="F848" s="100"/>
      <c r="G848" s="68"/>
      <c r="H848" s="17"/>
      <c r="I848" s="68"/>
      <c r="J848" s="100"/>
      <c r="K848" s="68"/>
      <c r="L848" s="17"/>
      <c r="M848" s="17"/>
      <c r="N848" s="343"/>
      <c r="O848" s="17"/>
      <c r="P848" s="17"/>
      <c r="Q848" s="17"/>
      <c r="R848" s="17"/>
      <c r="S848" s="17"/>
      <c r="T848" s="344">
        <v>0</v>
      </c>
      <c r="U848" s="351">
        <f t="shared" si="21"/>
        <v>0</v>
      </c>
    </row>
    <row r="849" spans="2:21" ht="17.25" hidden="1" x14ac:dyDescent="0.3">
      <c r="B849" s="16">
        <v>198</v>
      </c>
      <c r="C849" s="17"/>
      <c r="D849" s="17"/>
      <c r="E849" s="100"/>
      <c r="F849" s="100"/>
      <c r="G849" s="68"/>
      <c r="H849" s="17"/>
      <c r="I849" s="68"/>
      <c r="J849" s="100"/>
      <c r="K849" s="68"/>
      <c r="L849" s="17"/>
      <c r="M849" s="17"/>
      <c r="N849" s="343"/>
      <c r="O849" s="17"/>
      <c r="P849" s="17"/>
      <c r="Q849" s="17"/>
      <c r="R849" s="17"/>
      <c r="S849" s="17"/>
      <c r="T849" s="344">
        <v>0</v>
      </c>
      <c r="U849" s="351">
        <f t="shared" si="21"/>
        <v>0</v>
      </c>
    </row>
    <row r="850" spans="2:21" ht="17.25" hidden="1" x14ac:dyDescent="0.3">
      <c r="B850" s="122">
        <v>199</v>
      </c>
      <c r="C850" s="17"/>
      <c r="D850" s="17"/>
      <c r="E850" s="100"/>
      <c r="F850" s="100"/>
      <c r="G850" s="68"/>
      <c r="H850" s="17"/>
      <c r="I850" s="68"/>
      <c r="J850" s="100"/>
      <c r="K850" s="68"/>
      <c r="L850" s="17"/>
      <c r="M850" s="17"/>
      <c r="N850" s="343"/>
      <c r="O850" s="17"/>
      <c r="P850" s="17"/>
      <c r="Q850" s="17"/>
      <c r="R850" s="17"/>
      <c r="S850" s="17"/>
      <c r="T850" s="344">
        <v>0</v>
      </c>
      <c r="U850" s="351">
        <f t="shared" si="21"/>
        <v>0</v>
      </c>
    </row>
    <row r="851" spans="2:21" ht="17.25" hidden="1" x14ac:dyDescent="0.3">
      <c r="B851" s="16">
        <v>200</v>
      </c>
      <c r="C851" s="17"/>
      <c r="D851" s="17"/>
      <c r="E851" s="100"/>
      <c r="F851" s="100"/>
      <c r="G851" s="68"/>
      <c r="H851" s="17"/>
      <c r="I851" s="68"/>
      <c r="J851" s="100"/>
      <c r="K851" s="68"/>
      <c r="L851" s="17"/>
      <c r="M851" s="17"/>
      <c r="N851" s="343"/>
      <c r="O851" s="17"/>
      <c r="P851" s="17"/>
      <c r="Q851" s="17"/>
      <c r="R851" s="17"/>
      <c r="S851" s="17"/>
      <c r="T851" s="344">
        <v>0</v>
      </c>
      <c r="U851" s="351">
        <f t="shared" si="21"/>
        <v>0</v>
      </c>
    </row>
    <row r="852" spans="2:21" ht="17.25" hidden="1" x14ac:dyDescent="0.3">
      <c r="B852" s="122">
        <v>201</v>
      </c>
      <c r="C852" s="17"/>
      <c r="D852" s="17"/>
      <c r="E852" s="100"/>
      <c r="F852" s="100"/>
      <c r="G852" s="68"/>
      <c r="H852" s="17"/>
      <c r="I852" s="68"/>
      <c r="J852" s="100"/>
      <c r="K852" s="68"/>
      <c r="L852" s="17"/>
      <c r="M852" s="17"/>
      <c r="N852" s="343"/>
      <c r="O852" s="17"/>
      <c r="P852" s="17"/>
      <c r="Q852" s="17"/>
      <c r="R852" s="17"/>
      <c r="S852" s="17"/>
      <c r="T852" s="344">
        <v>0</v>
      </c>
      <c r="U852" s="351">
        <f t="shared" si="21"/>
        <v>0</v>
      </c>
    </row>
    <row r="853" spans="2:21" ht="17.25" hidden="1" x14ac:dyDescent="0.3">
      <c r="B853" s="16">
        <v>202</v>
      </c>
      <c r="C853" s="17"/>
      <c r="D853" s="17"/>
      <c r="E853" s="100"/>
      <c r="F853" s="100"/>
      <c r="G853" s="68"/>
      <c r="H853" s="17"/>
      <c r="I853" s="68"/>
      <c r="J853" s="100"/>
      <c r="K853" s="68"/>
      <c r="L853" s="17"/>
      <c r="M853" s="17"/>
      <c r="N853" s="343"/>
      <c r="O853" s="17"/>
      <c r="P853" s="17"/>
      <c r="Q853" s="17"/>
      <c r="R853" s="17"/>
      <c r="S853" s="17"/>
      <c r="T853" s="344">
        <v>0</v>
      </c>
      <c r="U853" s="351">
        <f t="shared" si="21"/>
        <v>0</v>
      </c>
    </row>
    <row r="854" spans="2:21" ht="17.25" hidden="1" x14ac:dyDescent="0.3">
      <c r="B854" s="122">
        <v>203</v>
      </c>
      <c r="C854" s="17"/>
      <c r="D854" s="17"/>
      <c r="E854" s="100"/>
      <c r="F854" s="100"/>
      <c r="G854" s="68"/>
      <c r="H854" s="17"/>
      <c r="I854" s="68"/>
      <c r="J854" s="100"/>
      <c r="K854" s="68"/>
      <c r="L854" s="17"/>
      <c r="M854" s="17"/>
      <c r="N854" s="343"/>
      <c r="O854" s="17"/>
      <c r="P854" s="17"/>
      <c r="Q854" s="17"/>
      <c r="R854" s="17"/>
      <c r="S854" s="17"/>
      <c r="T854" s="344">
        <v>0</v>
      </c>
      <c r="U854" s="351">
        <f t="shared" si="21"/>
        <v>0</v>
      </c>
    </row>
    <row r="855" spans="2:21" ht="17.25" hidden="1" x14ac:dyDescent="0.3">
      <c r="B855" s="16">
        <v>204</v>
      </c>
      <c r="C855" s="17"/>
      <c r="D855" s="17"/>
      <c r="E855" s="100"/>
      <c r="F855" s="100"/>
      <c r="G855" s="68"/>
      <c r="H855" s="17"/>
      <c r="I855" s="68"/>
      <c r="J855" s="100"/>
      <c r="K855" s="68"/>
      <c r="L855" s="17"/>
      <c r="M855" s="17"/>
      <c r="N855" s="343"/>
      <c r="O855" s="17"/>
      <c r="P855" s="17"/>
      <c r="Q855" s="17"/>
      <c r="R855" s="17"/>
      <c r="S855" s="17"/>
      <c r="T855" s="344">
        <v>0</v>
      </c>
      <c r="U855" s="351">
        <f t="shared" si="21"/>
        <v>0</v>
      </c>
    </row>
    <row r="856" spans="2:21" ht="17.25" hidden="1" x14ac:dyDescent="0.3">
      <c r="B856" s="122">
        <v>205</v>
      </c>
      <c r="C856" s="17"/>
      <c r="D856" s="17"/>
      <c r="E856" s="100"/>
      <c r="F856" s="100"/>
      <c r="G856" s="68"/>
      <c r="H856" s="17"/>
      <c r="I856" s="68"/>
      <c r="J856" s="100"/>
      <c r="K856" s="68"/>
      <c r="L856" s="17"/>
      <c r="M856" s="17"/>
      <c r="N856" s="343"/>
      <c r="O856" s="17"/>
      <c r="P856" s="17"/>
      <c r="Q856" s="17"/>
      <c r="R856" s="17"/>
      <c r="S856" s="17"/>
      <c r="T856" s="344">
        <v>0</v>
      </c>
      <c r="U856" s="351">
        <f t="shared" si="21"/>
        <v>0</v>
      </c>
    </row>
    <row r="857" spans="2:21" ht="17.25" hidden="1" x14ac:dyDescent="0.3">
      <c r="B857" s="16">
        <v>206</v>
      </c>
      <c r="C857" s="17"/>
      <c r="D857" s="17"/>
      <c r="E857" s="100"/>
      <c r="F857" s="100"/>
      <c r="G857" s="68"/>
      <c r="H857" s="17"/>
      <c r="I857" s="68"/>
      <c r="J857" s="100"/>
      <c r="K857" s="68"/>
      <c r="L857" s="17"/>
      <c r="M857" s="17"/>
      <c r="N857" s="343"/>
      <c r="O857" s="17"/>
      <c r="P857" s="17"/>
      <c r="Q857" s="17"/>
      <c r="R857" s="17"/>
      <c r="S857" s="17"/>
      <c r="T857" s="344">
        <v>0</v>
      </c>
      <c r="U857" s="351">
        <f t="shared" si="21"/>
        <v>0</v>
      </c>
    </row>
    <row r="858" spans="2:21" ht="17.25" hidden="1" x14ac:dyDescent="0.3">
      <c r="B858" s="122">
        <v>207</v>
      </c>
      <c r="C858" s="17"/>
      <c r="D858" s="17"/>
      <c r="E858" s="100"/>
      <c r="F858" s="100"/>
      <c r="G858" s="68"/>
      <c r="H858" s="17"/>
      <c r="I858" s="68"/>
      <c r="J858" s="100"/>
      <c r="K858" s="68"/>
      <c r="L858" s="17"/>
      <c r="M858" s="17"/>
      <c r="N858" s="343"/>
      <c r="O858" s="17"/>
      <c r="P858" s="17"/>
      <c r="Q858" s="17"/>
      <c r="R858" s="17"/>
      <c r="S858" s="17"/>
      <c r="T858" s="344">
        <v>0</v>
      </c>
      <c r="U858" s="351">
        <f t="shared" si="21"/>
        <v>0</v>
      </c>
    </row>
    <row r="859" spans="2:21" ht="17.25" hidden="1" x14ac:dyDescent="0.3">
      <c r="B859" s="16">
        <v>208</v>
      </c>
      <c r="C859" s="17"/>
      <c r="D859" s="17"/>
      <c r="E859" s="100"/>
      <c r="F859" s="100"/>
      <c r="G859" s="68"/>
      <c r="H859" s="17"/>
      <c r="I859" s="68"/>
      <c r="J859" s="100"/>
      <c r="K859" s="68"/>
      <c r="L859" s="17"/>
      <c r="M859" s="17"/>
      <c r="N859" s="343"/>
      <c r="O859" s="17"/>
      <c r="P859" s="17"/>
      <c r="Q859" s="17"/>
      <c r="R859" s="17"/>
      <c r="S859" s="17"/>
      <c r="T859" s="344">
        <v>0</v>
      </c>
      <c r="U859" s="351">
        <f t="shared" si="21"/>
        <v>0</v>
      </c>
    </row>
    <row r="860" spans="2:21" ht="17.25" hidden="1" x14ac:dyDescent="0.3">
      <c r="B860" s="122">
        <v>209</v>
      </c>
      <c r="C860" s="17"/>
      <c r="D860" s="17"/>
      <c r="E860" s="100"/>
      <c r="F860" s="100"/>
      <c r="G860" s="68"/>
      <c r="H860" s="17"/>
      <c r="I860" s="68"/>
      <c r="J860" s="100"/>
      <c r="K860" s="68"/>
      <c r="L860" s="17"/>
      <c r="M860" s="17"/>
      <c r="N860" s="343"/>
      <c r="O860" s="17"/>
      <c r="P860" s="17"/>
      <c r="Q860" s="17"/>
      <c r="R860" s="17"/>
      <c r="S860" s="17"/>
      <c r="T860" s="344">
        <v>0</v>
      </c>
      <c r="U860" s="351">
        <f t="shared" si="21"/>
        <v>0</v>
      </c>
    </row>
    <row r="861" spans="2:21" ht="17.25" hidden="1" x14ac:dyDescent="0.3">
      <c r="B861" s="16">
        <v>210</v>
      </c>
      <c r="C861" s="17"/>
      <c r="D861" s="17"/>
      <c r="E861" s="100"/>
      <c r="F861" s="100"/>
      <c r="G861" s="68"/>
      <c r="H861" s="17"/>
      <c r="I861" s="68"/>
      <c r="J861" s="100"/>
      <c r="K861" s="68"/>
      <c r="L861" s="17"/>
      <c r="M861" s="17"/>
      <c r="N861" s="343"/>
      <c r="O861" s="17"/>
      <c r="P861" s="17"/>
      <c r="Q861" s="17"/>
      <c r="R861" s="17"/>
      <c r="S861" s="17"/>
      <c r="T861" s="344">
        <v>0</v>
      </c>
      <c r="U861" s="351">
        <f t="shared" si="21"/>
        <v>0</v>
      </c>
    </row>
    <row r="862" spans="2:21" ht="17.25" hidden="1" x14ac:dyDescent="0.3">
      <c r="B862" s="122">
        <v>211</v>
      </c>
      <c r="C862" s="17"/>
      <c r="D862" s="17"/>
      <c r="E862" s="100"/>
      <c r="F862" s="100"/>
      <c r="G862" s="68"/>
      <c r="H862" s="17"/>
      <c r="I862" s="68"/>
      <c r="J862" s="100"/>
      <c r="K862" s="68"/>
      <c r="L862" s="17"/>
      <c r="M862" s="17"/>
      <c r="N862" s="343"/>
      <c r="O862" s="17"/>
      <c r="P862" s="17"/>
      <c r="Q862" s="17"/>
      <c r="R862" s="17"/>
      <c r="S862" s="17"/>
      <c r="T862" s="344">
        <v>0</v>
      </c>
      <c r="U862" s="351">
        <f t="shared" si="21"/>
        <v>0</v>
      </c>
    </row>
    <row r="863" spans="2:21" ht="17.25" hidden="1" x14ac:dyDescent="0.3">
      <c r="B863" s="16">
        <v>212</v>
      </c>
      <c r="C863" s="17"/>
      <c r="D863" s="17"/>
      <c r="E863" s="100"/>
      <c r="F863" s="100"/>
      <c r="G863" s="68"/>
      <c r="H863" s="17"/>
      <c r="I863" s="68"/>
      <c r="J863" s="100"/>
      <c r="K863" s="68"/>
      <c r="L863" s="17"/>
      <c r="M863" s="17"/>
      <c r="N863" s="343"/>
      <c r="O863" s="17"/>
      <c r="P863" s="17"/>
      <c r="Q863" s="17"/>
      <c r="R863" s="17"/>
      <c r="S863" s="17"/>
      <c r="T863" s="344">
        <v>0</v>
      </c>
      <c r="U863" s="351">
        <f t="shared" si="21"/>
        <v>0</v>
      </c>
    </row>
    <row r="864" spans="2:21" ht="17.25" hidden="1" x14ac:dyDescent="0.3">
      <c r="B864" s="122">
        <v>213</v>
      </c>
      <c r="C864" s="17"/>
      <c r="D864" s="17"/>
      <c r="E864" s="100"/>
      <c r="F864" s="100"/>
      <c r="G864" s="68"/>
      <c r="H864" s="17"/>
      <c r="I864" s="68"/>
      <c r="J864" s="100"/>
      <c r="K864" s="68"/>
      <c r="L864" s="17"/>
      <c r="M864" s="17"/>
      <c r="N864" s="343"/>
      <c r="O864" s="17"/>
      <c r="P864" s="17"/>
      <c r="Q864" s="17"/>
      <c r="R864" s="17"/>
      <c r="S864" s="17"/>
      <c r="T864" s="344">
        <v>0</v>
      </c>
      <c r="U864" s="351">
        <f t="shared" si="21"/>
        <v>0</v>
      </c>
    </row>
    <row r="865" spans="2:21" ht="17.25" hidden="1" x14ac:dyDescent="0.3">
      <c r="B865" s="16">
        <v>214</v>
      </c>
      <c r="C865" s="17"/>
      <c r="D865" s="17"/>
      <c r="E865" s="100"/>
      <c r="F865" s="100"/>
      <c r="G865" s="68"/>
      <c r="H865" s="17"/>
      <c r="I865" s="68"/>
      <c r="J865" s="100"/>
      <c r="K865" s="68"/>
      <c r="L865" s="17"/>
      <c r="M865" s="17"/>
      <c r="N865" s="343"/>
      <c r="O865" s="17"/>
      <c r="P865" s="17"/>
      <c r="Q865" s="17"/>
      <c r="R865" s="17"/>
      <c r="S865" s="17"/>
      <c r="T865" s="344">
        <v>0</v>
      </c>
      <c r="U865" s="351">
        <f t="shared" si="21"/>
        <v>0</v>
      </c>
    </row>
    <row r="866" spans="2:21" ht="17.25" hidden="1" x14ac:dyDescent="0.3">
      <c r="B866" s="122">
        <v>215</v>
      </c>
      <c r="C866" s="17"/>
      <c r="D866" s="17"/>
      <c r="E866" s="100"/>
      <c r="F866" s="100"/>
      <c r="G866" s="68"/>
      <c r="H866" s="17"/>
      <c r="I866" s="68"/>
      <c r="J866" s="100"/>
      <c r="K866" s="68"/>
      <c r="L866" s="17"/>
      <c r="M866" s="17"/>
      <c r="N866" s="343"/>
      <c r="O866" s="17"/>
      <c r="P866" s="17"/>
      <c r="Q866" s="17"/>
      <c r="R866" s="17"/>
      <c r="S866" s="17"/>
      <c r="T866" s="344">
        <v>0</v>
      </c>
      <c r="U866" s="351">
        <f t="shared" si="21"/>
        <v>0</v>
      </c>
    </row>
    <row r="867" spans="2:21" ht="17.25" hidden="1" x14ac:dyDescent="0.3">
      <c r="B867" s="16">
        <v>216</v>
      </c>
      <c r="C867" s="17"/>
      <c r="D867" s="17"/>
      <c r="E867" s="100"/>
      <c r="F867" s="100"/>
      <c r="G867" s="68"/>
      <c r="H867" s="17"/>
      <c r="I867" s="68"/>
      <c r="J867" s="100"/>
      <c r="K867" s="68"/>
      <c r="L867" s="17"/>
      <c r="M867" s="17"/>
      <c r="N867" s="343"/>
      <c r="O867" s="17"/>
      <c r="P867" s="17"/>
      <c r="Q867" s="17"/>
      <c r="R867" s="17"/>
      <c r="S867" s="17"/>
      <c r="T867" s="344">
        <v>0</v>
      </c>
      <c r="U867" s="351">
        <f t="shared" si="21"/>
        <v>0</v>
      </c>
    </row>
    <row r="868" spans="2:21" ht="17.25" hidden="1" x14ac:dyDescent="0.3">
      <c r="B868" s="122">
        <v>217</v>
      </c>
      <c r="C868" s="17"/>
      <c r="D868" s="17"/>
      <c r="E868" s="100"/>
      <c r="F868" s="100"/>
      <c r="G868" s="68"/>
      <c r="H868" s="17"/>
      <c r="I868" s="68"/>
      <c r="J868" s="100"/>
      <c r="K868" s="68"/>
      <c r="L868" s="17"/>
      <c r="M868" s="17"/>
      <c r="N868" s="343"/>
      <c r="O868" s="17"/>
      <c r="P868" s="17"/>
      <c r="Q868" s="17"/>
      <c r="R868" s="17"/>
      <c r="S868" s="17"/>
      <c r="T868" s="344">
        <v>0</v>
      </c>
      <c r="U868" s="351">
        <f t="shared" si="21"/>
        <v>0</v>
      </c>
    </row>
    <row r="869" spans="2:21" ht="17.25" hidden="1" x14ac:dyDescent="0.3">
      <c r="B869" s="16">
        <v>218</v>
      </c>
      <c r="C869" s="17"/>
      <c r="D869" s="17"/>
      <c r="E869" s="100"/>
      <c r="F869" s="100"/>
      <c r="G869" s="68"/>
      <c r="H869" s="17"/>
      <c r="I869" s="68"/>
      <c r="J869" s="100"/>
      <c r="K869" s="68"/>
      <c r="L869" s="17"/>
      <c r="M869" s="17"/>
      <c r="N869" s="343"/>
      <c r="O869" s="17"/>
      <c r="P869" s="17"/>
      <c r="Q869" s="17"/>
      <c r="R869" s="17"/>
      <c r="S869" s="17"/>
      <c r="T869" s="344">
        <v>0</v>
      </c>
      <c r="U869" s="351">
        <f t="shared" si="21"/>
        <v>0</v>
      </c>
    </row>
    <row r="870" spans="2:21" ht="17.25" hidden="1" x14ac:dyDescent="0.3">
      <c r="B870" s="122">
        <v>219</v>
      </c>
      <c r="C870" s="17"/>
      <c r="D870" s="17"/>
      <c r="E870" s="100"/>
      <c r="F870" s="100"/>
      <c r="G870" s="68"/>
      <c r="H870" s="17"/>
      <c r="I870" s="68"/>
      <c r="J870" s="100"/>
      <c r="K870" s="68"/>
      <c r="L870" s="17"/>
      <c r="M870" s="17"/>
      <c r="N870" s="343"/>
      <c r="O870" s="17"/>
      <c r="P870" s="17"/>
      <c r="Q870" s="17"/>
      <c r="R870" s="17"/>
      <c r="S870" s="17"/>
      <c r="T870" s="344">
        <v>0</v>
      </c>
      <c r="U870" s="351">
        <f t="shared" si="21"/>
        <v>0</v>
      </c>
    </row>
    <row r="871" spans="2:21" ht="17.25" hidden="1" x14ac:dyDescent="0.3">
      <c r="B871" s="16">
        <v>220</v>
      </c>
      <c r="C871" s="17"/>
      <c r="D871" s="17"/>
      <c r="E871" s="100"/>
      <c r="F871" s="100"/>
      <c r="G871" s="68"/>
      <c r="H871" s="17"/>
      <c r="I871" s="68"/>
      <c r="J871" s="100"/>
      <c r="K871" s="68"/>
      <c r="L871" s="17"/>
      <c r="M871" s="17"/>
      <c r="N871" s="343"/>
      <c r="O871" s="17"/>
      <c r="P871" s="17"/>
      <c r="Q871" s="17"/>
      <c r="R871" s="17"/>
      <c r="S871" s="17"/>
      <c r="T871" s="344">
        <v>0</v>
      </c>
      <c r="U871" s="351">
        <f t="shared" si="21"/>
        <v>0</v>
      </c>
    </row>
    <row r="872" spans="2:21" ht="17.25" hidden="1" x14ac:dyDescent="0.3">
      <c r="B872" s="122">
        <v>221</v>
      </c>
      <c r="C872" s="17"/>
      <c r="D872" s="17"/>
      <c r="E872" s="100"/>
      <c r="F872" s="100"/>
      <c r="G872" s="68"/>
      <c r="H872" s="17"/>
      <c r="I872" s="68"/>
      <c r="J872" s="100"/>
      <c r="K872" s="68"/>
      <c r="L872" s="17"/>
      <c r="M872" s="17"/>
      <c r="N872" s="343"/>
      <c r="O872" s="17"/>
      <c r="P872" s="17"/>
      <c r="Q872" s="17"/>
      <c r="R872" s="17"/>
      <c r="S872" s="17"/>
      <c r="T872" s="344">
        <v>0</v>
      </c>
      <c r="U872" s="351">
        <f t="shared" si="21"/>
        <v>0</v>
      </c>
    </row>
    <row r="873" spans="2:21" ht="17.25" hidden="1" x14ac:dyDescent="0.3">
      <c r="B873" s="16">
        <v>222</v>
      </c>
      <c r="C873" s="17"/>
      <c r="D873" s="17"/>
      <c r="E873" s="100"/>
      <c r="F873" s="100"/>
      <c r="G873" s="68"/>
      <c r="H873" s="17"/>
      <c r="I873" s="68"/>
      <c r="J873" s="100"/>
      <c r="K873" s="68"/>
      <c r="L873" s="17"/>
      <c r="M873" s="17"/>
      <c r="N873" s="343"/>
      <c r="O873" s="17"/>
      <c r="P873" s="17"/>
      <c r="Q873" s="17"/>
      <c r="R873" s="17"/>
      <c r="S873" s="17"/>
      <c r="T873" s="344">
        <v>0</v>
      </c>
      <c r="U873" s="351">
        <f t="shared" si="21"/>
        <v>0</v>
      </c>
    </row>
    <row r="874" spans="2:21" ht="17.25" hidden="1" x14ac:dyDescent="0.3">
      <c r="B874" s="122">
        <v>223</v>
      </c>
      <c r="C874" s="17"/>
      <c r="D874" s="17"/>
      <c r="E874" s="100"/>
      <c r="F874" s="100"/>
      <c r="G874" s="68"/>
      <c r="H874" s="17"/>
      <c r="I874" s="68"/>
      <c r="J874" s="100"/>
      <c r="K874" s="68"/>
      <c r="L874" s="17"/>
      <c r="M874" s="17"/>
      <c r="N874" s="343"/>
      <c r="O874" s="17"/>
      <c r="P874" s="17"/>
      <c r="Q874" s="17"/>
      <c r="R874" s="17"/>
      <c r="S874" s="17"/>
      <c r="T874" s="344">
        <v>0</v>
      </c>
      <c r="U874" s="351">
        <f t="shared" si="21"/>
        <v>0</v>
      </c>
    </row>
    <row r="875" spans="2:21" ht="17.25" hidden="1" x14ac:dyDescent="0.3">
      <c r="B875" s="16">
        <v>224</v>
      </c>
      <c r="C875" s="17"/>
      <c r="D875" s="17"/>
      <c r="E875" s="100"/>
      <c r="F875" s="100"/>
      <c r="G875" s="68"/>
      <c r="H875" s="17"/>
      <c r="I875" s="68"/>
      <c r="J875" s="100"/>
      <c r="K875" s="68"/>
      <c r="L875" s="17"/>
      <c r="M875" s="17"/>
      <c r="N875" s="343"/>
      <c r="O875" s="17"/>
      <c r="P875" s="17"/>
      <c r="Q875" s="17"/>
      <c r="R875" s="17"/>
      <c r="S875" s="17"/>
      <c r="T875" s="344">
        <v>0</v>
      </c>
      <c r="U875" s="351">
        <f t="shared" si="21"/>
        <v>0</v>
      </c>
    </row>
    <row r="876" spans="2:21" ht="17.25" hidden="1" x14ac:dyDescent="0.3">
      <c r="B876" s="122">
        <v>225</v>
      </c>
      <c r="C876" s="17"/>
      <c r="D876" s="17"/>
      <c r="E876" s="100"/>
      <c r="F876" s="100"/>
      <c r="G876" s="68"/>
      <c r="H876" s="17"/>
      <c r="I876" s="68"/>
      <c r="J876" s="100"/>
      <c r="K876" s="68"/>
      <c r="L876" s="17"/>
      <c r="M876" s="17"/>
      <c r="N876" s="343"/>
      <c r="O876" s="17"/>
      <c r="P876" s="17"/>
      <c r="Q876" s="17"/>
      <c r="R876" s="17"/>
      <c r="S876" s="17"/>
      <c r="T876" s="344">
        <v>0</v>
      </c>
      <c r="U876" s="351">
        <f t="shared" si="21"/>
        <v>0</v>
      </c>
    </row>
    <row r="877" spans="2:21" ht="17.25" hidden="1" x14ac:dyDescent="0.3">
      <c r="B877" s="16">
        <v>226</v>
      </c>
      <c r="C877" s="17"/>
      <c r="D877" s="17"/>
      <c r="E877" s="100"/>
      <c r="F877" s="100"/>
      <c r="G877" s="68"/>
      <c r="H877" s="17"/>
      <c r="I877" s="68"/>
      <c r="J877" s="100"/>
      <c r="K877" s="68"/>
      <c r="L877" s="17"/>
      <c r="M877" s="17"/>
      <c r="N877" s="343"/>
      <c r="O877" s="17"/>
      <c r="P877" s="17"/>
      <c r="Q877" s="17"/>
      <c r="R877" s="17"/>
      <c r="S877" s="17"/>
      <c r="T877" s="344">
        <v>0</v>
      </c>
      <c r="U877" s="351">
        <f t="shared" si="21"/>
        <v>0</v>
      </c>
    </row>
    <row r="878" spans="2:21" ht="17.25" hidden="1" x14ac:dyDescent="0.3">
      <c r="B878" s="122">
        <v>227</v>
      </c>
      <c r="C878" s="17"/>
      <c r="D878" s="17"/>
      <c r="E878" s="100"/>
      <c r="F878" s="100"/>
      <c r="G878" s="68"/>
      <c r="H878" s="17"/>
      <c r="I878" s="68"/>
      <c r="J878" s="100"/>
      <c r="K878" s="68"/>
      <c r="L878" s="17"/>
      <c r="M878" s="17"/>
      <c r="N878" s="343"/>
      <c r="O878" s="17"/>
      <c r="P878" s="17"/>
      <c r="Q878" s="17"/>
      <c r="R878" s="17"/>
      <c r="S878" s="17"/>
      <c r="T878" s="344">
        <v>0</v>
      </c>
      <c r="U878" s="351">
        <f t="shared" si="21"/>
        <v>0</v>
      </c>
    </row>
    <row r="879" spans="2:21" ht="17.25" hidden="1" x14ac:dyDescent="0.3">
      <c r="B879" s="16">
        <v>228</v>
      </c>
      <c r="C879" s="17"/>
      <c r="D879" s="17"/>
      <c r="E879" s="100"/>
      <c r="F879" s="100"/>
      <c r="G879" s="68"/>
      <c r="H879" s="17"/>
      <c r="I879" s="68"/>
      <c r="J879" s="100"/>
      <c r="K879" s="68"/>
      <c r="L879" s="17"/>
      <c r="M879" s="17"/>
      <c r="N879" s="343"/>
      <c r="O879" s="17"/>
      <c r="P879" s="17"/>
      <c r="Q879" s="17"/>
      <c r="R879" s="17"/>
      <c r="S879" s="17"/>
      <c r="T879" s="344">
        <v>0</v>
      </c>
      <c r="U879" s="351">
        <f t="shared" si="21"/>
        <v>0</v>
      </c>
    </row>
    <row r="880" spans="2:21" ht="17.25" hidden="1" x14ac:dyDescent="0.3">
      <c r="B880" s="122">
        <v>229</v>
      </c>
      <c r="C880" s="17"/>
      <c r="D880" s="17"/>
      <c r="E880" s="100"/>
      <c r="F880" s="100"/>
      <c r="G880" s="68"/>
      <c r="H880" s="17"/>
      <c r="I880" s="68"/>
      <c r="J880" s="100"/>
      <c r="K880" s="68"/>
      <c r="L880" s="17"/>
      <c r="M880" s="17"/>
      <c r="N880" s="343"/>
      <c r="O880" s="17"/>
      <c r="P880" s="17"/>
      <c r="Q880" s="17"/>
      <c r="R880" s="17"/>
      <c r="S880" s="17"/>
      <c r="T880" s="344">
        <v>0</v>
      </c>
      <c r="U880" s="351">
        <f t="shared" si="21"/>
        <v>0</v>
      </c>
    </row>
    <row r="881" spans="2:21" ht="17.25" hidden="1" x14ac:dyDescent="0.3">
      <c r="B881" s="16">
        <v>230</v>
      </c>
      <c r="C881" s="17"/>
      <c r="D881" s="17"/>
      <c r="E881" s="100"/>
      <c r="F881" s="100"/>
      <c r="G881" s="68"/>
      <c r="H881" s="17"/>
      <c r="I881" s="68"/>
      <c r="J881" s="100"/>
      <c r="K881" s="68"/>
      <c r="L881" s="17"/>
      <c r="M881" s="17"/>
      <c r="N881" s="343"/>
      <c r="O881" s="17"/>
      <c r="P881" s="17"/>
      <c r="Q881" s="17"/>
      <c r="R881" s="17"/>
      <c r="S881" s="17"/>
      <c r="T881" s="344">
        <v>0</v>
      </c>
      <c r="U881" s="351">
        <f t="shared" si="21"/>
        <v>0</v>
      </c>
    </row>
    <row r="882" spans="2:21" ht="17.25" hidden="1" x14ac:dyDescent="0.3">
      <c r="B882" s="122">
        <v>231</v>
      </c>
      <c r="C882" s="17"/>
      <c r="D882" s="17"/>
      <c r="E882" s="100"/>
      <c r="F882" s="100"/>
      <c r="G882" s="68"/>
      <c r="H882" s="17"/>
      <c r="I882" s="68"/>
      <c r="J882" s="100"/>
      <c r="K882" s="68"/>
      <c r="L882" s="17"/>
      <c r="M882" s="17"/>
      <c r="N882" s="343"/>
      <c r="O882" s="17"/>
      <c r="P882" s="17"/>
      <c r="Q882" s="17"/>
      <c r="R882" s="17"/>
      <c r="S882" s="17"/>
      <c r="T882" s="344">
        <v>0</v>
      </c>
      <c r="U882" s="351">
        <f t="shared" si="21"/>
        <v>0</v>
      </c>
    </row>
    <row r="883" spans="2:21" ht="17.25" hidden="1" x14ac:dyDescent="0.3">
      <c r="B883" s="16">
        <v>232</v>
      </c>
      <c r="C883" s="17"/>
      <c r="D883" s="17"/>
      <c r="E883" s="100"/>
      <c r="F883" s="100"/>
      <c r="G883" s="68"/>
      <c r="H883" s="17"/>
      <c r="I883" s="68"/>
      <c r="J883" s="100"/>
      <c r="K883" s="68"/>
      <c r="L883" s="17"/>
      <c r="M883" s="17"/>
      <c r="N883" s="343"/>
      <c r="O883" s="17"/>
      <c r="P883" s="17"/>
      <c r="Q883" s="17"/>
      <c r="R883" s="17"/>
      <c r="S883" s="17"/>
      <c r="T883" s="344">
        <v>0</v>
      </c>
      <c r="U883" s="351">
        <f t="shared" si="21"/>
        <v>0</v>
      </c>
    </row>
    <row r="884" spans="2:21" ht="17.25" hidden="1" x14ac:dyDescent="0.3">
      <c r="B884" s="122">
        <v>233</v>
      </c>
      <c r="C884" s="17"/>
      <c r="D884" s="17"/>
      <c r="E884" s="100"/>
      <c r="F884" s="100"/>
      <c r="G884" s="68"/>
      <c r="H884" s="17"/>
      <c r="I884" s="68"/>
      <c r="J884" s="100"/>
      <c r="K884" s="68"/>
      <c r="L884" s="17"/>
      <c r="M884" s="17"/>
      <c r="N884" s="343"/>
      <c r="O884" s="17"/>
      <c r="P884" s="17"/>
      <c r="Q884" s="17"/>
      <c r="R884" s="17"/>
      <c r="S884" s="17"/>
      <c r="T884" s="344">
        <v>0</v>
      </c>
      <c r="U884" s="351">
        <f t="shared" si="21"/>
        <v>0</v>
      </c>
    </row>
    <row r="885" spans="2:21" ht="17.25" hidden="1" x14ac:dyDescent="0.3">
      <c r="B885" s="16">
        <v>234</v>
      </c>
      <c r="C885" s="17"/>
      <c r="D885" s="17"/>
      <c r="E885" s="100"/>
      <c r="F885" s="100"/>
      <c r="G885" s="68"/>
      <c r="H885" s="17"/>
      <c r="I885" s="68"/>
      <c r="J885" s="100"/>
      <c r="K885" s="68"/>
      <c r="L885" s="17"/>
      <c r="M885" s="17"/>
      <c r="N885" s="343"/>
      <c r="O885" s="17"/>
      <c r="P885" s="17"/>
      <c r="Q885" s="17"/>
      <c r="R885" s="17"/>
      <c r="S885" s="17"/>
      <c r="T885" s="344">
        <v>0</v>
      </c>
      <c r="U885" s="351">
        <f t="shared" si="21"/>
        <v>0</v>
      </c>
    </row>
    <row r="886" spans="2:21" ht="17.25" hidden="1" x14ac:dyDescent="0.3">
      <c r="B886" s="122">
        <v>235</v>
      </c>
      <c r="C886" s="17"/>
      <c r="D886" s="17"/>
      <c r="E886" s="100"/>
      <c r="F886" s="100"/>
      <c r="G886" s="68"/>
      <c r="H886" s="17"/>
      <c r="I886" s="68"/>
      <c r="J886" s="100"/>
      <c r="K886" s="68"/>
      <c r="L886" s="17"/>
      <c r="M886" s="17"/>
      <c r="N886" s="343"/>
      <c r="O886" s="17"/>
      <c r="P886" s="17"/>
      <c r="Q886" s="17"/>
      <c r="R886" s="17"/>
      <c r="S886" s="17"/>
      <c r="T886" s="344">
        <v>0</v>
      </c>
      <c r="U886" s="351">
        <f t="shared" si="21"/>
        <v>0</v>
      </c>
    </row>
    <row r="887" spans="2:21" ht="17.25" hidden="1" x14ac:dyDescent="0.3">
      <c r="B887" s="16">
        <v>236</v>
      </c>
      <c r="C887" s="17"/>
      <c r="D887" s="17"/>
      <c r="E887" s="100"/>
      <c r="F887" s="100"/>
      <c r="G887" s="68"/>
      <c r="H887" s="17"/>
      <c r="I887" s="68"/>
      <c r="J887" s="100"/>
      <c r="K887" s="68"/>
      <c r="L887" s="17"/>
      <c r="M887" s="17"/>
      <c r="N887" s="343"/>
      <c r="O887" s="17"/>
      <c r="P887" s="17"/>
      <c r="Q887" s="17"/>
      <c r="R887" s="17"/>
      <c r="S887" s="17"/>
      <c r="T887" s="344">
        <v>0</v>
      </c>
      <c r="U887" s="351">
        <f t="shared" si="21"/>
        <v>0</v>
      </c>
    </row>
    <row r="888" spans="2:21" ht="17.25" hidden="1" x14ac:dyDescent="0.3">
      <c r="B888" s="122">
        <v>237</v>
      </c>
      <c r="C888" s="17"/>
      <c r="D888" s="17"/>
      <c r="E888" s="100"/>
      <c r="F888" s="100"/>
      <c r="G888" s="68"/>
      <c r="H888" s="17"/>
      <c r="I888" s="68"/>
      <c r="J888" s="100"/>
      <c r="K888" s="68"/>
      <c r="L888" s="17"/>
      <c r="M888" s="17"/>
      <c r="N888" s="343"/>
      <c r="O888" s="17"/>
      <c r="P888" s="17"/>
      <c r="Q888" s="17"/>
      <c r="R888" s="17"/>
      <c r="S888" s="17"/>
      <c r="T888" s="344">
        <v>0</v>
      </c>
      <c r="U888" s="351">
        <f t="shared" si="21"/>
        <v>0</v>
      </c>
    </row>
    <row r="889" spans="2:21" ht="17.25" hidden="1" x14ac:dyDescent="0.3">
      <c r="B889" s="16">
        <v>238</v>
      </c>
      <c r="C889" s="17"/>
      <c r="D889" s="17"/>
      <c r="E889" s="100"/>
      <c r="F889" s="100"/>
      <c r="G889" s="68"/>
      <c r="H889" s="17"/>
      <c r="I889" s="68"/>
      <c r="J889" s="100"/>
      <c r="K889" s="68"/>
      <c r="L889" s="17"/>
      <c r="M889" s="17"/>
      <c r="N889" s="343"/>
      <c r="O889" s="17"/>
      <c r="P889" s="17"/>
      <c r="Q889" s="17"/>
      <c r="R889" s="17"/>
      <c r="S889" s="17"/>
      <c r="T889" s="344">
        <v>0</v>
      </c>
      <c r="U889" s="351">
        <f t="shared" si="21"/>
        <v>0</v>
      </c>
    </row>
    <row r="890" spans="2:21" ht="17.25" hidden="1" x14ac:dyDescent="0.3">
      <c r="B890" s="122">
        <v>239</v>
      </c>
      <c r="C890" s="17"/>
      <c r="D890" s="17"/>
      <c r="E890" s="100"/>
      <c r="F890" s="100"/>
      <c r="G890" s="68"/>
      <c r="H890" s="17"/>
      <c r="I890" s="68"/>
      <c r="J890" s="100"/>
      <c r="K890" s="68"/>
      <c r="L890" s="17"/>
      <c r="M890" s="17"/>
      <c r="N890" s="343"/>
      <c r="O890" s="17"/>
      <c r="P890" s="17"/>
      <c r="Q890" s="17"/>
      <c r="R890" s="17"/>
      <c r="S890" s="17"/>
      <c r="T890" s="344">
        <v>0</v>
      </c>
      <c r="U890" s="351">
        <f t="shared" si="21"/>
        <v>0</v>
      </c>
    </row>
    <row r="891" spans="2:21" ht="17.25" hidden="1" x14ac:dyDescent="0.3">
      <c r="B891" s="16">
        <v>240</v>
      </c>
      <c r="C891" s="17"/>
      <c r="D891" s="17"/>
      <c r="E891" s="100"/>
      <c r="F891" s="100"/>
      <c r="G891" s="68"/>
      <c r="H891" s="17"/>
      <c r="I891" s="68"/>
      <c r="J891" s="100"/>
      <c r="K891" s="68"/>
      <c r="L891" s="17"/>
      <c r="M891" s="17"/>
      <c r="N891" s="343"/>
      <c r="O891" s="17"/>
      <c r="P891" s="17"/>
      <c r="Q891" s="17"/>
      <c r="R891" s="17"/>
      <c r="S891" s="17"/>
      <c r="T891" s="344">
        <v>0</v>
      </c>
      <c r="U891" s="351">
        <f t="shared" si="21"/>
        <v>0</v>
      </c>
    </row>
    <row r="892" spans="2:21" ht="17.25" hidden="1" x14ac:dyDescent="0.3">
      <c r="B892" s="122">
        <v>241</v>
      </c>
      <c r="C892" s="17"/>
      <c r="D892" s="17"/>
      <c r="E892" s="100"/>
      <c r="F892" s="100"/>
      <c r="G892" s="68"/>
      <c r="H892" s="17"/>
      <c r="I892" s="68"/>
      <c r="J892" s="100"/>
      <c r="K892" s="68"/>
      <c r="L892" s="17"/>
      <c r="M892" s="17"/>
      <c r="N892" s="343"/>
      <c r="O892" s="17"/>
      <c r="P892" s="17"/>
      <c r="Q892" s="17"/>
      <c r="R892" s="17"/>
      <c r="S892" s="17"/>
      <c r="T892" s="344">
        <v>0</v>
      </c>
      <c r="U892" s="351">
        <f t="shared" si="21"/>
        <v>0</v>
      </c>
    </row>
    <row r="893" spans="2:21" ht="17.25" hidden="1" x14ac:dyDescent="0.3">
      <c r="B893" s="16">
        <v>242</v>
      </c>
      <c r="C893" s="17"/>
      <c r="D893" s="17"/>
      <c r="E893" s="100"/>
      <c r="F893" s="100"/>
      <c r="G893" s="68"/>
      <c r="H893" s="17"/>
      <c r="I893" s="68"/>
      <c r="J893" s="100"/>
      <c r="K893" s="68"/>
      <c r="L893" s="17"/>
      <c r="M893" s="17"/>
      <c r="N893" s="343"/>
      <c r="O893" s="17"/>
      <c r="P893" s="17"/>
      <c r="Q893" s="17"/>
      <c r="R893" s="17"/>
      <c r="S893" s="17"/>
      <c r="T893" s="344">
        <v>0</v>
      </c>
      <c r="U893" s="351">
        <f t="shared" si="21"/>
        <v>0</v>
      </c>
    </row>
    <row r="894" spans="2:21" ht="17.25" hidden="1" x14ac:dyDescent="0.3">
      <c r="B894" s="122">
        <v>243</v>
      </c>
      <c r="C894" s="17"/>
      <c r="D894" s="17"/>
      <c r="E894" s="100"/>
      <c r="F894" s="100"/>
      <c r="G894" s="68"/>
      <c r="H894" s="17"/>
      <c r="I894" s="68"/>
      <c r="J894" s="100"/>
      <c r="K894" s="68"/>
      <c r="L894" s="17"/>
      <c r="M894" s="17"/>
      <c r="N894" s="343"/>
      <c r="O894" s="17"/>
      <c r="P894" s="17"/>
      <c r="Q894" s="17"/>
      <c r="R894" s="17"/>
      <c r="S894" s="17"/>
      <c r="T894" s="344">
        <v>0</v>
      </c>
      <c r="U894" s="351">
        <f t="shared" si="21"/>
        <v>0</v>
      </c>
    </row>
    <row r="895" spans="2:21" ht="17.25" hidden="1" x14ac:dyDescent="0.3">
      <c r="B895" s="16">
        <v>244</v>
      </c>
      <c r="C895" s="17"/>
      <c r="D895" s="17"/>
      <c r="E895" s="100"/>
      <c r="F895" s="100"/>
      <c r="G895" s="68"/>
      <c r="H895" s="17"/>
      <c r="I895" s="68"/>
      <c r="J895" s="100"/>
      <c r="K895" s="68"/>
      <c r="L895" s="17"/>
      <c r="M895" s="17"/>
      <c r="N895" s="343"/>
      <c r="O895" s="17"/>
      <c r="P895" s="17"/>
      <c r="Q895" s="17"/>
      <c r="R895" s="17"/>
      <c r="S895" s="17"/>
      <c r="T895" s="344">
        <v>0</v>
      </c>
      <c r="U895" s="351">
        <f t="shared" si="21"/>
        <v>0</v>
      </c>
    </row>
    <row r="896" spans="2:21" ht="17.25" hidden="1" x14ac:dyDescent="0.3">
      <c r="B896" s="122">
        <v>245</v>
      </c>
      <c r="C896" s="17"/>
      <c r="D896" s="17"/>
      <c r="E896" s="100"/>
      <c r="F896" s="100"/>
      <c r="G896" s="68"/>
      <c r="H896" s="17"/>
      <c r="I896" s="68"/>
      <c r="J896" s="100"/>
      <c r="K896" s="68"/>
      <c r="L896" s="17"/>
      <c r="M896" s="17"/>
      <c r="N896" s="343"/>
      <c r="O896" s="17"/>
      <c r="P896" s="17"/>
      <c r="Q896" s="17"/>
      <c r="R896" s="17"/>
      <c r="S896" s="17"/>
      <c r="T896" s="344">
        <v>0</v>
      </c>
      <c r="U896" s="351">
        <f t="shared" si="21"/>
        <v>0</v>
      </c>
    </row>
    <row r="897" spans="2:21" ht="17.25" hidden="1" x14ac:dyDescent="0.3">
      <c r="B897" s="16">
        <v>246</v>
      </c>
      <c r="C897" s="17"/>
      <c r="D897" s="17"/>
      <c r="E897" s="100"/>
      <c r="F897" s="100"/>
      <c r="G897" s="68"/>
      <c r="H897" s="17"/>
      <c r="I897" s="68"/>
      <c r="J897" s="100"/>
      <c r="K897" s="68"/>
      <c r="L897" s="17"/>
      <c r="M897" s="17"/>
      <c r="N897" s="343"/>
      <c r="O897" s="17"/>
      <c r="P897" s="17"/>
      <c r="Q897" s="17"/>
      <c r="R897" s="17"/>
      <c r="S897" s="17"/>
      <c r="T897" s="344">
        <v>0</v>
      </c>
      <c r="U897" s="351">
        <f t="shared" si="21"/>
        <v>0</v>
      </c>
    </row>
    <row r="898" spans="2:21" ht="17.25" hidden="1" x14ac:dyDescent="0.3">
      <c r="B898" s="122">
        <v>247</v>
      </c>
      <c r="C898" s="17"/>
      <c r="D898" s="17"/>
      <c r="E898" s="100"/>
      <c r="F898" s="100"/>
      <c r="G898" s="68"/>
      <c r="H898" s="17"/>
      <c r="I898" s="68"/>
      <c r="J898" s="100"/>
      <c r="K898" s="68"/>
      <c r="L898" s="17"/>
      <c r="M898" s="17"/>
      <c r="N898" s="343"/>
      <c r="O898" s="17"/>
      <c r="P898" s="17"/>
      <c r="Q898" s="17"/>
      <c r="R898" s="17"/>
      <c r="S898" s="17"/>
      <c r="T898" s="344">
        <v>0</v>
      </c>
      <c r="U898" s="351">
        <f t="shared" si="21"/>
        <v>0</v>
      </c>
    </row>
    <row r="899" spans="2:21" ht="17.25" hidden="1" x14ac:dyDescent="0.3">
      <c r="B899" s="16">
        <v>248</v>
      </c>
      <c r="C899" s="17"/>
      <c r="D899" s="17"/>
      <c r="E899" s="100"/>
      <c r="F899" s="100"/>
      <c r="G899" s="68"/>
      <c r="H899" s="17"/>
      <c r="I899" s="68"/>
      <c r="J899" s="100"/>
      <c r="K899" s="68"/>
      <c r="L899" s="17"/>
      <c r="M899" s="17"/>
      <c r="N899" s="343"/>
      <c r="O899" s="17"/>
      <c r="P899" s="17"/>
      <c r="Q899" s="17"/>
      <c r="R899" s="17"/>
      <c r="S899" s="17"/>
      <c r="T899" s="344">
        <v>0</v>
      </c>
      <c r="U899" s="351">
        <f t="shared" si="21"/>
        <v>0</v>
      </c>
    </row>
    <row r="900" spans="2:21" ht="17.25" hidden="1" x14ac:dyDescent="0.3">
      <c r="B900" s="122">
        <v>249</v>
      </c>
      <c r="C900" s="17"/>
      <c r="D900" s="17"/>
      <c r="E900" s="100"/>
      <c r="F900" s="100"/>
      <c r="G900" s="68"/>
      <c r="H900" s="17"/>
      <c r="I900" s="68"/>
      <c r="J900" s="100"/>
      <c r="K900" s="68"/>
      <c r="L900" s="17"/>
      <c r="M900" s="17"/>
      <c r="N900" s="343"/>
      <c r="O900" s="17"/>
      <c r="P900" s="17"/>
      <c r="Q900" s="17"/>
      <c r="R900" s="17"/>
      <c r="S900" s="17"/>
      <c r="T900" s="344">
        <v>0</v>
      </c>
      <c r="U900" s="351">
        <f t="shared" si="21"/>
        <v>0</v>
      </c>
    </row>
    <row r="901" spans="2:21" ht="17.25" hidden="1" x14ac:dyDescent="0.3">
      <c r="B901" s="16">
        <v>250</v>
      </c>
      <c r="C901" s="17"/>
      <c r="D901" s="17"/>
      <c r="E901" s="100"/>
      <c r="F901" s="100"/>
      <c r="G901" s="68"/>
      <c r="H901" s="17"/>
      <c r="I901" s="68"/>
      <c r="J901" s="100"/>
      <c r="K901" s="68"/>
      <c r="L901" s="17"/>
      <c r="M901" s="17"/>
      <c r="N901" s="343"/>
      <c r="O901" s="17"/>
      <c r="P901" s="17"/>
      <c r="Q901" s="17"/>
      <c r="R901" s="17"/>
      <c r="S901" s="17"/>
      <c r="T901" s="344">
        <v>0</v>
      </c>
      <c r="U901" s="351">
        <f t="shared" si="21"/>
        <v>0</v>
      </c>
    </row>
    <row r="902" spans="2:21" ht="17.25" hidden="1" x14ac:dyDescent="0.3">
      <c r="B902" s="122">
        <v>251</v>
      </c>
      <c r="C902" s="17"/>
      <c r="D902" s="17"/>
      <c r="E902" s="100"/>
      <c r="F902" s="100"/>
      <c r="G902" s="68"/>
      <c r="H902" s="17"/>
      <c r="I902" s="68"/>
      <c r="J902" s="100"/>
      <c r="K902" s="68"/>
      <c r="L902" s="17"/>
      <c r="M902" s="17"/>
      <c r="N902" s="343"/>
      <c r="O902" s="17"/>
      <c r="P902" s="17"/>
      <c r="Q902" s="17"/>
      <c r="R902" s="17"/>
      <c r="S902" s="17"/>
      <c r="T902" s="344">
        <v>0</v>
      </c>
      <c r="U902" s="351">
        <f t="shared" si="21"/>
        <v>0</v>
      </c>
    </row>
    <row r="903" spans="2:21" ht="17.25" hidden="1" x14ac:dyDescent="0.3">
      <c r="B903" s="16">
        <v>252</v>
      </c>
      <c r="C903" s="17"/>
      <c r="D903" s="17"/>
      <c r="E903" s="100"/>
      <c r="F903" s="100"/>
      <c r="G903" s="68"/>
      <c r="H903" s="17"/>
      <c r="I903" s="68"/>
      <c r="J903" s="100"/>
      <c r="K903" s="68"/>
      <c r="L903" s="17"/>
      <c r="M903" s="17"/>
      <c r="N903" s="343"/>
      <c r="O903" s="17"/>
      <c r="P903" s="17"/>
      <c r="Q903" s="17"/>
      <c r="R903" s="17"/>
      <c r="S903" s="17"/>
      <c r="T903" s="344">
        <v>0</v>
      </c>
      <c r="U903" s="351">
        <f t="shared" si="21"/>
        <v>0</v>
      </c>
    </row>
    <row r="904" spans="2:21" ht="17.25" hidden="1" x14ac:dyDescent="0.3">
      <c r="B904" s="122">
        <v>253</v>
      </c>
      <c r="C904" s="17"/>
      <c r="D904" s="17"/>
      <c r="E904" s="100"/>
      <c r="F904" s="100"/>
      <c r="G904" s="68"/>
      <c r="H904" s="17"/>
      <c r="I904" s="68"/>
      <c r="J904" s="100"/>
      <c r="K904" s="68"/>
      <c r="L904" s="17"/>
      <c r="M904" s="17"/>
      <c r="N904" s="343"/>
      <c r="O904" s="17"/>
      <c r="P904" s="17"/>
      <c r="Q904" s="17"/>
      <c r="R904" s="17"/>
      <c r="S904" s="17"/>
      <c r="T904" s="344">
        <v>0</v>
      </c>
      <c r="U904" s="351">
        <f t="shared" si="21"/>
        <v>0</v>
      </c>
    </row>
    <row r="905" spans="2:21" ht="17.25" hidden="1" x14ac:dyDescent="0.3">
      <c r="B905" s="16">
        <v>254</v>
      </c>
      <c r="C905" s="17"/>
      <c r="D905" s="17"/>
      <c r="E905" s="100"/>
      <c r="F905" s="100"/>
      <c r="G905" s="68"/>
      <c r="H905" s="17"/>
      <c r="I905" s="68"/>
      <c r="J905" s="100"/>
      <c r="K905" s="68"/>
      <c r="L905" s="17"/>
      <c r="M905" s="17"/>
      <c r="N905" s="343"/>
      <c r="O905" s="17"/>
      <c r="P905" s="17"/>
      <c r="Q905" s="17"/>
      <c r="R905" s="17"/>
      <c r="S905" s="17"/>
      <c r="T905" s="344">
        <v>0</v>
      </c>
      <c r="U905" s="351">
        <f t="shared" si="21"/>
        <v>0</v>
      </c>
    </row>
    <row r="906" spans="2:21" ht="17.25" hidden="1" x14ac:dyDescent="0.3">
      <c r="B906" s="122">
        <v>255</v>
      </c>
      <c r="C906" s="17"/>
      <c r="D906" s="17"/>
      <c r="E906" s="100"/>
      <c r="F906" s="100"/>
      <c r="G906" s="68"/>
      <c r="H906" s="17"/>
      <c r="I906" s="68"/>
      <c r="J906" s="100"/>
      <c r="K906" s="68"/>
      <c r="L906" s="17"/>
      <c r="M906" s="17"/>
      <c r="N906" s="343"/>
      <c r="O906" s="17"/>
      <c r="P906" s="17"/>
      <c r="Q906" s="17"/>
      <c r="R906" s="17"/>
      <c r="S906" s="17"/>
      <c r="T906" s="344">
        <v>0</v>
      </c>
      <c r="U906" s="351">
        <f t="shared" si="21"/>
        <v>0</v>
      </c>
    </row>
    <row r="907" spans="2:21" ht="17.25" hidden="1" x14ac:dyDescent="0.3">
      <c r="B907" s="16">
        <v>256</v>
      </c>
      <c r="C907" s="17"/>
      <c r="D907" s="17"/>
      <c r="E907" s="100"/>
      <c r="F907" s="100"/>
      <c r="G907" s="68"/>
      <c r="H907" s="17"/>
      <c r="I907" s="68"/>
      <c r="J907" s="100"/>
      <c r="K907" s="68"/>
      <c r="L907" s="17"/>
      <c r="M907" s="17"/>
      <c r="N907" s="343"/>
      <c r="O907" s="17"/>
      <c r="P907" s="17"/>
      <c r="Q907" s="17"/>
      <c r="R907" s="17"/>
      <c r="S907" s="17"/>
      <c r="T907" s="344">
        <v>0</v>
      </c>
      <c r="U907" s="351">
        <f t="shared" si="21"/>
        <v>0</v>
      </c>
    </row>
    <row r="908" spans="2:21" ht="17.25" hidden="1" x14ac:dyDescent="0.3">
      <c r="B908" s="122">
        <v>257</v>
      </c>
      <c r="C908" s="17"/>
      <c r="D908" s="17"/>
      <c r="E908" s="100"/>
      <c r="F908" s="100"/>
      <c r="G908" s="68"/>
      <c r="H908" s="17"/>
      <c r="I908" s="68"/>
      <c r="J908" s="100"/>
      <c r="K908" s="68"/>
      <c r="L908" s="17"/>
      <c r="M908" s="17"/>
      <c r="N908" s="343"/>
      <c r="O908" s="17"/>
      <c r="P908" s="17"/>
      <c r="Q908" s="17"/>
      <c r="R908" s="17"/>
      <c r="S908" s="17"/>
      <c r="T908" s="344">
        <v>0</v>
      </c>
      <c r="U908" s="351">
        <f t="shared" si="21"/>
        <v>0</v>
      </c>
    </row>
    <row r="909" spans="2:21" ht="17.25" hidden="1" x14ac:dyDescent="0.3">
      <c r="B909" s="16">
        <v>258</v>
      </c>
      <c r="C909" s="17"/>
      <c r="D909" s="17"/>
      <c r="E909" s="100"/>
      <c r="F909" s="100"/>
      <c r="G909" s="68"/>
      <c r="H909" s="17"/>
      <c r="I909" s="68"/>
      <c r="J909" s="100"/>
      <c r="K909" s="68"/>
      <c r="L909" s="17"/>
      <c r="M909" s="17"/>
      <c r="N909" s="343"/>
      <c r="O909" s="17"/>
      <c r="P909" s="17"/>
      <c r="Q909" s="17"/>
      <c r="R909" s="17"/>
      <c r="S909" s="17"/>
      <c r="T909" s="344">
        <v>0</v>
      </c>
      <c r="U909" s="351">
        <f t="shared" si="21"/>
        <v>0</v>
      </c>
    </row>
    <row r="910" spans="2:21" ht="17.25" hidden="1" x14ac:dyDescent="0.3">
      <c r="B910" s="122">
        <v>259</v>
      </c>
      <c r="C910" s="17"/>
      <c r="D910" s="17"/>
      <c r="E910" s="100"/>
      <c r="F910" s="100"/>
      <c r="G910" s="68"/>
      <c r="H910" s="17"/>
      <c r="I910" s="68"/>
      <c r="J910" s="100"/>
      <c r="K910" s="68"/>
      <c r="L910" s="17"/>
      <c r="M910" s="17"/>
      <c r="N910" s="343"/>
      <c r="O910" s="17"/>
      <c r="P910" s="17"/>
      <c r="Q910" s="17"/>
      <c r="R910" s="17"/>
      <c r="S910" s="17"/>
      <c r="T910" s="344">
        <v>0</v>
      </c>
      <c r="U910" s="351">
        <f t="shared" si="21"/>
        <v>0</v>
      </c>
    </row>
    <row r="911" spans="2:21" ht="17.25" hidden="1" x14ac:dyDescent="0.3">
      <c r="B911" s="16">
        <v>260</v>
      </c>
      <c r="C911" s="17"/>
      <c r="D911" s="17"/>
      <c r="E911" s="100"/>
      <c r="F911" s="100"/>
      <c r="G911" s="68"/>
      <c r="H911" s="17"/>
      <c r="I911" s="68"/>
      <c r="J911" s="100"/>
      <c r="K911" s="68"/>
      <c r="L911" s="17"/>
      <c r="M911" s="17"/>
      <c r="N911" s="343"/>
      <c r="O911" s="17"/>
      <c r="P911" s="17"/>
      <c r="Q911" s="17"/>
      <c r="R911" s="17"/>
      <c r="S911" s="17"/>
      <c r="T911" s="344">
        <v>0</v>
      </c>
      <c r="U911" s="351">
        <f t="shared" si="21"/>
        <v>0</v>
      </c>
    </row>
    <row r="912" spans="2:21" ht="17.25" hidden="1" x14ac:dyDescent="0.3">
      <c r="B912" s="122">
        <v>261</v>
      </c>
      <c r="C912" s="17"/>
      <c r="D912" s="17"/>
      <c r="E912" s="100"/>
      <c r="F912" s="100"/>
      <c r="G912" s="68"/>
      <c r="H912" s="17"/>
      <c r="I912" s="68"/>
      <c r="J912" s="100"/>
      <c r="K912" s="68"/>
      <c r="L912" s="17"/>
      <c r="M912" s="17"/>
      <c r="N912" s="343"/>
      <c r="O912" s="17"/>
      <c r="P912" s="17"/>
      <c r="Q912" s="17"/>
      <c r="R912" s="17"/>
      <c r="S912" s="17"/>
      <c r="T912" s="344">
        <v>0</v>
      </c>
      <c r="U912" s="351">
        <f t="shared" si="21"/>
        <v>0</v>
      </c>
    </row>
    <row r="913" spans="2:21" ht="17.25" hidden="1" x14ac:dyDescent="0.3">
      <c r="B913" s="16">
        <v>262</v>
      </c>
      <c r="C913" s="17"/>
      <c r="D913" s="17"/>
      <c r="E913" s="100"/>
      <c r="F913" s="100"/>
      <c r="G913" s="68"/>
      <c r="H913" s="17"/>
      <c r="I913" s="68"/>
      <c r="J913" s="100"/>
      <c r="K913" s="68"/>
      <c r="L913" s="17"/>
      <c r="M913" s="17"/>
      <c r="N913" s="343"/>
      <c r="O913" s="17"/>
      <c r="P913" s="17"/>
      <c r="Q913" s="17"/>
      <c r="R913" s="17"/>
      <c r="S913" s="17"/>
      <c r="T913" s="344">
        <v>0</v>
      </c>
      <c r="U913" s="351">
        <f t="shared" si="21"/>
        <v>0</v>
      </c>
    </row>
    <row r="914" spans="2:21" ht="17.25" hidden="1" x14ac:dyDescent="0.3">
      <c r="B914" s="122">
        <v>263</v>
      </c>
      <c r="C914" s="17"/>
      <c r="D914" s="17"/>
      <c r="E914" s="100"/>
      <c r="F914" s="100"/>
      <c r="G914" s="68"/>
      <c r="H914" s="17"/>
      <c r="I914" s="68"/>
      <c r="J914" s="100"/>
      <c r="K914" s="68"/>
      <c r="L914" s="17"/>
      <c r="M914" s="17"/>
      <c r="N914" s="343"/>
      <c r="O914" s="17"/>
      <c r="P914" s="17"/>
      <c r="Q914" s="17"/>
      <c r="R914" s="17"/>
      <c r="S914" s="17"/>
      <c r="T914" s="344">
        <v>0</v>
      </c>
      <c r="U914" s="351">
        <f t="shared" si="21"/>
        <v>0</v>
      </c>
    </row>
    <row r="915" spans="2:21" ht="17.25" hidden="1" x14ac:dyDescent="0.3">
      <c r="B915" s="16">
        <v>264</v>
      </c>
      <c r="C915" s="17"/>
      <c r="D915" s="17"/>
      <c r="E915" s="100"/>
      <c r="F915" s="100"/>
      <c r="G915" s="68"/>
      <c r="H915" s="17"/>
      <c r="I915" s="68"/>
      <c r="J915" s="100"/>
      <c r="K915" s="68"/>
      <c r="L915" s="17"/>
      <c r="M915" s="17"/>
      <c r="N915" s="343"/>
      <c r="O915" s="17"/>
      <c r="P915" s="17"/>
      <c r="Q915" s="17"/>
      <c r="R915" s="17"/>
      <c r="S915" s="17"/>
      <c r="T915" s="344">
        <v>0</v>
      </c>
      <c r="U915" s="351">
        <f t="shared" si="21"/>
        <v>0</v>
      </c>
    </row>
    <row r="916" spans="2:21" ht="17.25" hidden="1" x14ac:dyDescent="0.3">
      <c r="B916" s="122">
        <v>265</v>
      </c>
      <c r="C916" s="17"/>
      <c r="D916" s="17"/>
      <c r="E916" s="100"/>
      <c r="F916" s="100"/>
      <c r="G916" s="68"/>
      <c r="H916" s="17"/>
      <c r="I916" s="68"/>
      <c r="J916" s="100"/>
      <c r="K916" s="68"/>
      <c r="L916" s="17"/>
      <c r="M916" s="17"/>
      <c r="N916" s="343"/>
      <c r="O916" s="17"/>
      <c r="P916" s="17"/>
      <c r="Q916" s="17"/>
      <c r="R916" s="17"/>
      <c r="S916" s="17"/>
      <c r="T916" s="344">
        <v>0</v>
      </c>
      <c r="U916" s="351">
        <f t="shared" si="21"/>
        <v>0</v>
      </c>
    </row>
    <row r="917" spans="2:21" ht="17.25" hidden="1" x14ac:dyDescent="0.3">
      <c r="B917" s="16">
        <v>266</v>
      </c>
      <c r="C917" s="17"/>
      <c r="D917" s="17"/>
      <c r="E917" s="100"/>
      <c r="F917" s="100"/>
      <c r="G917" s="68"/>
      <c r="H917" s="17"/>
      <c r="I917" s="68"/>
      <c r="J917" s="100"/>
      <c r="K917" s="68"/>
      <c r="L917" s="17"/>
      <c r="M917" s="17"/>
      <c r="N917" s="343"/>
      <c r="O917" s="17"/>
      <c r="P917" s="17"/>
      <c r="Q917" s="17"/>
      <c r="R917" s="17"/>
      <c r="S917" s="17"/>
      <c r="T917" s="344">
        <v>0</v>
      </c>
      <c r="U917" s="351">
        <f t="shared" si="21"/>
        <v>0</v>
      </c>
    </row>
    <row r="918" spans="2:21" ht="17.25" hidden="1" x14ac:dyDescent="0.3">
      <c r="B918" s="122">
        <v>267</v>
      </c>
      <c r="C918" s="17"/>
      <c r="D918" s="17"/>
      <c r="E918" s="100"/>
      <c r="F918" s="100"/>
      <c r="G918" s="68"/>
      <c r="H918" s="17"/>
      <c r="I918" s="68"/>
      <c r="J918" s="100"/>
      <c r="K918" s="68"/>
      <c r="L918" s="17"/>
      <c r="M918" s="17"/>
      <c r="N918" s="343"/>
      <c r="O918" s="17"/>
      <c r="P918" s="17"/>
      <c r="Q918" s="17"/>
      <c r="R918" s="17"/>
      <c r="S918" s="17"/>
      <c r="T918" s="344">
        <v>0</v>
      </c>
      <c r="U918" s="351">
        <f t="shared" si="21"/>
        <v>0</v>
      </c>
    </row>
    <row r="919" spans="2:21" ht="17.25" hidden="1" x14ac:dyDescent="0.3">
      <c r="B919" s="16">
        <v>268</v>
      </c>
      <c r="C919" s="17"/>
      <c r="D919" s="17"/>
      <c r="E919" s="100"/>
      <c r="F919" s="100"/>
      <c r="G919" s="68"/>
      <c r="H919" s="17"/>
      <c r="I919" s="68"/>
      <c r="J919" s="100"/>
      <c r="K919" s="68"/>
      <c r="L919" s="17"/>
      <c r="M919" s="17"/>
      <c r="N919" s="343"/>
      <c r="O919" s="17"/>
      <c r="P919" s="17"/>
      <c r="Q919" s="17"/>
      <c r="R919" s="17"/>
      <c r="S919" s="17"/>
      <c r="T919" s="344">
        <v>0</v>
      </c>
      <c r="U919" s="351">
        <f t="shared" si="21"/>
        <v>0</v>
      </c>
    </row>
    <row r="920" spans="2:21" ht="17.25" hidden="1" x14ac:dyDescent="0.3">
      <c r="B920" s="122">
        <v>269</v>
      </c>
      <c r="C920" s="17"/>
      <c r="D920" s="17"/>
      <c r="E920" s="100"/>
      <c r="F920" s="100"/>
      <c r="G920" s="68"/>
      <c r="H920" s="17"/>
      <c r="I920" s="68"/>
      <c r="J920" s="100"/>
      <c r="K920" s="68"/>
      <c r="L920" s="17"/>
      <c r="M920" s="17"/>
      <c r="N920" s="343"/>
      <c r="O920" s="17"/>
      <c r="P920" s="17"/>
      <c r="Q920" s="17"/>
      <c r="R920" s="17"/>
      <c r="S920" s="17"/>
      <c r="T920" s="344">
        <v>0</v>
      </c>
      <c r="U920" s="351">
        <f t="shared" si="21"/>
        <v>0</v>
      </c>
    </row>
    <row r="921" spans="2:21" ht="17.25" hidden="1" x14ac:dyDescent="0.3">
      <c r="B921" s="16">
        <v>270</v>
      </c>
      <c r="C921" s="17"/>
      <c r="D921" s="17"/>
      <c r="E921" s="100"/>
      <c r="F921" s="100"/>
      <c r="G921" s="68"/>
      <c r="H921" s="17"/>
      <c r="I921" s="68"/>
      <c r="J921" s="100"/>
      <c r="K921" s="68"/>
      <c r="L921" s="17"/>
      <c r="M921" s="17"/>
      <c r="N921" s="343"/>
      <c r="O921" s="17"/>
      <c r="P921" s="17"/>
      <c r="Q921" s="17"/>
      <c r="R921" s="17"/>
      <c r="S921" s="17"/>
      <c r="T921" s="344">
        <v>0</v>
      </c>
      <c r="U921" s="351">
        <f t="shared" si="21"/>
        <v>0</v>
      </c>
    </row>
    <row r="922" spans="2:21" ht="17.25" hidden="1" x14ac:dyDescent="0.3">
      <c r="B922" s="122">
        <v>271</v>
      </c>
      <c r="C922" s="17"/>
      <c r="D922" s="17"/>
      <c r="E922" s="100"/>
      <c r="F922" s="100"/>
      <c r="G922" s="68"/>
      <c r="H922" s="17"/>
      <c r="I922" s="68"/>
      <c r="J922" s="100"/>
      <c r="K922" s="68"/>
      <c r="L922" s="17"/>
      <c r="M922" s="17"/>
      <c r="N922" s="343"/>
      <c r="O922" s="17"/>
      <c r="P922" s="17"/>
      <c r="Q922" s="17"/>
      <c r="R922" s="17"/>
      <c r="S922" s="17"/>
      <c r="T922" s="344">
        <v>0</v>
      </c>
      <c r="U922" s="351">
        <f t="shared" si="21"/>
        <v>0</v>
      </c>
    </row>
    <row r="923" spans="2:21" ht="17.25" hidden="1" x14ac:dyDescent="0.3">
      <c r="B923" s="16">
        <v>272</v>
      </c>
      <c r="C923" s="17"/>
      <c r="D923" s="17"/>
      <c r="E923" s="100"/>
      <c r="F923" s="100"/>
      <c r="G923" s="68"/>
      <c r="H923" s="17"/>
      <c r="I923" s="68"/>
      <c r="J923" s="100"/>
      <c r="K923" s="68"/>
      <c r="L923" s="17"/>
      <c r="M923" s="17"/>
      <c r="N923" s="343"/>
      <c r="O923" s="17"/>
      <c r="P923" s="17"/>
      <c r="Q923" s="17"/>
      <c r="R923" s="17"/>
      <c r="S923" s="17"/>
      <c r="T923" s="344">
        <v>0</v>
      </c>
      <c r="U923" s="351">
        <f t="shared" si="21"/>
        <v>0</v>
      </c>
    </row>
    <row r="924" spans="2:21" ht="17.25" hidden="1" x14ac:dyDescent="0.3">
      <c r="B924" s="122">
        <v>273</v>
      </c>
      <c r="C924" s="17"/>
      <c r="D924" s="17"/>
      <c r="E924" s="100"/>
      <c r="F924" s="100"/>
      <c r="G924" s="68"/>
      <c r="H924" s="17"/>
      <c r="I924" s="68"/>
      <c r="J924" s="100"/>
      <c r="K924" s="68"/>
      <c r="L924" s="17"/>
      <c r="M924" s="17"/>
      <c r="N924" s="343"/>
      <c r="O924" s="17"/>
      <c r="P924" s="17"/>
      <c r="Q924" s="17"/>
      <c r="R924" s="17"/>
      <c r="S924" s="17"/>
      <c r="T924" s="344">
        <v>0</v>
      </c>
      <c r="U924" s="351">
        <f t="shared" si="21"/>
        <v>0</v>
      </c>
    </row>
    <row r="925" spans="2:21" ht="17.25" hidden="1" x14ac:dyDescent="0.3">
      <c r="B925" s="16">
        <v>274</v>
      </c>
      <c r="C925" s="17"/>
      <c r="D925" s="17"/>
      <c r="E925" s="100"/>
      <c r="F925" s="100"/>
      <c r="G925" s="68"/>
      <c r="H925" s="17"/>
      <c r="I925" s="68"/>
      <c r="J925" s="100"/>
      <c r="K925" s="68"/>
      <c r="L925" s="17"/>
      <c r="M925" s="17"/>
      <c r="N925" s="343"/>
      <c r="O925" s="17"/>
      <c r="P925" s="17"/>
      <c r="Q925" s="17"/>
      <c r="R925" s="17"/>
      <c r="S925" s="17"/>
      <c r="T925" s="344">
        <v>0</v>
      </c>
      <c r="U925" s="351">
        <f t="shared" si="21"/>
        <v>0</v>
      </c>
    </row>
    <row r="926" spans="2:21" ht="17.25" hidden="1" x14ac:dyDescent="0.3">
      <c r="B926" s="122">
        <v>275</v>
      </c>
      <c r="C926" s="17"/>
      <c r="D926" s="17"/>
      <c r="E926" s="100"/>
      <c r="F926" s="100"/>
      <c r="G926" s="68"/>
      <c r="H926" s="17"/>
      <c r="I926" s="68"/>
      <c r="J926" s="100"/>
      <c r="K926" s="68"/>
      <c r="L926" s="17"/>
      <c r="M926" s="17"/>
      <c r="N926" s="343"/>
      <c r="O926" s="17"/>
      <c r="P926" s="17"/>
      <c r="Q926" s="17"/>
      <c r="R926" s="17"/>
      <c r="S926" s="17"/>
      <c r="T926" s="344">
        <v>0</v>
      </c>
      <c r="U926" s="351">
        <f t="shared" si="21"/>
        <v>0</v>
      </c>
    </row>
    <row r="927" spans="2:21" ht="17.25" hidden="1" x14ac:dyDescent="0.3">
      <c r="B927" s="16">
        <v>276</v>
      </c>
      <c r="C927" s="17"/>
      <c r="D927" s="17"/>
      <c r="E927" s="100"/>
      <c r="F927" s="100"/>
      <c r="G927" s="68"/>
      <c r="H927" s="17"/>
      <c r="I927" s="68"/>
      <c r="J927" s="100"/>
      <c r="K927" s="68"/>
      <c r="L927" s="17"/>
      <c r="M927" s="17"/>
      <c r="N927" s="343"/>
      <c r="O927" s="17"/>
      <c r="P927" s="17"/>
      <c r="Q927" s="17"/>
      <c r="R927" s="17"/>
      <c r="S927" s="17"/>
      <c r="T927" s="344">
        <v>0</v>
      </c>
      <c r="U927" s="351">
        <f t="shared" si="21"/>
        <v>0</v>
      </c>
    </row>
    <row r="928" spans="2:21" ht="17.25" hidden="1" x14ac:dyDescent="0.3">
      <c r="B928" s="122">
        <v>277</v>
      </c>
      <c r="C928" s="17"/>
      <c r="D928" s="17"/>
      <c r="E928" s="100"/>
      <c r="F928" s="100"/>
      <c r="G928" s="68"/>
      <c r="H928" s="17"/>
      <c r="I928" s="68"/>
      <c r="J928" s="100"/>
      <c r="K928" s="68"/>
      <c r="L928" s="17"/>
      <c r="M928" s="17"/>
      <c r="N928" s="343"/>
      <c r="O928" s="17"/>
      <c r="P928" s="17"/>
      <c r="Q928" s="17"/>
      <c r="R928" s="17"/>
      <c r="S928" s="17"/>
      <c r="T928" s="344">
        <v>0</v>
      </c>
      <c r="U928" s="351">
        <f t="shared" si="21"/>
        <v>0</v>
      </c>
    </row>
    <row r="929" spans="2:21" ht="17.25" hidden="1" x14ac:dyDescent="0.3">
      <c r="B929" s="16">
        <v>278</v>
      </c>
      <c r="C929" s="17"/>
      <c r="D929" s="17"/>
      <c r="E929" s="100"/>
      <c r="F929" s="100"/>
      <c r="G929" s="68"/>
      <c r="H929" s="17"/>
      <c r="I929" s="68"/>
      <c r="J929" s="100"/>
      <c r="K929" s="68"/>
      <c r="L929" s="17"/>
      <c r="M929" s="17"/>
      <c r="N929" s="343"/>
      <c r="O929" s="17"/>
      <c r="P929" s="17"/>
      <c r="Q929" s="17"/>
      <c r="R929" s="17"/>
      <c r="S929" s="17"/>
      <c r="T929" s="344">
        <v>0</v>
      </c>
      <c r="U929" s="351">
        <f t="shared" si="21"/>
        <v>0</v>
      </c>
    </row>
    <row r="930" spans="2:21" ht="17.25" hidden="1" x14ac:dyDescent="0.3">
      <c r="B930" s="122">
        <v>279</v>
      </c>
      <c r="C930" s="17"/>
      <c r="D930" s="17"/>
      <c r="E930" s="100"/>
      <c r="F930" s="100"/>
      <c r="G930" s="68"/>
      <c r="H930" s="17"/>
      <c r="I930" s="68"/>
      <c r="J930" s="100"/>
      <c r="K930" s="68"/>
      <c r="L930" s="17"/>
      <c r="M930" s="17"/>
      <c r="N930" s="343"/>
      <c r="O930" s="17"/>
      <c r="P930" s="17"/>
      <c r="Q930" s="17"/>
      <c r="R930" s="17"/>
      <c r="S930" s="17"/>
      <c r="T930" s="344">
        <v>0</v>
      </c>
      <c r="U930" s="351">
        <f t="shared" si="21"/>
        <v>0</v>
      </c>
    </row>
    <row r="931" spans="2:21" ht="17.25" hidden="1" x14ac:dyDescent="0.3">
      <c r="B931" s="16">
        <v>280</v>
      </c>
      <c r="C931" s="17"/>
      <c r="D931" s="17"/>
      <c r="E931" s="100"/>
      <c r="F931" s="100"/>
      <c r="G931" s="68"/>
      <c r="H931" s="17"/>
      <c r="I931" s="68"/>
      <c r="J931" s="100"/>
      <c r="K931" s="68"/>
      <c r="L931" s="17"/>
      <c r="M931" s="17"/>
      <c r="N931" s="343"/>
      <c r="O931" s="17"/>
      <c r="P931" s="17"/>
      <c r="Q931" s="17"/>
      <c r="R931" s="17"/>
      <c r="S931" s="17"/>
      <c r="T931" s="344">
        <v>0</v>
      </c>
      <c r="U931" s="351">
        <f t="shared" si="21"/>
        <v>0</v>
      </c>
    </row>
    <row r="932" spans="2:21" ht="17.25" hidden="1" x14ac:dyDescent="0.3">
      <c r="B932" s="122">
        <v>281</v>
      </c>
      <c r="C932" s="17"/>
      <c r="D932" s="17"/>
      <c r="E932" s="100"/>
      <c r="F932" s="100"/>
      <c r="G932" s="68"/>
      <c r="H932" s="17"/>
      <c r="I932" s="68"/>
      <c r="J932" s="100"/>
      <c r="K932" s="68"/>
      <c r="L932" s="17"/>
      <c r="M932" s="17"/>
      <c r="N932" s="343"/>
      <c r="O932" s="17"/>
      <c r="P932" s="17"/>
      <c r="Q932" s="17"/>
      <c r="R932" s="17"/>
      <c r="S932" s="17"/>
      <c r="T932" s="344">
        <v>0</v>
      </c>
      <c r="U932" s="351">
        <f t="shared" si="21"/>
        <v>0</v>
      </c>
    </row>
    <row r="933" spans="2:21" ht="17.25" hidden="1" x14ac:dyDescent="0.3">
      <c r="B933" s="16">
        <v>282</v>
      </c>
      <c r="C933" s="17"/>
      <c r="D933" s="17"/>
      <c r="E933" s="100"/>
      <c r="F933" s="100"/>
      <c r="G933" s="68"/>
      <c r="H933" s="17"/>
      <c r="I933" s="68"/>
      <c r="J933" s="100"/>
      <c r="K933" s="68"/>
      <c r="L933" s="17"/>
      <c r="M933" s="17"/>
      <c r="N933" s="343"/>
      <c r="O933" s="17"/>
      <c r="P933" s="17"/>
      <c r="Q933" s="17"/>
      <c r="R933" s="17"/>
      <c r="S933" s="17"/>
      <c r="T933" s="344">
        <v>0</v>
      </c>
      <c r="U933" s="351">
        <f t="shared" si="21"/>
        <v>0</v>
      </c>
    </row>
    <row r="934" spans="2:21" ht="17.25" hidden="1" x14ac:dyDescent="0.3">
      <c r="B934" s="16">
        <v>283</v>
      </c>
      <c r="C934" s="17"/>
      <c r="D934" s="17"/>
      <c r="E934" s="100"/>
      <c r="F934" s="100"/>
      <c r="G934" s="68"/>
      <c r="H934" s="17"/>
      <c r="I934" s="68"/>
      <c r="J934" s="100"/>
      <c r="K934" s="68"/>
      <c r="L934" s="17"/>
      <c r="M934" s="17"/>
      <c r="N934" s="343"/>
      <c r="O934" s="17"/>
      <c r="P934" s="17"/>
      <c r="Q934" s="17"/>
      <c r="R934" s="17"/>
      <c r="S934" s="17"/>
      <c r="T934" s="344">
        <v>0</v>
      </c>
      <c r="U934" s="351">
        <f t="shared" si="21"/>
        <v>0</v>
      </c>
    </row>
    <row r="935" spans="2:21" ht="17.25" hidden="1" x14ac:dyDescent="0.3">
      <c r="B935" s="122">
        <v>284</v>
      </c>
      <c r="C935" s="17"/>
      <c r="D935" s="17"/>
      <c r="E935" s="100"/>
      <c r="F935" s="100"/>
      <c r="G935" s="68"/>
      <c r="H935" s="17"/>
      <c r="I935" s="68"/>
      <c r="J935" s="100"/>
      <c r="K935" s="68"/>
      <c r="L935" s="17"/>
      <c r="M935" s="17"/>
      <c r="N935" s="343"/>
      <c r="O935" s="17"/>
      <c r="P935" s="17"/>
      <c r="Q935" s="17"/>
      <c r="R935" s="17"/>
      <c r="S935" s="17"/>
      <c r="T935" s="344">
        <v>0</v>
      </c>
      <c r="U935" s="351">
        <f t="shared" si="21"/>
        <v>0</v>
      </c>
    </row>
    <row r="936" spans="2:21" ht="17.25" hidden="1" x14ac:dyDescent="0.3">
      <c r="B936" s="16">
        <v>285</v>
      </c>
      <c r="C936" s="17"/>
      <c r="D936" s="17"/>
      <c r="E936" s="100"/>
      <c r="F936" s="100"/>
      <c r="G936" s="68"/>
      <c r="H936" s="17"/>
      <c r="I936" s="68"/>
      <c r="J936" s="100"/>
      <c r="K936" s="68"/>
      <c r="L936" s="17"/>
      <c r="M936" s="17"/>
      <c r="N936" s="343"/>
      <c r="O936" s="17"/>
      <c r="P936" s="17"/>
      <c r="Q936" s="17"/>
      <c r="R936" s="17"/>
      <c r="S936" s="17"/>
      <c r="T936" s="344">
        <v>0</v>
      </c>
      <c r="U936" s="351">
        <f t="shared" si="21"/>
        <v>0</v>
      </c>
    </row>
    <row r="937" spans="2:21" ht="17.25" hidden="1" x14ac:dyDescent="0.3">
      <c r="B937" s="16">
        <v>286</v>
      </c>
      <c r="C937" s="17"/>
      <c r="D937" s="17"/>
      <c r="E937" s="100"/>
      <c r="F937" s="100"/>
      <c r="G937" s="68"/>
      <c r="H937" s="17"/>
      <c r="I937" s="68"/>
      <c r="J937" s="100"/>
      <c r="K937" s="68"/>
      <c r="L937" s="17"/>
      <c r="M937" s="17"/>
      <c r="N937" s="343"/>
      <c r="O937" s="17"/>
      <c r="P937" s="17"/>
      <c r="Q937" s="17"/>
      <c r="R937" s="17"/>
      <c r="S937" s="17"/>
      <c r="T937" s="344">
        <v>0</v>
      </c>
      <c r="U937" s="351">
        <f t="shared" si="21"/>
        <v>0</v>
      </c>
    </row>
    <row r="938" spans="2:21" ht="17.25" hidden="1" x14ac:dyDescent="0.3">
      <c r="B938" s="122">
        <v>287</v>
      </c>
      <c r="C938" s="17"/>
      <c r="D938" s="17"/>
      <c r="E938" s="100"/>
      <c r="F938" s="100"/>
      <c r="G938" s="68"/>
      <c r="H938" s="17"/>
      <c r="I938" s="68"/>
      <c r="J938" s="100"/>
      <c r="K938" s="68"/>
      <c r="L938" s="17"/>
      <c r="M938" s="17"/>
      <c r="N938" s="343"/>
      <c r="O938" s="17"/>
      <c r="P938" s="17"/>
      <c r="Q938" s="17"/>
      <c r="R938" s="17"/>
      <c r="S938" s="17"/>
      <c r="T938" s="344">
        <v>0</v>
      </c>
      <c r="U938" s="351">
        <f t="shared" si="21"/>
        <v>0</v>
      </c>
    </row>
    <row r="939" spans="2:21" ht="17.25" hidden="1" x14ac:dyDescent="0.3">
      <c r="B939" s="16">
        <v>288</v>
      </c>
      <c r="C939" s="17"/>
      <c r="D939" s="17"/>
      <c r="E939" s="100"/>
      <c r="F939" s="100"/>
      <c r="G939" s="68"/>
      <c r="H939" s="17"/>
      <c r="I939" s="68"/>
      <c r="J939" s="100"/>
      <c r="K939" s="68"/>
      <c r="L939" s="17"/>
      <c r="M939" s="17"/>
      <c r="N939" s="343"/>
      <c r="O939" s="17"/>
      <c r="P939" s="17"/>
      <c r="Q939" s="17"/>
      <c r="R939" s="17"/>
      <c r="S939" s="17"/>
      <c r="T939" s="344">
        <v>0</v>
      </c>
      <c r="U939" s="351">
        <f t="shared" si="21"/>
        <v>0</v>
      </c>
    </row>
    <row r="940" spans="2:21" ht="17.25" hidden="1" x14ac:dyDescent="0.3">
      <c r="B940" s="16">
        <v>289</v>
      </c>
      <c r="C940" s="17"/>
      <c r="D940" s="17"/>
      <c r="E940" s="100"/>
      <c r="F940" s="100"/>
      <c r="G940" s="68"/>
      <c r="H940" s="17"/>
      <c r="I940" s="68"/>
      <c r="J940" s="100"/>
      <c r="K940" s="68"/>
      <c r="L940" s="17"/>
      <c r="M940" s="17"/>
      <c r="N940" s="343"/>
      <c r="O940" s="17"/>
      <c r="P940" s="17"/>
      <c r="Q940" s="17"/>
      <c r="R940" s="17"/>
      <c r="S940" s="17"/>
      <c r="T940" s="344">
        <v>0</v>
      </c>
      <c r="U940" s="351">
        <f t="shared" si="21"/>
        <v>0</v>
      </c>
    </row>
    <row r="941" spans="2:21" ht="17.25" hidden="1" x14ac:dyDescent="0.3">
      <c r="B941" s="122">
        <v>290</v>
      </c>
      <c r="C941" s="17"/>
      <c r="D941" s="17"/>
      <c r="E941" s="100"/>
      <c r="F941" s="100"/>
      <c r="G941" s="68"/>
      <c r="H941" s="17"/>
      <c r="I941" s="68"/>
      <c r="J941" s="100"/>
      <c r="K941" s="68"/>
      <c r="L941" s="17"/>
      <c r="M941" s="17"/>
      <c r="N941" s="343"/>
      <c r="O941" s="17"/>
      <c r="P941" s="17"/>
      <c r="Q941" s="17"/>
      <c r="R941" s="17"/>
      <c r="S941" s="17"/>
      <c r="T941" s="344">
        <v>0</v>
      </c>
      <c r="U941" s="351">
        <f t="shared" si="21"/>
        <v>0</v>
      </c>
    </row>
    <row r="942" spans="2:21" ht="17.25" hidden="1" x14ac:dyDescent="0.3">
      <c r="B942" s="16">
        <v>291</v>
      </c>
      <c r="C942" s="17"/>
      <c r="D942" s="17"/>
      <c r="E942" s="100"/>
      <c r="F942" s="100"/>
      <c r="G942" s="68"/>
      <c r="H942" s="17"/>
      <c r="I942" s="68"/>
      <c r="J942" s="100"/>
      <c r="K942" s="68"/>
      <c r="L942" s="17"/>
      <c r="M942" s="17"/>
      <c r="N942" s="343"/>
      <c r="O942" s="17"/>
      <c r="P942" s="17"/>
      <c r="Q942" s="17"/>
      <c r="R942" s="17"/>
      <c r="S942" s="17"/>
      <c r="T942" s="344">
        <v>0</v>
      </c>
      <c r="U942" s="351">
        <f t="shared" si="21"/>
        <v>0</v>
      </c>
    </row>
    <row r="943" spans="2:21" ht="17.25" hidden="1" x14ac:dyDescent="0.3">
      <c r="B943" s="16">
        <v>292</v>
      </c>
      <c r="C943" s="17"/>
      <c r="D943" s="17"/>
      <c r="E943" s="100"/>
      <c r="F943" s="100"/>
      <c r="G943" s="68"/>
      <c r="H943" s="17"/>
      <c r="I943" s="68"/>
      <c r="J943" s="100"/>
      <c r="K943" s="68"/>
      <c r="L943" s="17"/>
      <c r="M943" s="17"/>
      <c r="N943" s="343"/>
      <c r="O943" s="17"/>
      <c r="P943" s="17"/>
      <c r="Q943" s="17"/>
      <c r="R943" s="17"/>
      <c r="S943" s="17"/>
      <c r="T943" s="344">
        <v>0</v>
      </c>
      <c r="U943" s="351">
        <f t="shared" si="21"/>
        <v>0</v>
      </c>
    </row>
    <row r="944" spans="2:21" ht="17.25" hidden="1" x14ac:dyDescent="0.3">
      <c r="B944" s="122">
        <v>293</v>
      </c>
      <c r="C944" s="17"/>
      <c r="D944" s="17"/>
      <c r="E944" s="100"/>
      <c r="F944" s="100"/>
      <c r="G944" s="68"/>
      <c r="H944" s="17"/>
      <c r="I944" s="68"/>
      <c r="J944" s="100"/>
      <c r="K944" s="68"/>
      <c r="L944" s="17"/>
      <c r="M944" s="17"/>
      <c r="N944" s="343"/>
      <c r="O944" s="17"/>
      <c r="P944" s="17"/>
      <c r="Q944" s="17"/>
      <c r="R944" s="17"/>
      <c r="S944" s="17"/>
      <c r="T944" s="344">
        <v>0</v>
      </c>
      <c r="U944" s="351">
        <f t="shared" si="21"/>
        <v>0</v>
      </c>
    </row>
    <row r="945" spans="2:21" ht="17.25" hidden="1" x14ac:dyDescent="0.3">
      <c r="B945" s="16">
        <v>294</v>
      </c>
      <c r="C945" s="17"/>
      <c r="D945" s="17"/>
      <c r="E945" s="100"/>
      <c r="F945" s="100"/>
      <c r="G945" s="68"/>
      <c r="H945" s="17"/>
      <c r="I945" s="68"/>
      <c r="J945" s="100"/>
      <c r="K945" s="68"/>
      <c r="L945" s="17"/>
      <c r="M945" s="17"/>
      <c r="N945" s="343"/>
      <c r="O945" s="17"/>
      <c r="P945" s="17"/>
      <c r="Q945" s="17"/>
      <c r="R945" s="17"/>
      <c r="S945" s="17"/>
      <c r="T945" s="344">
        <v>0</v>
      </c>
      <c r="U945" s="351">
        <f t="shared" si="21"/>
        <v>0</v>
      </c>
    </row>
    <row r="946" spans="2:21" ht="17.25" hidden="1" x14ac:dyDescent="0.3">
      <c r="B946" s="16">
        <v>295</v>
      </c>
      <c r="C946" s="17"/>
      <c r="D946" s="17"/>
      <c r="E946" s="100"/>
      <c r="F946" s="100"/>
      <c r="G946" s="68"/>
      <c r="H946" s="17"/>
      <c r="I946" s="68"/>
      <c r="J946" s="100"/>
      <c r="K946" s="68"/>
      <c r="L946" s="17"/>
      <c r="M946" s="17"/>
      <c r="N946" s="343"/>
      <c r="O946" s="17"/>
      <c r="P946" s="17"/>
      <c r="Q946" s="17"/>
      <c r="R946" s="17"/>
      <c r="S946" s="17"/>
      <c r="T946" s="344">
        <v>0</v>
      </c>
      <c r="U946" s="351">
        <f t="shared" si="21"/>
        <v>0</v>
      </c>
    </row>
    <row r="947" spans="2:21" ht="17.25" hidden="1" x14ac:dyDescent="0.3">
      <c r="B947" s="122">
        <v>296</v>
      </c>
      <c r="C947" s="17"/>
      <c r="D947" s="17"/>
      <c r="E947" s="100"/>
      <c r="F947" s="100"/>
      <c r="G947" s="68"/>
      <c r="H947" s="17"/>
      <c r="I947" s="68"/>
      <c r="J947" s="100"/>
      <c r="K947" s="68"/>
      <c r="L947" s="17"/>
      <c r="M947" s="17"/>
      <c r="N947" s="343"/>
      <c r="O947" s="17"/>
      <c r="P947" s="17"/>
      <c r="Q947" s="17"/>
      <c r="R947" s="17"/>
      <c r="S947" s="17"/>
      <c r="T947" s="344">
        <v>0</v>
      </c>
      <c r="U947" s="351">
        <f t="shared" si="21"/>
        <v>0</v>
      </c>
    </row>
    <row r="948" spans="2:21" ht="17.25" hidden="1" x14ac:dyDescent="0.3">
      <c r="B948" s="16">
        <v>297</v>
      </c>
      <c r="C948" s="17"/>
      <c r="D948" s="17"/>
      <c r="E948" s="100"/>
      <c r="F948" s="100"/>
      <c r="G948" s="68"/>
      <c r="H948" s="17"/>
      <c r="I948" s="68"/>
      <c r="J948" s="100"/>
      <c r="K948" s="68"/>
      <c r="L948" s="17"/>
      <c r="M948" s="17"/>
      <c r="N948" s="343"/>
      <c r="O948" s="17"/>
      <c r="P948" s="17"/>
      <c r="Q948" s="17"/>
      <c r="R948" s="17"/>
      <c r="S948" s="17"/>
      <c r="T948" s="344">
        <v>0</v>
      </c>
      <c r="U948" s="351">
        <f t="shared" si="21"/>
        <v>0</v>
      </c>
    </row>
    <row r="949" spans="2:21" ht="17.25" hidden="1" x14ac:dyDescent="0.3">
      <c r="B949" s="16">
        <v>298</v>
      </c>
      <c r="C949" s="17"/>
      <c r="D949" s="17"/>
      <c r="E949" s="100"/>
      <c r="F949" s="100"/>
      <c r="G949" s="68"/>
      <c r="H949" s="100" t="s">
        <v>850</v>
      </c>
      <c r="I949" s="68"/>
      <c r="J949" s="100"/>
      <c r="K949" s="68"/>
      <c r="L949" s="17"/>
      <c r="M949" s="17"/>
      <c r="N949" s="343"/>
      <c r="O949" s="17"/>
      <c r="P949" s="17"/>
      <c r="Q949" s="17"/>
      <c r="R949" s="17"/>
      <c r="S949" s="17"/>
      <c r="T949" s="344">
        <v>0</v>
      </c>
      <c r="U949" s="351">
        <f t="shared" si="21"/>
        <v>0</v>
      </c>
    </row>
    <row r="950" spans="2:21" ht="17.25" hidden="1" x14ac:dyDescent="0.3">
      <c r="B950" s="122">
        <v>299</v>
      </c>
      <c r="C950" s="17"/>
      <c r="D950" s="17"/>
      <c r="E950" s="100"/>
      <c r="F950" s="100"/>
      <c r="G950" s="68"/>
      <c r="H950" s="100" t="s">
        <v>846</v>
      </c>
      <c r="I950" s="68"/>
      <c r="J950" s="100"/>
      <c r="K950" s="68"/>
      <c r="L950" s="17"/>
      <c r="M950" s="17"/>
      <c r="N950" s="343"/>
      <c r="O950" s="17"/>
      <c r="P950" s="17"/>
      <c r="Q950" s="17"/>
      <c r="R950" s="17"/>
      <c r="S950" s="17"/>
      <c r="T950" s="344">
        <v>0</v>
      </c>
      <c r="U950" s="351">
        <f t="shared" si="21"/>
        <v>0</v>
      </c>
    </row>
    <row r="951" spans="2:21" ht="17.25" hidden="1" x14ac:dyDescent="0.3">
      <c r="B951" s="16">
        <v>300</v>
      </c>
      <c r="C951" s="17"/>
      <c r="D951" s="17" t="s">
        <v>852</v>
      </c>
      <c r="E951" s="100"/>
      <c r="F951" s="100"/>
      <c r="G951" s="68"/>
      <c r="H951" s="100" t="s">
        <v>851</v>
      </c>
      <c r="I951" s="68"/>
      <c r="J951" s="100"/>
      <c r="K951" s="68"/>
      <c r="L951" s="17"/>
      <c r="M951" s="17"/>
      <c r="N951" s="343"/>
      <c r="O951" s="17"/>
      <c r="P951" s="17"/>
      <c r="Q951" s="17"/>
      <c r="R951" s="17"/>
      <c r="S951" s="17"/>
      <c r="T951" s="344">
        <v>0</v>
      </c>
      <c r="U951" s="351">
        <f t="shared" si="21"/>
        <v>0</v>
      </c>
    </row>
    <row r="952" spans="2:21" ht="34.5" hidden="1" x14ac:dyDescent="0.3">
      <c r="C952" s="401"/>
      <c r="D952" s="81" t="s">
        <v>566</v>
      </c>
      <c r="E952" s="92"/>
      <c r="F952" s="100"/>
      <c r="G952" s="68"/>
      <c r="H952" s="17"/>
      <c r="I952" s="68"/>
      <c r="J952" s="100"/>
      <c r="K952" s="68"/>
      <c r="L952" s="17"/>
      <c r="M952" s="17"/>
      <c r="N952" s="343"/>
      <c r="O952" s="17"/>
      <c r="P952" s="17"/>
      <c r="Q952" s="17"/>
      <c r="R952" s="17"/>
      <c r="S952" s="17"/>
      <c r="T952" s="344">
        <v>0</v>
      </c>
      <c r="U952" s="351">
        <f t="shared" si="21"/>
        <v>0</v>
      </c>
    </row>
    <row r="953" spans="2:21" hidden="1" x14ac:dyDescent="0.3">
      <c r="B953" s="82"/>
      <c r="O953" s="123"/>
      <c r="P953" s="124"/>
    </row>
    <row r="954" spans="2:21" hidden="1" x14ac:dyDescent="0.3">
      <c r="B954" s="82"/>
      <c r="O954" s="123"/>
      <c r="P954" s="124"/>
    </row>
    <row r="955" spans="2:21" hidden="1" x14ac:dyDescent="0.3"/>
    <row r="956" spans="2:21" ht="65.45" customHeight="1" x14ac:dyDescent="0.3">
      <c r="B956" s="442"/>
      <c r="C956" s="442"/>
      <c r="D956" s="442"/>
      <c r="E956" s="443"/>
      <c r="F956" s="443"/>
      <c r="G956" s="442"/>
      <c r="H956" s="442"/>
      <c r="I956" s="443"/>
      <c r="J956" s="443"/>
      <c r="K956" s="442"/>
      <c r="L956" s="442"/>
      <c r="M956" s="442"/>
      <c r="N956" s="442"/>
      <c r="O956" s="442"/>
      <c r="P956" s="444" t="s">
        <v>505</v>
      </c>
    </row>
    <row r="957" spans="2:21" ht="23.45" customHeight="1" x14ac:dyDescent="0.3">
      <c r="B957" s="469" t="s">
        <v>504</v>
      </c>
      <c r="C957" s="465"/>
      <c r="D957" s="465"/>
      <c r="E957" s="465"/>
      <c r="F957" s="465"/>
      <c r="G957" s="465"/>
      <c r="H957" s="465"/>
      <c r="I957" s="465"/>
      <c r="J957" s="465"/>
      <c r="K957" s="465"/>
      <c r="L957" s="465"/>
      <c r="M957" s="465"/>
      <c r="N957" s="465"/>
      <c r="O957" s="465"/>
      <c r="P957" s="492">
        <f>P958</f>
        <v>1850309463.4399996</v>
      </c>
    </row>
    <row r="958" spans="2:21" ht="54" customHeight="1" x14ac:dyDescent="0.3">
      <c r="B958" s="804" t="s">
        <v>514</v>
      </c>
      <c r="C958" s="804"/>
      <c r="D958" s="702" t="s">
        <v>821</v>
      </c>
      <c r="E958" s="490"/>
      <c r="F958" s="490"/>
      <c r="G958" s="490"/>
      <c r="H958" s="490"/>
      <c r="I958" s="490"/>
      <c r="J958" s="490"/>
      <c r="K958" s="490"/>
      <c r="L958" s="490"/>
      <c r="M958" s="490"/>
      <c r="N958" s="490"/>
      <c r="O958" s="470"/>
      <c r="P958" s="493">
        <f>SUM(P961:P1261)</f>
        <v>1850309463.4399996</v>
      </c>
    </row>
    <row r="959" spans="2:21" ht="16.5" customHeight="1" x14ac:dyDescent="0.3">
      <c r="B959" s="789" t="s">
        <v>35</v>
      </c>
      <c r="C959" s="789" t="s">
        <v>42</v>
      </c>
      <c r="D959" s="789" t="s">
        <v>44</v>
      </c>
      <c r="E959" s="769" t="s">
        <v>472</v>
      </c>
      <c r="F959" s="769" t="s">
        <v>49</v>
      </c>
      <c r="G959" s="769" t="s">
        <v>559</v>
      </c>
      <c r="H959" s="769" t="s">
        <v>100</v>
      </c>
      <c r="I959" s="769" t="s">
        <v>468</v>
      </c>
      <c r="J959" s="766" t="s">
        <v>560</v>
      </c>
      <c r="K959" s="766" t="s">
        <v>424</v>
      </c>
      <c r="L959" s="767" t="s">
        <v>45</v>
      </c>
      <c r="M959" s="768"/>
      <c r="N959" s="769" t="s">
        <v>97</v>
      </c>
      <c r="O959" s="769" t="s">
        <v>51</v>
      </c>
      <c r="P959" s="769" t="s">
        <v>422</v>
      </c>
      <c r="Q959" s="390"/>
      <c r="R959" s="390"/>
      <c r="S959" s="390"/>
    </row>
    <row r="960" spans="2:21" ht="51" customHeight="1" x14ac:dyDescent="0.3">
      <c r="B960" s="789"/>
      <c r="C960" s="789"/>
      <c r="D960" s="789"/>
      <c r="E960" s="770"/>
      <c r="F960" s="770"/>
      <c r="G960" s="770"/>
      <c r="H960" s="770"/>
      <c r="I960" s="770"/>
      <c r="J960" s="766"/>
      <c r="K960" s="766"/>
      <c r="L960" s="472" t="s">
        <v>172</v>
      </c>
      <c r="M960" s="472" t="s">
        <v>101</v>
      </c>
      <c r="N960" s="770"/>
      <c r="O960" s="770"/>
      <c r="P960" s="770"/>
      <c r="Q960" s="390"/>
      <c r="R960" s="391"/>
      <c r="S960" s="391"/>
    </row>
    <row r="961" spans="2:16" ht="66" x14ac:dyDescent="0.3">
      <c r="B961" s="440">
        <v>1</v>
      </c>
      <c r="C961" s="570" t="s">
        <v>1236</v>
      </c>
      <c r="D961" s="457" t="s">
        <v>822</v>
      </c>
      <c r="E961" s="706" t="s">
        <v>1787</v>
      </c>
      <c r="F961" s="459">
        <v>84</v>
      </c>
      <c r="G961" s="451" t="s">
        <v>718</v>
      </c>
      <c r="H961" s="654" t="s">
        <v>781</v>
      </c>
      <c r="I961" s="451" t="s">
        <v>797</v>
      </c>
      <c r="J961" s="496" t="s">
        <v>1541</v>
      </c>
      <c r="K961" s="570" t="s">
        <v>734</v>
      </c>
      <c r="L961" s="581">
        <v>8.1418999999999997</v>
      </c>
      <c r="M961" s="581">
        <v>8.9001999999999999</v>
      </c>
      <c r="N961" s="454" t="s">
        <v>813</v>
      </c>
      <c r="O961" s="118">
        <v>650000</v>
      </c>
      <c r="P961" s="491">
        <f t="shared" ref="P961:P992" si="22">F961*O961</f>
        <v>54600000</v>
      </c>
    </row>
    <row r="962" spans="2:16" ht="66" x14ac:dyDescent="0.3">
      <c r="B962" s="440">
        <v>2</v>
      </c>
      <c r="C962" s="570" t="s">
        <v>1237</v>
      </c>
      <c r="D962" s="457" t="s">
        <v>823</v>
      </c>
      <c r="E962" s="706" t="s">
        <v>1787</v>
      </c>
      <c r="F962" s="459">
        <v>84</v>
      </c>
      <c r="G962" s="451" t="s">
        <v>718</v>
      </c>
      <c r="H962" s="654" t="s">
        <v>781</v>
      </c>
      <c r="I962" s="451" t="s">
        <v>797</v>
      </c>
      <c r="J962" s="652" t="s">
        <v>1541</v>
      </c>
      <c r="K962" s="570" t="s">
        <v>734</v>
      </c>
      <c r="L962" s="582">
        <v>7.2035999999999998</v>
      </c>
      <c r="M962" s="582">
        <v>8.7369000000000003</v>
      </c>
      <c r="N962" s="454" t="s">
        <v>813</v>
      </c>
      <c r="O962" s="118">
        <v>650000</v>
      </c>
      <c r="P962" s="491">
        <f t="shared" si="22"/>
        <v>54600000</v>
      </c>
    </row>
    <row r="963" spans="2:16" ht="66" x14ac:dyDescent="0.3">
      <c r="B963" s="440">
        <v>3</v>
      </c>
      <c r="C963" s="570" t="s">
        <v>1238</v>
      </c>
      <c r="D963" s="458" t="s">
        <v>824</v>
      </c>
      <c r="E963" s="706" t="s">
        <v>1787</v>
      </c>
      <c r="F963" s="459">
        <v>84</v>
      </c>
      <c r="G963" s="451" t="s">
        <v>718</v>
      </c>
      <c r="H963" s="451" t="s">
        <v>825</v>
      </c>
      <c r="I963" s="451" t="s">
        <v>797</v>
      </c>
      <c r="J963" s="652" t="s">
        <v>1541</v>
      </c>
      <c r="K963" s="570" t="s">
        <v>734</v>
      </c>
      <c r="L963" s="582">
        <v>8.0341000000000005</v>
      </c>
      <c r="M963" s="582">
        <v>8.9328000000000003</v>
      </c>
      <c r="N963" s="454" t="s">
        <v>813</v>
      </c>
      <c r="O963" s="118">
        <v>650000</v>
      </c>
      <c r="P963" s="491">
        <f t="shared" si="22"/>
        <v>54600000</v>
      </c>
    </row>
    <row r="964" spans="2:16" ht="66" x14ac:dyDescent="0.3">
      <c r="B964" s="440">
        <v>4</v>
      </c>
      <c r="C964" s="570" t="s">
        <v>1235</v>
      </c>
      <c r="D964" s="452" t="s">
        <v>826</v>
      </c>
      <c r="E964" s="706" t="s">
        <v>1787</v>
      </c>
      <c r="F964" s="459">
        <v>84</v>
      </c>
      <c r="G964" s="451" t="s">
        <v>718</v>
      </c>
      <c r="H964" s="451" t="s">
        <v>806</v>
      </c>
      <c r="I964" s="451" t="s">
        <v>782</v>
      </c>
      <c r="J964" s="652" t="s">
        <v>1541</v>
      </c>
      <c r="K964" s="570" t="s">
        <v>734</v>
      </c>
      <c r="L964" s="583">
        <v>7.016667</v>
      </c>
      <c r="M964" s="583">
        <v>9.0333330000000007</v>
      </c>
      <c r="N964" s="454" t="s">
        <v>813</v>
      </c>
      <c r="O964" s="118">
        <v>650000</v>
      </c>
      <c r="P964" s="491">
        <f t="shared" si="22"/>
        <v>54600000</v>
      </c>
    </row>
    <row r="965" spans="2:16" ht="66" x14ac:dyDescent="0.3">
      <c r="B965" s="440">
        <v>5</v>
      </c>
      <c r="C965" s="570" t="s">
        <v>1239</v>
      </c>
      <c r="D965" s="452" t="s">
        <v>827</v>
      </c>
      <c r="E965" s="706" t="s">
        <v>1787</v>
      </c>
      <c r="F965" s="459">
        <v>84</v>
      </c>
      <c r="G965" s="451" t="s">
        <v>718</v>
      </c>
      <c r="H965" s="451" t="s">
        <v>825</v>
      </c>
      <c r="I965" s="451" t="s">
        <v>797</v>
      </c>
      <c r="J965" s="652" t="s">
        <v>1541</v>
      </c>
      <c r="K965" s="570" t="s">
        <v>734</v>
      </c>
      <c r="L965" s="583">
        <v>7.3608719999999996</v>
      </c>
      <c r="M965" s="583">
        <v>9.0418620000000001</v>
      </c>
      <c r="N965" s="454" t="s">
        <v>813</v>
      </c>
      <c r="O965" s="118">
        <v>650000</v>
      </c>
      <c r="P965" s="491">
        <f t="shared" si="22"/>
        <v>54600000</v>
      </c>
    </row>
    <row r="966" spans="2:16" ht="66" x14ac:dyDescent="0.3">
      <c r="B966" s="440">
        <v>6</v>
      </c>
      <c r="C966" s="570" t="s">
        <v>1240</v>
      </c>
      <c r="D966" s="452" t="s">
        <v>1260</v>
      </c>
      <c r="E966" s="706" t="s">
        <v>1787</v>
      </c>
      <c r="F966" s="509">
        <v>84</v>
      </c>
      <c r="G966" s="451" t="s">
        <v>718</v>
      </c>
      <c r="H966" s="642" t="s">
        <v>828</v>
      </c>
      <c r="I966" s="451" t="s">
        <v>797</v>
      </c>
      <c r="J966" s="652" t="s">
        <v>1541</v>
      </c>
      <c r="K966" s="570" t="s">
        <v>734</v>
      </c>
      <c r="L966" s="585">
        <v>7.3753000000000002</v>
      </c>
      <c r="M966" s="586">
        <v>9.9247999999999994</v>
      </c>
      <c r="N966" s="454" t="s">
        <v>813</v>
      </c>
      <c r="O966" s="118">
        <v>650000</v>
      </c>
      <c r="P966" s="491">
        <f t="shared" si="22"/>
        <v>54600000</v>
      </c>
    </row>
    <row r="967" spans="2:16" ht="66" x14ac:dyDescent="0.3">
      <c r="B967" s="440">
        <v>7</v>
      </c>
      <c r="C967" s="570" t="s">
        <v>1241</v>
      </c>
      <c r="D967" s="455" t="s">
        <v>829</v>
      </c>
      <c r="E967" s="706" t="s">
        <v>1787</v>
      </c>
      <c r="F967" s="459">
        <v>84</v>
      </c>
      <c r="G967" s="451" t="s">
        <v>718</v>
      </c>
      <c r="H967" s="654" t="s">
        <v>806</v>
      </c>
      <c r="I967" s="451" t="s">
        <v>797</v>
      </c>
      <c r="J967" s="652" t="s">
        <v>1541</v>
      </c>
      <c r="K967" s="570" t="s">
        <v>734</v>
      </c>
      <c r="L967" s="587">
        <v>6.9416669999999998</v>
      </c>
      <c r="M967" s="588">
        <v>9.0613889000000007</v>
      </c>
      <c r="N967" s="454" t="s">
        <v>813</v>
      </c>
      <c r="O967" s="118">
        <v>650000</v>
      </c>
      <c r="P967" s="491">
        <f t="shared" si="22"/>
        <v>54600000</v>
      </c>
    </row>
    <row r="968" spans="2:16" ht="66" x14ac:dyDescent="0.3">
      <c r="B968" s="440">
        <v>8</v>
      </c>
      <c r="C968" s="570" t="s">
        <v>1242</v>
      </c>
      <c r="D968" s="693" t="s">
        <v>830</v>
      </c>
      <c r="E968" s="706" t="s">
        <v>1787</v>
      </c>
      <c r="F968" s="459">
        <v>84</v>
      </c>
      <c r="G968" s="451" t="s">
        <v>718</v>
      </c>
      <c r="H968" s="654" t="s">
        <v>804</v>
      </c>
      <c r="I968" s="451" t="s">
        <v>797</v>
      </c>
      <c r="J968" s="652" t="s">
        <v>1541</v>
      </c>
      <c r="K968" s="570" t="s">
        <v>734</v>
      </c>
      <c r="L968" s="585">
        <v>7.1992000000000003</v>
      </c>
      <c r="M968" s="586">
        <v>8.1292000000000009</v>
      </c>
      <c r="N968" s="454" t="s">
        <v>813</v>
      </c>
      <c r="O968" s="118">
        <v>650000</v>
      </c>
      <c r="P968" s="491">
        <f t="shared" si="22"/>
        <v>54600000</v>
      </c>
    </row>
    <row r="969" spans="2:16" ht="66" x14ac:dyDescent="0.3">
      <c r="B969" s="440">
        <v>9</v>
      </c>
      <c r="C969" s="570" t="s">
        <v>1243</v>
      </c>
      <c r="D969" s="452" t="s">
        <v>856</v>
      </c>
      <c r="E969" s="706" t="s">
        <v>1787</v>
      </c>
      <c r="F969" s="509">
        <v>84</v>
      </c>
      <c r="G969" s="570" t="s">
        <v>718</v>
      </c>
      <c r="H969" s="654" t="s">
        <v>846</v>
      </c>
      <c r="I969" s="570" t="s">
        <v>782</v>
      </c>
      <c r="J969" s="652" t="s">
        <v>1541</v>
      </c>
      <c r="K969" s="570" t="s">
        <v>734</v>
      </c>
      <c r="L969" s="587">
        <v>7.4987500000000002</v>
      </c>
      <c r="M969" s="587">
        <v>9.6113769999999992</v>
      </c>
      <c r="N969" s="454" t="s">
        <v>813</v>
      </c>
      <c r="O969" s="118">
        <v>650000</v>
      </c>
      <c r="P969" s="491">
        <f t="shared" si="22"/>
        <v>54600000</v>
      </c>
    </row>
    <row r="970" spans="2:16" ht="66" x14ac:dyDescent="0.3">
      <c r="B970" s="440">
        <v>10</v>
      </c>
      <c r="C970" s="570" t="s">
        <v>1244</v>
      </c>
      <c r="D970" s="693" t="s">
        <v>833</v>
      </c>
      <c r="E970" s="706" t="s">
        <v>1787</v>
      </c>
      <c r="F970" s="459">
        <v>84</v>
      </c>
      <c r="G970" s="451" t="s">
        <v>718</v>
      </c>
      <c r="H970" s="654" t="s">
        <v>806</v>
      </c>
      <c r="I970" s="451" t="s">
        <v>797</v>
      </c>
      <c r="J970" s="652" t="s">
        <v>1541</v>
      </c>
      <c r="K970" s="570" t="s">
        <v>734</v>
      </c>
      <c r="L970" s="587">
        <v>6.9416669999999998</v>
      </c>
      <c r="M970" s="588">
        <v>9.0613889000000007</v>
      </c>
      <c r="N970" s="454" t="s">
        <v>813</v>
      </c>
      <c r="O970" s="118">
        <v>650000</v>
      </c>
      <c r="P970" s="491">
        <f t="shared" si="22"/>
        <v>54600000</v>
      </c>
    </row>
    <row r="971" spans="2:16" ht="66" x14ac:dyDescent="0.3">
      <c r="B971" s="440">
        <v>11</v>
      </c>
      <c r="C971" s="570" t="s">
        <v>1245</v>
      </c>
      <c r="D971" s="455" t="s">
        <v>834</v>
      </c>
      <c r="E971" s="706" t="s">
        <v>1787</v>
      </c>
      <c r="F971" s="459">
        <v>84</v>
      </c>
      <c r="G971" s="451" t="s">
        <v>718</v>
      </c>
      <c r="H971" s="654" t="s">
        <v>806</v>
      </c>
      <c r="I971" s="451" t="s">
        <v>797</v>
      </c>
      <c r="J971" s="652" t="s">
        <v>1541</v>
      </c>
      <c r="K971" s="570" t="s">
        <v>734</v>
      </c>
      <c r="L971" s="587">
        <v>6.8022200000000002</v>
      </c>
      <c r="M971" s="588">
        <v>9.0302769999999999</v>
      </c>
      <c r="N971" s="454" t="s">
        <v>813</v>
      </c>
      <c r="O971" s="118">
        <v>650000</v>
      </c>
      <c r="P971" s="491">
        <f t="shared" si="22"/>
        <v>54600000</v>
      </c>
    </row>
    <row r="972" spans="2:16" ht="66" x14ac:dyDescent="0.3">
      <c r="B972" s="440">
        <v>12</v>
      </c>
      <c r="C972" s="570" t="s">
        <v>1246</v>
      </c>
      <c r="D972" s="458" t="s">
        <v>835</v>
      </c>
      <c r="E972" s="706" t="s">
        <v>1787</v>
      </c>
      <c r="F972" s="459">
        <v>84</v>
      </c>
      <c r="G972" s="451" t="s">
        <v>718</v>
      </c>
      <c r="H972" s="509" t="s">
        <v>825</v>
      </c>
      <c r="I972" s="451" t="s">
        <v>797</v>
      </c>
      <c r="J972" s="652" t="s">
        <v>1541</v>
      </c>
      <c r="K972" s="570" t="s">
        <v>734</v>
      </c>
      <c r="L972" s="589">
        <v>7.7588999999999997</v>
      </c>
      <c r="M972" s="590">
        <v>8.6514000000000006</v>
      </c>
      <c r="N972" s="454" t="s">
        <v>813</v>
      </c>
      <c r="O972" s="118">
        <v>650000</v>
      </c>
      <c r="P972" s="491">
        <f t="shared" si="22"/>
        <v>54600000</v>
      </c>
    </row>
    <row r="973" spans="2:16" ht="66" x14ac:dyDescent="0.3">
      <c r="B973" s="440">
        <v>13</v>
      </c>
      <c r="C973" s="570" t="s">
        <v>1247</v>
      </c>
      <c r="D973" s="591" t="s">
        <v>836</v>
      </c>
      <c r="E973" s="706" t="s">
        <v>1787</v>
      </c>
      <c r="F973" s="459">
        <v>270</v>
      </c>
      <c r="G973" s="451" t="s">
        <v>718</v>
      </c>
      <c r="H973" s="451" t="s">
        <v>781</v>
      </c>
      <c r="I973" s="451" t="s">
        <v>797</v>
      </c>
      <c r="J973" s="652" t="s">
        <v>1541</v>
      </c>
      <c r="K973" s="570" t="s">
        <v>734</v>
      </c>
      <c r="L973" s="592">
        <v>8.2197999999999993</v>
      </c>
      <c r="M973" s="593">
        <v>8.9053000000000004</v>
      </c>
      <c r="N973" s="454" t="s">
        <v>813</v>
      </c>
      <c r="O973" s="118">
        <v>650000</v>
      </c>
      <c r="P973" s="491">
        <f t="shared" si="22"/>
        <v>175500000</v>
      </c>
    </row>
    <row r="974" spans="2:16" ht="49.5" x14ac:dyDescent="0.3">
      <c r="B974" s="440">
        <v>14</v>
      </c>
      <c r="C974" s="570" t="s">
        <v>1207</v>
      </c>
      <c r="D974" s="457" t="s">
        <v>819</v>
      </c>
      <c r="E974" s="456" t="s">
        <v>820</v>
      </c>
      <c r="F974" s="451">
        <v>80</v>
      </c>
      <c r="G974" s="453" t="s">
        <v>718</v>
      </c>
      <c r="H974" s="451" t="s">
        <v>781</v>
      </c>
      <c r="I974" s="453" t="s">
        <v>797</v>
      </c>
      <c r="J974" s="451" t="s">
        <v>837</v>
      </c>
      <c r="K974" s="570" t="s">
        <v>734</v>
      </c>
      <c r="L974" s="586">
        <v>8.1710999999999991</v>
      </c>
      <c r="M974" s="594">
        <v>8.7667000000000002</v>
      </c>
      <c r="N974" s="118" t="s">
        <v>813</v>
      </c>
      <c r="O974" s="118">
        <v>1281600</v>
      </c>
      <c r="P974" s="491">
        <f t="shared" si="22"/>
        <v>102528000</v>
      </c>
    </row>
    <row r="975" spans="2:16" ht="49.5" x14ac:dyDescent="0.3">
      <c r="B975" s="440">
        <v>15</v>
      </c>
      <c r="C975" s="570" t="s">
        <v>1208</v>
      </c>
      <c r="D975" s="457" t="s">
        <v>822</v>
      </c>
      <c r="E975" s="644" t="s">
        <v>1825</v>
      </c>
      <c r="F975" s="459">
        <v>1</v>
      </c>
      <c r="G975" s="451" t="s">
        <v>718</v>
      </c>
      <c r="H975" s="509" t="s">
        <v>781</v>
      </c>
      <c r="I975" s="451" t="s">
        <v>797</v>
      </c>
      <c r="J975" s="496" t="s">
        <v>1542</v>
      </c>
      <c r="K975" s="451" t="s">
        <v>728</v>
      </c>
      <c r="L975" s="581">
        <v>8.1418999999999997</v>
      </c>
      <c r="M975" s="581">
        <v>8.9001999999999999</v>
      </c>
      <c r="N975" s="454" t="s">
        <v>813</v>
      </c>
      <c r="O975" s="118">
        <v>13620000</v>
      </c>
      <c r="P975" s="491">
        <f t="shared" si="22"/>
        <v>13620000</v>
      </c>
    </row>
    <row r="976" spans="2:16" ht="49.5" x14ac:dyDescent="0.3">
      <c r="B976" s="440">
        <v>16</v>
      </c>
      <c r="C976" s="570" t="s">
        <v>1209</v>
      </c>
      <c r="D976" s="457" t="s">
        <v>823</v>
      </c>
      <c r="E976" s="644" t="s">
        <v>1825</v>
      </c>
      <c r="F976" s="459">
        <v>1</v>
      </c>
      <c r="G976" s="451" t="s">
        <v>718</v>
      </c>
      <c r="H976" s="509" t="s">
        <v>781</v>
      </c>
      <c r="I976" s="451" t="s">
        <v>797</v>
      </c>
      <c r="J976" s="496" t="s">
        <v>1286</v>
      </c>
      <c r="K976" s="451" t="s">
        <v>728</v>
      </c>
      <c r="L976" s="582">
        <v>7.2035999999999998</v>
      </c>
      <c r="M976" s="582">
        <v>8.7369000000000003</v>
      </c>
      <c r="N976" s="454" t="s">
        <v>813</v>
      </c>
      <c r="O976" s="118">
        <v>13620000</v>
      </c>
      <c r="P976" s="491">
        <f t="shared" si="22"/>
        <v>13620000</v>
      </c>
    </row>
    <row r="977" spans="2:16" ht="49.5" x14ac:dyDescent="0.3">
      <c r="B977" s="440">
        <v>17</v>
      </c>
      <c r="C977" s="570" t="s">
        <v>1210</v>
      </c>
      <c r="D977" s="458" t="s">
        <v>824</v>
      </c>
      <c r="E977" s="644" t="s">
        <v>1825</v>
      </c>
      <c r="F977" s="459">
        <v>1</v>
      </c>
      <c r="G977" s="451" t="s">
        <v>718</v>
      </c>
      <c r="H977" s="451" t="s">
        <v>825</v>
      </c>
      <c r="I977" s="451" t="s">
        <v>797</v>
      </c>
      <c r="J977" s="496" t="s">
        <v>1286</v>
      </c>
      <c r="K977" s="451" t="s">
        <v>728</v>
      </c>
      <c r="L977" s="582">
        <v>8.0341000000000005</v>
      </c>
      <c r="M977" s="582">
        <v>8.9328000000000003</v>
      </c>
      <c r="N977" s="454" t="s">
        <v>813</v>
      </c>
      <c r="O977" s="118">
        <v>13620000</v>
      </c>
      <c r="P977" s="491">
        <f t="shared" si="22"/>
        <v>13620000</v>
      </c>
    </row>
    <row r="978" spans="2:16" ht="49.5" x14ac:dyDescent="0.3">
      <c r="B978" s="440">
        <v>18</v>
      </c>
      <c r="C978" s="570" t="s">
        <v>1211</v>
      </c>
      <c r="D978" s="452" t="s">
        <v>826</v>
      </c>
      <c r="E978" s="644" t="s">
        <v>1825</v>
      </c>
      <c r="F978" s="459">
        <v>1</v>
      </c>
      <c r="G978" s="451" t="s">
        <v>718</v>
      </c>
      <c r="H978" s="451" t="s">
        <v>806</v>
      </c>
      <c r="I978" s="451" t="s">
        <v>782</v>
      </c>
      <c r="J978" s="496" t="s">
        <v>1286</v>
      </c>
      <c r="K978" s="451" t="s">
        <v>728</v>
      </c>
      <c r="L978" s="587">
        <v>7.00441</v>
      </c>
      <c r="M978" s="588">
        <v>9.02257</v>
      </c>
      <c r="N978" s="454" t="s">
        <v>813</v>
      </c>
      <c r="O978" s="118">
        <v>13620000</v>
      </c>
      <c r="P978" s="491">
        <f t="shared" si="22"/>
        <v>13620000</v>
      </c>
    </row>
    <row r="979" spans="2:16" ht="49.5" x14ac:dyDescent="0.3">
      <c r="B979" s="440">
        <v>19</v>
      </c>
      <c r="C979" s="570" t="s">
        <v>1212</v>
      </c>
      <c r="D979" s="452" t="s">
        <v>827</v>
      </c>
      <c r="E979" s="644" t="s">
        <v>1825</v>
      </c>
      <c r="F979" s="459">
        <v>1</v>
      </c>
      <c r="G979" s="451" t="s">
        <v>718</v>
      </c>
      <c r="H979" s="451" t="s">
        <v>825</v>
      </c>
      <c r="I979" s="451" t="s">
        <v>797</v>
      </c>
      <c r="J979" s="496" t="s">
        <v>1286</v>
      </c>
      <c r="K979" s="451" t="s">
        <v>728</v>
      </c>
      <c r="L979" s="583">
        <v>7.3608719999999996</v>
      </c>
      <c r="M979" s="583">
        <v>9.0418620000000001</v>
      </c>
      <c r="N979" s="454" t="s">
        <v>813</v>
      </c>
      <c r="O979" s="118">
        <v>13620000</v>
      </c>
      <c r="P979" s="491">
        <f t="shared" si="22"/>
        <v>13620000</v>
      </c>
    </row>
    <row r="980" spans="2:16" ht="49.5" x14ac:dyDescent="0.3">
      <c r="B980" s="440">
        <v>20</v>
      </c>
      <c r="C980" s="570" t="s">
        <v>1213</v>
      </c>
      <c r="D980" s="452" t="s">
        <v>856</v>
      </c>
      <c r="E980" s="644" t="s">
        <v>1825</v>
      </c>
      <c r="F980" s="509">
        <v>1</v>
      </c>
      <c r="G980" s="570" t="s">
        <v>718</v>
      </c>
      <c r="H980" s="509" t="s">
        <v>846</v>
      </c>
      <c r="I980" s="570" t="s">
        <v>782</v>
      </c>
      <c r="J980" s="496" t="s">
        <v>1286</v>
      </c>
      <c r="K980" s="584" t="s">
        <v>728</v>
      </c>
      <c r="L980" s="587">
        <v>7.4987500000000002</v>
      </c>
      <c r="M980" s="587">
        <v>9.6113769999999992</v>
      </c>
      <c r="N980" s="454" t="s">
        <v>813</v>
      </c>
      <c r="O980" s="118">
        <v>13620000</v>
      </c>
      <c r="P980" s="491">
        <f t="shared" si="22"/>
        <v>13620000</v>
      </c>
    </row>
    <row r="981" spans="2:16" ht="49.5" x14ac:dyDescent="0.3">
      <c r="B981" s="440">
        <v>21</v>
      </c>
      <c r="C981" s="451" t="s">
        <v>1214</v>
      </c>
      <c r="D981" s="455" t="s">
        <v>829</v>
      </c>
      <c r="E981" s="644" t="s">
        <v>1825</v>
      </c>
      <c r="F981" s="459">
        <v>1</v>
      </c>
      <c r="G981" s="451" t="s">
        <v>718</v>
      </c>
      <c r="H981" s="509" t="s">
        <v>806</v>
      </c>
      <c r="I981" s="451" t="s">
        <v>797</v>
      </c>
      <c r="J981" s="496" t="s">
        <v>1286</v>
      </c>
      <c r="K981" s="451" t="s">
        <v>728</v>
      </c>
      <c r="L981" s="587">
        <v>6.9416669999999998</v>
      </c>
      <c r="M981" s="588">
        <v>9.0613889000000007</v>
      </c>
      <c r="N981" s="454" t="s">
        <v>813</v>
      </c>
      <c r="O981" s="118">
        <v>13620000</v>
      </c>
      <c r="P981" s="491">
        <f t="shared" si="22"/>
        <v>13620000</v>
      </c>
    </row>
    <row r="982" spans="2:16" ht="49.5" x14ac:dyDescent="0.3">
      <c r="B982" s="440">
        <v>22</v>
      </c>
      <c r="C982" s="451" t="s">
        <v>1215</v>
      </c>
      <c r="D982" s="693" t="s">
        <v>830</v>
      </c>
      <c r="E982" s="644" t="s">
        <v>1825</v>
      </c>
      <c r="F982" s="459">
        <v>1</v>
      </c>
      <c r="G982" s="451" t="s">
        <v>718</v>
      </c>
      <c r="H982" s="509" t="s">
        <v>804</v>
      </c>
      <c r="I982" s="451" t="s">
        <v>797</v>
      </c>
      <c r="J982" s="496" t="s">
        <v>1286</v>
      </c>
      <c r="K982" s="584" t="s">
        <v>728</v>
      </c>
      <c r="L982" s="589">
        <v>7.1992000000000003</v>
      </c>
      <c r="M982" s="590">
        <v>8.1292000000000009</v>
      </c>
      <c r="N982" s="454" t="s">
        <v>813</v>
      </c>
      <c r="O982" s="118">
        <v>13620000</v>
      </c>
      <c r="P982" s="491">
        <f t="shared" si="22"/>
        <v>13620000</v>
      </c>
    </row>
    <row r="983" spans="2:16" ht="49.5" x14ac:dyDescent="0.3">
      <c r="B983" s="440">
        <v>23</v>
      </c>
      <c r="C983" s="451" t="s">
        <v>1216</v>
      </c>
      <c r="D983" s="452" t="s">
        <v>1260</v>
      </c>
      <c r="E983" s="644" t="s">
        <v>1825</v>
      </c>
      <c r="F983" s="509">
        <v>1</v>
      </c>
      <c r="G983" s="451" t="s">
        <v>718</v>
      </c>
      <c r="H983" s="451" t="s">
        <v>828</v>
      </c>
      <c r="I983" s="451" t="s">
        <v>797</v>
      </c>
      <c r="J983" s="496" t="s">
        <v>1286</v>
      </c>
      <c r="K983" s="584" t="s">
        <v>728</v>
      </c>
      <c r="L983" s="586">
        <v>7.3753000000000002</v>
      </c>
      <c r="M983" s="595">
        <v>9.9247999999999994</v>
      </c>
      <c r="N983" s="454" t="s">
        <v>813</v>
      </c>
      <c r="O983" s="118">
        <v>13620000</v>
      </c>
      <c r="P983" s="491">
        <f t="shared" si="22"/>
        <v>13620000</v>
      </c>
    </row>
    <row r="984" spans="2:16" ht="49.5" x14ac:dyDescent="0.3">
      <c r="B984" s="440">
        <v>24</v>
      </c>
      <c r="C984" s="451" t="s">
        <v>1217</v>
      </c>
      <c r="D984" s="693" t="s">
        <v>833</v>
      </c>
      <c r="E984" s="644" t="s">
        <v>1825</v>
      </c>
      <c r="F984" s="459">
        <v>1</v>
      </c>
      <c r="G984" s="451" t="s">
        <v>718</v>
      </c>
      <c r="H984" s="509" t="s">
        <v>806</v>
      </c>
      <c r="I984" s="451" t="s">
        <v>797</v>
      </c>
      <c r="J984" s="496" t="s">
        <v>1286</v>
      </c>
      <c r="K984" s="584" t="s">
        <v>728</v>
      </c>
      <c r="L984" s="587">
        <v>6.9416669999999998</v>
      </c>
      <c r="M984" s="588">
        <v>9.0613889000000007</v>
      </c>
      <c r="N984" s="454" t="s">
        <v>813</v>
      </c>
      <c r="O984" s="118">
        <v>13620000</v>
      </c>
      <c r="P984" s="491">
        <f t="shared" si="22"/>
        <v>13620000</v>
      </c>
    </row>
    <row r="985" spans="2:16" ht="49.5" x14ac:dyDescent="0.3">
      <c r="B985" s="440">
        <v>25</v>
      </c>
      <c r="C985" s="451" t="s">
        <v>1218</v>
      </c>
      <c r="D985" s="455" t="s">
        <v>834</v>
      </c>
      <c r="E985" s="644" t="s">
        <v>1825</v>
      </c>
      <c r="F985" s="459">
        <v>1</v>
      </c>
      <c r="G985" s="451" t="s">
        <v>718</v>
      </c>
      <c r="H985" s="509" t="s">
        <v>806</v>
      </c>
      <c r="I985" s="451" t="s">
        <v>797</v>
      </c>
      <c r="J985" s="496" t="s">
        <v>1286</v>
      </c>
      <c r="K985" s="584" t="s">
        <v>728</v>
      </c>
      <c r="L985" s="587">
        <v>6.8022200000000002</v>
      </c>
      <c r="M985" s="588">
        <v>9.0302769999999999</v>
      </c>
      <c r="N985" s="454" t="s">
        <v>813</v>
      </c>
      <c r="O985" s="118">
        <v>13620000</v>
      </c>
      <c r="P985" s="491">
        <f t="shared" si="22"/>
        <v>13620000</v>
      </c>
    </row>
    <row r="986" spans="2:16" ht="49.5" x14ac:dyDescent="0.3">
      <c r="B986" s="440">
        <v>26</v>
      </c>
      <c r="C986" s="451" t="s">
        <v>1219</v>
      </c>
      <c r="D986" s="458" t="s">
        <v>835</v>
      </c>
      <c r="E986" s="644" t="s">
        <v>1825</v>
      </c>
      <c r="F986" s="459">
        <v>1</v>
      </c>
      <c r="G986" s="451" t="s">
        <v>718</v>
      </c>
      <c r="H986" s="509" t="s">
        <v>825</v>
      </c>
      <c r="I986" s="451" t="s">
        <v>797</v>
      </c>
      <c r="J986" s="496" t="s">
        <v>1286</v>
      </c>
      <c r="K986" s="584" t="s">
        <v>728</v>
      </c>
      <c r="L986" s="589">
        <v>7.7588999999999997</v>
      </c>
      <c r="M986" s="590">
        <v>8.6514000000000006</v>
      </c>
      <c r="N986" s="454" t="s">
        <v>813</v>
      </c>
      <c r="O986" s="118">
        <v>13620000</v>
      </c>
      <c r="P986" s="491">
        <f t="shared" si="22"/>
        <v>13620000</v>
      </c>
    </row>
    <row r="987" spans="2:16" ht="49.5" customHeight="1" x14ac:dyDescent="0.3">
      <c r="B987" s="440">
        <v>27</v>
      </c>
      <c r="C987" s="451" t="s">
        <v>1220</v>
      </c>
      <c r="D987" s="591" t="s">
        <v>836</v>
      </c>
      <c r="E987" s="644" t="s">
        <v>1825</v>
      </c>
      <c r="F987" s="459">
        <v>1</v>
      </c>
      <c r="G987" s="451" t="s">
        <v>718</v>
      </c>
      <c r="H987" s="451" t="s">
        <v>781</v>
      </c>
      <c r="I987" s="451" t="s">
        <v>797</v>
      </c>
      <c r="J987" s="496" t="s">
        <v>1286</v>
      </c>
      <c r="K987" s="451" t="s">
        <v>728</v>
      </c>
      <c r="L987" s="586">
        <v>8.2197999999999993</v>
      </c>
      <c r="M987" s="595">
        <v>8.9053000000000004</v>
      </c>
      <c r="N987" s="454" t="s">
        <v>813</v>
      </c>
      <c r="O987" s="118">
        <v>27240000</v>
      </c>
      <c r="P987" s="491">
        <f t="shared" si="22"/>
        <v>27240000</v>
      </c>
    </row>
    <row r="988" spans="2:16" ht="53.25" customHeight="1" x14ac:dyDescent="0.3">
      <c r="B988" s="440">
        <v>28</v>
      </c>
      <c r="C988" s="451" t="s">
        <v>1221</v>
      </c>
      <c r="D988" s="452" t="s">
        <v>856</v>
      </c>
      <c r="E988" s="572" t="s">
        <v>1826</v>
      </c>
      <c r="F988" s="509">
        <v>42</v>
      </c>
      <c r="G988" s="570" t="s">
        <v>718</v>
      </c>
      <c r="H988" s="509" t="s">
        <v>846</v>
      </c>
      <c r="I988" s="570" t="s">
        <v>782</v>
      </c>
      <c r="J988" s="496" t="s">
        <v>815</v>
      </c>
      <c r="K988" s="451" t="s">
        <v>728</v>
      </c>
      <c r="L988" s="587">
        <v>7.4987500000000002</v>
      </c>
      <c r="M988" s="587">
        <v>9.6113769999999992</v>
      </c>
      <c r="N988" s="454" t="s">
        <v>813</v>
      </c>
      <c r="O988" s="118">
        <v>794749.96</v>
      </c>
      <c r="P988" s="491">
        <f t="shared" si="22"/>
        <v>33379498.32</v>
      </c>
    </row>
    <row r="989" spans="2:16" ht="49.5" x14ac:dyDescent="0.3">
      <c r="B989" s="440">
        <v>29</v>
      </c>
      <c r="C989" s="451" t="s">
        <v>1222</v>
      </c>
      <c r="D989" s="452" t="s">
        <v>1260</v>
      </c>
      <c r="E989" s="572" t="s">
        <v>1826</v>
      </c>
      <c r="F989" s="509">
        <v>42</v>
      </c>
      <c r="G989" s="451" t="s">
        <v>718</v>
      </c>
      <c r="H989" s="451" t="s">
        <v>828</v>
      </c>
      <c r="I989" s="451" t="s">
        <v>797</v>
      </c>
      <c r="J989" s="496" t="s">
        <v>815</v>
      </c>
      <c r="K989" s="451" t="s">
        <v>728</v>
      </c>
      <c r="L989" s="586">
        <v>7.3753000000000002</v>
      </c>
      <c r="M989" s="590">
        <v>9.9247999999999994</v>
      </c>
      <c r="N989" s="454" t="s">
        <v>813</v>
      </c>
      <c r="O989" s="118">
        <v>794749.96</v>
      </c>
      <c r="P989" s="491">
        <f t="shared" si="22"/>
        <v>33379498.32</v>
      </c>
    </row>
    <row r="990" spans="2:16" ht="49.5" x14ac:dyDescent="0.3">
      <c r="B990" s="440">
        <v>30</v>
      </c>
      <c r="C990" s="451" t="s">
        <v>1223</v>
      </c>
      <c r="D990" s="452" t="s">
        <v>796</v>
      </c>
      <c r="E990" s="644" t="s">
        <v>1543</v>
      </c>
      <c r="F990" s="596">
        <v>140</v>
      </c>
      <c r="G990" s="451" t="s">
        <v>717</v>
      </c>
      <c r="H990" s="451" t="s">
        <v>781</v>
      </c>
      <c r="I990" s="451" t="s">
        <v>782</v>
      </c>
      <c r="J990" s="496" t="s">
        <v>815</v>
      </c>
      <c r="K990" s="451" t="s">
        <v>728</v>
      </c>
      <c r="L990" s="597">
        <v>7.7075760000000004</v>
      </c>
      <c r="M990" s="597">
        <v>8.532451</v>
      </c>
      <c r="N990" s="454" t="s">
        <v>813</v>
      </c>
      <c r="O990" s="466">
        <v>397374.98</v>
      </c>
      <c r="P990" s="491">
        <f t="shared" si="22"/>
        <v>55632497.199999996</v>
      </c>
    </row>
    <row r="991" spans="2:16" ht="49.5" x14ac:dyDescent="0.3">
      <c r="B991" s="440">
        <v>31</v>
      </c>
      <c r="C991" s="451" t="s">
        <v>1224</v>
      </c>
      <c r="D991" s="452" t="s">
        <v>856</v>
      </c>
      <c r="E991" s="644" t="s">
        <v>1543</v>
      </c>
      <c r="F991" s="509">
        <v>200</v>
      </c>
      <c r="G991" s="570" t="s">
        <v>718</v>
      </c>
      <c r="H991" s="453" t="s">
        <v>846</v>
      </c>
      <c r="I991" s="570" t="s">
        <v>782</v>
      </c>
      <c r="J991" s="496" t="s">
        <v>815</v>
      </c>
      <c r="K991" s="570" t="s">
        <v>734</v>
      </c>
      <c r="L991" s="587">
        <v>7.4987500000000002</v>
      </c>
      <c r="M991" s="587">
        <v>9.6113769999999992</v>
      </c>
      <c r="N991" s="454" t="s">
        <v>813</v>
      </c>
      <c r="O991" s="118">
        <v>397374.98</v>
      </c>
      <c r="P991" s="491">
        <f t="shared" si="22"/>
        <v>79474996</v>
      </c>
    </row>
    <row r="992" spans="2:16" ht="49.5" x14ac:dyDescent="0.3">
      <c r="B992" s="440">
        <v>32</v>
      </c>
      <c r="C992" s="451" t="s">
        <v>1225</v>
      </c>
      <c r="D992" s="452" t="s">
        <v>810</v>
      </c>
      <c r="E992" s="644" t="s">
        <v>1543</v>
      </c>
      <c r="F992" s="459">
        <v>120</v>
      </c>
      <c r="G992" s="451" t="s">
        <v>717</v>
      </c>
      <c r="H992" s="451" t="s">
        <v>801</v>
      </c>
      <c r="I992" s="534" t="s">
        <v>782</v>
      </c>
      <c r="J992" s="451" t="s">
        <v>815</v>
      </c>
      <c r="K992" s="451" t="s">
        <v>728</v>
      </c>
      <c r="L992" s="598">
        <v>6.8022200000000002</v>
      </c>
      <c r="M992" s="599">
        <v>9.0302769999999999</v>
      </c>
      <c r="N992" s="454" t="s">
        <v>813</v>
      </c>
      <c r="O992" s="466">
        <v>397374.98</v>
      </c>
      <c r="P992" s="491">
        <f t="shared" si="22"/>
        <v>47684997.599999994</v>
      </c>
    </row>
    <row r="993" spans="2:16" ht="49.5" x14ac:dyDescent="0.3">
      <c r="B993" s="440">
        <v>33</v>
      </c>
      <c r="C993" s="451" t="s">
        <v>1226</v>
      </c>
      <c r="D993" s="458" t="s">
        <v>859</v>
      </c>
      <c r="E993" s="644" t="s">
        <v>1543</v>
      </c>
      <c r="F993" s="509">
        <v>80</v>
      </c>
      <c r="G993" s="570" t="s">
        <v>718</v>
      </c>
      <c r="H993" s="509" t="s">
        <v>860</v>
      </c>
      <c r="I993" s="570" t="s">
        <v>797</v>
      </c>
      <c r="J993" s="496" t="s">
        <v>815</v>
      </c>
      <c r="K993" s="570" t="s">
        <v>728</v>
      </c>
      <c r="L993" s="600">
        <v>7.9481000000000002</v>
      </c>
      <c r="M993" s="600">
        <v>9.4594400000000007</v>
      </c>
      <c r="N993" s="454" t="s">
        <v>813</v>
      </c>
      <c r="O993" s="118">
        <v>397374.98</v>
      </c>
      <c r="P993" s="491">
        <f t="shared" ref="P993:P1024" si="23">F993*O993</f>
        <v>31789998.399999999</v>
      </c>
    </row>
    <row r="994" spans="2:16" ht="49.5" x14ac:dyDescent="0.3">
      <c r="B994" s="440">
        <v>34</v>
      </c>
      <c r="C994" s="451" t="s">
        <v>1227</v>
      </c>
      <c r="D994" s="649" t="s">
        <v>800</v>
      </c>
      <c r="E994" s="644" t="s">
        <v>1543</v>
      </c>
      <c r="F994" s="459">
        <v>60</v>
      </c>
      <c r="G994" s="570" t="s">
        <v>716</v>
      </c>
      <c r="H994" s="453" t="s">
        <v>801</v>
      </c>
      <c r="I994" s="570" t="s">
        <v>782</v>
      </c>
      <c r="J994" s="496" t="s">
        <v>815</v>
      </c>
      <c r="K994" s="451" t="s">
        <v>728</v>
      </c>
      <c r="L994" s="600">
        <v>7.0109399999999997</v>
      </c>
      <c r="M994" s="600">
        <v>7.8510200000000001</v>
      </c>
      <c r="N994" s="454" t="s">
        <v>813</v>
      </c>
      <c r="O994" s="466">
        <v>397374.98</v>
      </c>
      <c r="P994" s="491">
        <f t="shared" si="23"/>
        <v>23842498.799999997</v>
      </c>
    </row>
    <row r="995" spans="2:16" ht="49.5" x14ac:dyDescent="0.3">
      <c r="B995" s="440">
        <v>35</v>
      </c>
      <c r="C995" s="451" t="s">
        <v>1228</v>
      </c>
      <c r="D995" s="455" t="s">
        <v>816</v>
      </c>
      <c r="E995" s="644" t="s">
        <v>1543</v>
      </c>
      <c r="F995" s="459">
        <v>120</v>
      </c>
      <c r="G995" s="570" t="s">
        <v>718</v>
      </c>
      <c r="H995" s="453" t="s">
        <v>848</v>
      </c>
      <c r="I995" s="570" t="s">
        <v>782</v>
      </c>
      <c r="J995" s="496" t="s">
        <v>815</v>
      </c>
      <c r="K995" s="451" t="s">
        <v>728</v>
      </c>
      <c r="L995" s="600">
        <v>6.8137369999999997</v>
      </c>
      <c r="M995" s="600">
        <v>9.0431570000000008</v>
      </c>
      <c r="N995" s="454" t="s">
        <v>813</v>
      </c>
      <c r="O995" s="466">
        <v>397374.98</v>
      </c>
      <c r="P995" s="491">
        <f t="shared" si="23"/>
        <v>47684997.599999994</v>
      </c>
    </row>
    <row r="996" spans="2:16" ht="49.5" x14ac:dyDescent="0.3">
      <c r="B996" s="440">
        <v>36</v>
      </c>
      <c r="C996" s="451" t="s">
        <v>1229</v>
      </c>
      <c r="D996" s="442" t="s">
        <v>817</v>
      </c>
      <c r="E996" s="644" t="s">
        <v>1543</v>
      </c>
      <c r="F996" s="459">
        <v>60</v>
      </c>
      <c r="G996" s="570" t="s">
        <v>717</v>
      </c>
      <c r="H996" s="453" t="s">
        <v>785</v>
      </c>
      <c r="I996" s="570" t="s">
        <v>797</v>
      </c>
      <c r="J996" s="496" t="s">
        <v>815</v>
      </c>
      <c r="K996" s="451" t="s">
        <v>728</v>
      </c>
      <c r="L996" s="587">
        <v>7.5011729999999996</v>
      </c>
      <c r="M996" s="587">
        <v>8.4424430000000008</v>
      </c>
      <c r="N996" s="454" t="s">
        <v>813</v>
      </c>
      <c r="O996" s="466">
        <v>397374.98</v>
      </c>
      <c r="P996" s="491">
        <f t="shared" si="23"/>
        <v>23842498.799999997</v>
      </c>
    </row>
    <row r="997" spans="2:16" ht="49.5" x14ac:dyDescent="0.3">
      <c r="B997" s="440">
        <v>37</v>
      </c>
      <c r="C997" s="451" t="s">
        <v>1230</v>
      </c>
      <c r="D997" s="649" t="s">
        <v>803</v>
      </c>
      <c r="E997" s="644" t="s">
        <v>1543</v>
      </c>
      <c r="F997" s="459">
        <v>60</v>
      </c>
      <c r="G997" s="570" t="s">
        <v>717</v>
      </c>
      <c r="H997" s="453" t="s">
        <v>804</v>
      </c>
      <c r="I997" s="570" t="s">
        <v>797</v>
      </c>
      <c r="J997" s="496" t="s">
        <v>815</v>
      </c>
      <c r="K997" s="451" t="s">
        <v>728</v>
      </c>
      <c r="L997" s="600">
        <v>7.1899100000000002</v>
      </c>
      <c r="M997" s="600">
        <v>8.3689099999999996</v>
      </c>
      <c r="N997" s="454" t="s">
        <v>813</v>
      </c>
      <c r="O997" s="466">
        <v>397374.98</v>
      </c>
      <c r="P997" s="491">
        <f t="shared" si="23"/>
        <v>23842498.799999997</v>
      </c>
    </row>
    <row r="998" spans="2:16" ht="49.5" x14ac:dyDescent="0.3">
      <c r="B998" s="440">
        <v>38</v>
      </c>
      <c r="C998" s="451" t="s">
        <v>1231</v>
      </c>
      <c r="D998" s="458" t="s">
        <v>855</v>
      </c>
      <c r="E998" s="644" t="s">
        <v>1543</v>
      </c>
      <c r="F998" s="459">
        <v>300</v>
      </c>
      <c r="G998" s="570" t="s">
        <v>717</v>
      </c>
      <c r="H998" s="453" t="s">
        <v>781</v>
      </c>
      <c r="I998" s="570" t="s">
        <v>797</v>
      </c>
      <c r="J998" s="496" t="s">
        <v>815</v>
      </c>
      <c r="K998" s="570" t="s">
        <v>734</v>
      </c>
      <c r="L998" s="600">
        <v>7.0188800000000002</v>
      </c>
      <c r="M998" s="600">
        <v>8.2477199999999993</v>
      </c>
      <c r="N998" s="454" t="s">
        <v>813</v>
      </c>
      <c r="O998" s="466">
        <v>397374.98</v>
      </c>
      <c r="P998" s="491">
        <f t="shared" si="23"/>
        <v>119212494</v>
      </c>
    </row>
    <row r="999" spans="2:16" ht="49.5" x14ac:dyDescent="0.3">
      <c r="B999" s="440">
        <v>39</v>
      </c>
      <c r="C999" s="451" t="s">
        <v>1232</v>
      </c>
      <c r="D999" s="591" t="s">
        <v>818</v>
      </c>
      <c r="E999" s="644" t="s">
        <v>1543</v>
      </c>
      <c r="F999" s="459">
        <v>60</v>
      </c>
      <c r="G999" s="570" t="s">
        <v>717</v>
      </c>
      <c r="H999" s="453" t="s">
        <v>846</v>
      </c>
      <c r="I999" s="570" t="s">
        <v>782</v>
      </c>
      <c r="J999" s="496" t="s">
        <v>815</v>
      </c>
      <c r="K999" s="570" t="s">
        <v>728</v>
      </c>
      <c r="L999" s="601">
        <v>7.5691699999999997</v>
      </c>
      <c r="M999" s="600">
        <v>9.78139</v>
      </c>
      <c r="N999" s="454" t="s">
        <v>813</v>
      </c>
      <c r="O999" s="466">
        <v>397374.98</v>
      </c>
      <c r="P999" s="491">
        <f t="shared" si="23"/>
        <v>23842498.799999997</v>
      </c>
    </row>
    <row r="1000" spans="2:16" ht="51.75" customHeight="1" x14ac:dyDescent="0.3">
      <c r="B1000" s="440">
        <v>40</v>
      </c>
      <c r="C1000" s="451" t="s">
        <v>1233</v>
      </c>
      <c r="D1000" s="458" t="s">
        <v>788</v>
      </c>
      <c r="E1000" s="644" t="s">
        <v>1543</v>
      </c>
      <c r="F1000" s="451">
        <v>200</v>
      </c>
      <c r="G1000" s="451" t="s">
        <v>718</v>
      </c>
      <c r="H1000" s="451" t="s">
        <v>806</v>
      </c>
      <c r="I1000" s="451" t="s">
        <v>797</v>
      </c>
      <c r="J1000" s="496" t="s">
        <v>815</v>
      </c>
      <c r="K1000" s="570" t="s">
        <v>734</v>
      </c>
      <c r="L1000" s="602">
        <v>6.8137369999999997</v>
      </c>
      <c r="M1000" s="602">
        <v>9.0431570000000008</v>
      </c>
      <c r="N1000" s="454" t="s">
        <v>813</v>
      </c>
      <c r="O1000" s="466">
        <v>397374.98</v>
      </c>
      <c r="P1000" s="491">
        <f t="shared" si="23"/>
        <v>79474996</v>
      </c>
    </row>
    <row r="1001" spans="2:16" ht="49.5" x14ac:dyDescent="0.3">
      <c r="B1001" s="440">
        <v>41</v>
      </c>
      <c r="C1001" s="451" t="s">
        <v>1234</v>
      </c>
      <c r="D1001" s="455" t="s">
        <v>857</v>
      </c>
      <c r="E1001" s="644" t="s">
        <v>1543</v>
      </c>
      <c r="F1001" s="509">
        <v>260</v>
      </c>
      <c r="G1001" s="570" t="s">
        <v>718</v>
      </c>
      <c r="H1001" s="453" t="s">
        <v>850</v>
      </c>
      <c r="I1001" s="570" t="s">
        <v>782</v>
      </c>
      <c r="J1001" s="496" t="s">
        <v>815</v>
      </c>
      <c r="K1001" s="570" t="s">
        <v>734</v>
      </c>
      <c r="L1001" s="598">
        <v>7.2247310000000002</v>
      </c>
      <c r="M1001" s="599">
        <v>8.1036509999999993</v>
      </c>
      <c r="N1001" s="454" t="s">
        <v>813</v>
      </c>
      <c r="O1001" s="118">
        <v>397374.98</v>
      </c>
      <c r="P1001" s="491">
        <f t="shared" si="23"/>
        <v>103317494.8</v>
      </c>
    </row>
    <row r="1002" spans="2:16" ht="66" hidden="1" x14ac:dyDescent="0.3">
      <c r="B1002" s="440">
        <v>42</v>
      </c>
      <c r="C1002" s="451" t="s">
        <v>1261</v>
      </c>
      <c r="D1002" s="452" t="s">
        <v>796</v>
      </c>
      <c r="E1002" s="607" t="s">
        <v>1544</v>
      </c>
      <c r="F1002" s="610"/>
      <c r="G1002" s="608" t="s">
        <v>717</v>
      </c>
      <c r="H1002" s="453" t="s">
        <v>781</v>
      </c>
      <c r="I1002" s="570" t="s">
        <v>797</v>
      </c>
      <c r="J1002" s="496" t="s">
        <v>1545</v>
      </c>
      <c r="K1002" s="570" t="s">
        <v>728</v>
      </c>
      <c r="L1002" s="597">
        <v>7.7075760000000004</v>
      </c>
      <c r="M1002" s="597">
        <v>8.532451</v>
      </c>
      <c r="N1002" s="454" t="s">
        <v>813</v>
      </c>
      <c r="O1002" s="118">
        <v>450116.32171286503</v>
      </c>
      <c r="P1002" s="491">
        <f t="shared" si="23"/>
        <v>0</v>
      </c>
    </row>
    <row r="1003" spans="2:16" ht="53.25" hidden="1" customHeight="1" x14ac:dyDescent="0.3">
      <c r="B1003" s="440">
        <v>43</v>
      </c>
      <c r="C1003" s="451" t="s">
        <v>1262</v>
      </c>
      <c r="D1003" s="452" t="s">
        <v>856</v>
      </c>
      <c r="E1003" s="607" t="s">
        <v>1544</v>
      </c>
      <c r="F1003" s="610"/>
      <c r="G1003" s="608" t="s">
        <v>717</v>
      </c>
      <c r="H1003" s="453" t="s">
        <v>846</v>
      </c>
      <c r="I1003" s="570" t="s">
        <v>797</v>
      </c>
      <c r="J1003" s="652" t="s">
        <v>1545</v>
      </c>
      <c r="K1003" s="570" t="s">
        <v>728</v>
      </c>
      <c r="L1003" s="587">
        <v>7.4987500000000002</v>
      </c>
      <c r="M1003" s="587">
        <v>9.6113769999999992</v>
      </c>
      <c r="N1003" s="454" t="s">
        <v>813</v>
      </c>
      <c r="O1003" s="118">
        <v>450116.32171286503</v>
      </c>
      <c r="P1003" s="491">
        <f t="shared" si="23"/>
        <v>0</v>
      </c>
    </row>
    <row r="1004" spans="2:16" ht="50.25" hidden="1" customHeight="1" x14ac:dyDescent="0.3">
      <c r="B1004" s="440">
        <v>44</v>
      </c>
      <c r="C1004" s="451" t="s">
        <v>1263</v>
      </c>
      <c r="D1004" s="452" t="s">
        <v>810</v>
      </c>
      <c r="E1004" s="607" t="s">
        <v>1544</v>
      </c>
      <c r="F1004" s="610"/>
      <c r="G1004" s="608" t="s">
        <v>717</v>
      </c>
      <c r="H1004" s="453" t="s">
        <v>801</v>
      </c>
      <c r="I1004" s="570" t="s">
        <v>782</v>
      </c>
      <c r="J1004" s="652" t="s">
        <v>1545</v>
      </c>
      <c r="K1004" s="570" t="s">
        <v>728</v>
      </c>
      <c r="L1004" s="598">
        <v>6.8022200000000002</v>
      </c>
      <c r="M1004" s="599">
        <v>9.0302769999999999</v>
      </c>
      <c r="N1004" s="454" t="s">
        <v>813</v>
      </c>
      <c r="O1004" s="118">
        <v>450116.32171286503</v>
      </c>
      <c r="P1004" s="491">
        <f t="shared" si="23"/>
        <v>0</v>
      </c>
    </row>
    <row r="1005" spans="2:16" ht="66" hidden="1" x14ac:dyDescent="0.3">
      <c r="B1005" s="440">
        <v>45</v>
      </c>
      <c r="C1005" s="451" t="s">
        <v>1264</v>
      </c>
      <c r="D1005" s="458" t="s">
        <v>859</v>
      </c>
      <c r="E1005" s="607" t="s">
        <v>1544</v>
      </c>
      <c r="F1005" s="610"/>
      <c r="G1005" s="608" t="s">
        <v>717</v>
      </c>
      <c r="H1005" s="453" t="s">
        <v>860</v>
      </c>
      <c r="I1005" s="570" t="s">
        <v>782</v>
      </c>
      <c r="J1005" s="652" t="s">
        <v>1545</v>
      </c>
      <c r="K1005" s="570" t="s">
        <v>728</v>
      </c>
      <c r="L1005" s="600">
        <v>7.9481000000000002</v>
      </c>
      <c r="M1005" s="600">
        <v>9.4594400000000007</v>
      </c>
      <c r="N1005" s="454" t="s">
        <v>813</v>
      </c>
      <c r="O1005" s="118">
        <v>450116.32171286503</v>
      </c>
      <c r="P1005" s="491">
        <f t="shared" si="23"/>
        <v>0</v>
      </c>
    </row>
    <row r="1006" spans="2:16" ht="66" hidden="1" x14ac:dyDescent="0.3">
      <c r="B1006" s="440">
        <v>46</v>
      </c>
      <c r="C1006" s="451" t="s">
        <v>1265</v>
      </c>
      <c r="D1006" s="649" t="s">
        <v>800</v>
      </c>
      <c r="E1006" s="607" t="s">
        <v>1544</v>
      </c>
      <c r="F1006" s="610"/>
      <c r="G1006" s="608" t="s">
        <v>718</v>
      </c>
      <c r="H1006" s="453" t="s">
        <v>801</v>
      </c>
      <c r="I1006" s="570" t="s">
        <v>782</v>
      </c>
      <c r="J1006" s="652" t="s">
        <v>1545</v>
      </c>
      <c r="K1006" s="570" t="s">
        <v>728</v>
      </c>
      <c r="L1006" s="600">
        <v>7.0109399999999997</v>
      </c>
      <c r="M1006" s="600">
        <v>7.8510200000000001</v>
      </c>
      <c r="N1006" s="454" t="s">
        <v>813</v>
      </c>
      <c r="O1006" s="118">
        <v>450116.32171286503</v>
      </c>
      <c r="P1006" s="491">
        <f t="shared" si="23"/>
        <v>0</v>
      </c>
    </row>
    <row r="1007" spans="2:16" ht="66" hidden="1" x14ac:dyDescent="0.3">
      <c r="B1007" s="440">
        <v>47</v>
      </c>
      <c r="C1007" s="451" t="s">
        <v>1266</v>
      </c>
      <c r="D1007" s="455" t="s">
        <v>816</v>
      </c>
      <c r="E1007" s="607" t="s">
        <v>1544</v>
      </c>
      <c r="F1007" s="610"/>
      <c r="G1007" s="608" t="s">
        <v>717</v>
      </c>
      <c r="H1007" s="453" t="s">
        <v>848</v>
      </c>
      <c r="I1007" s="570" t="s">
        <v>782</v>
      </c>
      <c r="J1007" s="652" t="s">
        <v>1545</v>
      </c>
      <c r="K1007" s="570" t="s">
        <v>728</v>
      </c>
      <c r="L1007" s="600">
        <v>6.8137369999999997</v>
      </c>
      <c r="M1007" s="600">
        <v>9.0431570000000008</v>
      </c>
      <c r="N1007" s="454" t="s">
        <v>813</v>
      </c>
      <c r="O1007" s="118">
        <v>450116.32171286503</v>
      </c>
      <c r="P1007" s="491">
        <f t="shared" si="23"/>
        <v>0</v>
      </c>
    </row>
    <row r="1008" spans="2:16" ht="66" hidden="1" x14ac:dyDescent="0.3">
      <c r="B1008" s="440">
        <v>48</v>
      </c>
      <c r="C1008" s="451" t="s">
        <v>1267</v>
      </c>
      <c r="D1008" s="693" t="s">
        <v>817</v>
      </c>
      <c r="E1008" s="607" t="s">
        <v>1544</v>
      </c>
      <c r="F1008" s="610"/>
      <c r="G1008" s="608" t="s">
        <v>717</v>
      </c>
      <c r="H1008" s="453" t="s">
        <v>785</v>
      </c>
      <c r="I1008" s="570" t="s">
        <v>782</v>
      </c>
      <c r="J1008" s="652" t="s">
        <v>1545</v>
      </c>
      <c r="K1008" s="570" t="s">
        <v>728</v>
      </c>
      <c r="L1008" s="587">
        <v>7.5011729999999996</v>
      </c>
      <c r="M1008" s="587">
        <v>8.4424430000000008</v>
      </c>
      <c r="N1008" s="454" t="s">
        <v>813</v>
      </c>
      <c r="O1008" s="118">
        <v>450116.32171286503</v>
      </c>
      <c r="P1008" s="491">
        <f t="shared" si="23"/>
        <v>0</v>
      </c>
    </row>
    <row r="1009" spans="2:16" ht="66" hidden="1" x14ac:dyDescent="0.3">
      <c r="B1009" s="440">
        <v>49</v>
      </c>
      <c r="C1009" s="451" t="s">
        <v>1268</v>
      </c>
      <c r="D1009" s="649" t="s">
        <v>803</v>
      </c>
      <c r="E1009" s="607" t="s">
        <v>1544</v>
      </c>
      <c r="F1009" s="610"/>
      <c r="G1009" s="608" t="s">
        <v>716</v>
      </c>
      <c r="H1009" s="453" t="s">
        <v>804</v>
      </c>
      <c r="I1009" s="570" t="s">
        <v>797</v>
      </c>
      <c r="J1009" s="652" t="s">
        <v>1545</v>
      </c>
      <c r="K1009" s="570" t="s">
        <v>728</v>
      </c>
      <c r="L1009" s="600">
        <v>7.1899100000000002</v>
      </c>
      <c r="M1009" s="600">
        <v>8.3689099999999996</v>
      </c>
      <c r="N1009" s="454" t="s">
        <v>813</v>
      </c>
      <c r="O1009" s="118">
        <v>450116.32171286503</v>
      </c>
      <c r="P1009" s="491">
        <f t="shared" si="23"/>
        <v>0</v>
      </c>
    </row>
    <row r="1010" spans="2:16" ht="66" hidden="1" x14ac:dyDescent="0.3">
      <c r="B1010" s="440">
        <v>50</v>
      </c>
      <c r="C1010" s="451" t="s">
        <v>1269</v>
      </c>
      <c r="D1010" s="458" t="s">
        <v>855</v>
      </c>
      <c r="E1010" s="607" t="s">
        <v>1544</v>
      </c>
      <c r="F1010" s="610"/>
      <c r="G1010" s="608" t="s">
        <v>718</v>
      </c>
      <c r="H1010" s="453" t="s">
        <v>781</v>
      </c>
      <c r="I1010" s="570" t="s">
        <v>797</v>
      </c>
      <c r="J1010" s="652" t="s">
        <v>1545</v>
      </c>
      <c r="K1010" s="570" t="s">
        <v>728</v>
      </c>
      <c r="L1010" s="600">
        <v>7.0188800000000002</v>
      </c>
      <c r="M1010" s="600">
        <v>8.2477199999999993</v>
      </c>
      <c r="N1010" s="454" t="s">
        <v>813</v>
      </c>
      <c r="O1010" s="118">
        <v>450116.32171286503</v>
      </c>
      <c r="P1010" s="491">
        <f t="shared" si="23"/>
        <v>0</v>
      </c>
    </row>
    <row r="1011" spans="2:16" ht="66" hidden="1" x14ac:dyDescent="0.3">
      <c r="B1011" s="440">
        <v>51</v>
      </c>
      <c r="C1011" s="451" t="s">
        <v>1270</v>
      </c>
      <c r="D1011" s="591" t="s">
        <v>818</v>
      </c>
      <c r="E1011" s="607" t="s">
        <v>1544</v>
      </c>
      <c r="F1011" s="610"/>
      <c r="G1011" s="608" t="s">
        <v>716</v>
      </c>
      <c r="H1011" s="453" t="s">
        <v>846</v>
      </c>
      <c r="I1011" s="570" t="s">
        <v>782</v>
      </c>
      <c r="J1011" s="652" t="s">
        <v>1545</v>
      </c>
      <c r="K1011" s="570" t="s">
        <v>728</v>
      </c>
      <c r="L1011" s="600">
        <v>7.5691699999999997</v>
      </c>
      <c r="M1011" s="601">
        <v>9.78139</v>
      </c>
      <c r="N1011" s="454" t="s">
        <v>813</v>
      </c>
      <c r="O1011" s="118">
        <v>450116.32171286503</v>
      </c>
      <c r="P1011" s="491">
        <f t="shared" si="23"/>
        <v>0</v>
      </c>
    </row>
    <row r="1012" spans="2:16" ht="66" hidden="1" x14ac:dyDescent="0.3">
      <c r="B1012" s="440">
        <v>52</v>
      </c>
      <c r="C1012" s="451" t="s">
        <v>1271</v>
      </c>
      <c r="D1012" s="458" t="s">
        <v>788</v>
      </c>
      <c r="E1012" s="607" t="s">
        <v>1544</v>
      </c>
      <c r="F1012" s="610"/>
      <c r="G1012" s="608" t="s">
        <v>716</v>
      </c>
      <c r="H1012" s="453" t="s">
        <v>806</v>
      </c>
      <c r="I1012" s="570" t="s">
        <v>782</v>
      </c>
      <c r="J1012" s="652" t="s">
        <v>1545</v>
      </c>
      <c r="K1012" s="570" t="s">
        <v>728</v>
      </c>
      <c r="L1012" s="602">
        <v>6.8137369999999997</v>
      </c>
      <c r="M1012" s="602">
        <v>9.0431570000000008</v>
      </c>
      <c r="N1012" s="454" t="s">
        <v>813</v>
      </c>
      <c r="O1012" s="118">
        <v>450116.32171286503</v>
      </c>
      <c r="P1012" s="491">
        <f t="shared" si="23"/>
        <v>0</v>
      </c>
    </row>
    <row r="1013" spans="2:16" ht="66" hidden="1" x14ac:dyDescent="0.3">
      <c r="B1013" s="440">
        <v>53</v>
      </c>
      <c r="C1013" s="451" t="s">
        <v>1272</v>
      </c>
      <c r="D1013" s="460" t="s">
        <v>857</v>
      </c>
      <c r="E1013" s="607" t="s">
        <v>1544</v>
      </c>
      <c r="F1013" s="610"/>
      <c r="G1013" s="608" t="s">
        <v>717</v>
      </c>
      <c r="H1013" s="453" t="s">
        <v>850</v>
      </c>
      <c r="I1013" s="570" t="s">
        <v>782</v>
      </c>
      <c r="J1013" s="652" t="s">
        <v>1545</v>
      </c>
      <c r="K1013" s="570" t="s">
        <v>728</v>
      </c>
      <c r="L1013" s="598">
        <v>7.2247310000000002</v>
      </c>
      <c r="M1013" s="599">
        <v>8.1036509999999993</v>
      </c>
      <c r="N1013" s="454" t="s">
        <v>813</v>
      </c>
      <c r="O1013" s="118">
        <v>450116.32171286503</v>
      </c>
      <c r="P1013" s="491">
        <f t="shared" si="23"/>
        <v>0</v>
      </c>
    </row>
    <row r="1014" spans="2:16" ht="66" hidden="1" x14ac:dyDescent="0.3">
      <c r="B1014" s="440">
        <v>54</v>
      </c>
      <c r="C1014" s="451" t="s">
        <v>1273</v>
      </c>
      <c r="D1014" s="603" t="s">
        <v>1252</v>
      </c>
      <c r="E1014" s="607" t="s">
        <v>1544</v>
      </c>
      <c r="F1014" s="610"/>
      <c r="G1014" s="608" t="s">
        <v>716</v>
      </c>
      <c r="H1014" s="453" t="s">
        <v>825</v>
      </c>
      <c r="I1014" s="570" t="s">
        <v>797</v>
      </c>
      <c r="J1014" s="652" t="s">
        <v>1545</v>
      </c>
      <c r="K1014" s="570" t="s">
        <v>728</v>
      </c>
      <c r="L1014" s="583">
        <v>7.2138400000000003</v>
      </c>
      <c r="M1014" s="583">
        <v>9.0230999999999995</v>
      </c>
      <c r="N1014" s="454" t="s">
        <v>813</v>
      </c>
      <c r="O1014" s="118">
        <v>450116.32171286503</v>
      </c>
      <c r="P1014" s="491">
        <f t="shared" si="23"/>
        <v>0</v>
      </c>
    </row>
    <row r="1015" spans="2:16" ht="55.5" hidden="1" customHeight="1" x14ac:dyDescent="0.3">
      <c r="B1015" s="440">
        <v>55</v>
      </c>
      <c r="C1015" s="451" t="s">
        <v>1274</v>
      </c>
      <c r="D1015" s="603" t="s">
        <v>1253</v>
      </c>
      <c r="E1015" s="607" t="s">
        <v>1544</v>
      </c>
      <c r="F1015" s="610"/>
      <c r="G1015" s="608" t="s">
        <v>718</v>
      </c>
      <c r="H1015" s="453" t="s">
        <v>781</v>
      </c>
      <c r="I1015" s="570" t="s">
        <v>797</v>
      </c>
      <c r="J1015" s="652" t="s">
        <v>1545</v>
      </c>
      <c r="K1015" s="570" t="s">
        <v>728</v>
      </c>
      <c r="L1015" s="581">
        <v>8.1418999999999997</v>
      </c>
      <c r="M1015" s="581">
        <v>8.9001999999999999</v>
      </c>
      <c r="N1015" s="454" t="s">
        <v>813</v>
      </c>
      <c r="O1015" s="118">
        <v>450116.32171286503</v>
      </c>
      <c r="P1015" s="491">
        <f t="shared" si="23"/>
        <v>0</v>
      </c>
    </row>
    <row r="1016" spans="2:16" ht="63.75" hidden="1" customHeight="1" x14ac:dyDescent="0.3">
      <c r="B1016" s="440">
        <v>56</v>
      </c>
      <c r="C1016" s="451" t="s">
        <v>1275</v>
      </c>
      <c r="D1016" s="603" t="s">
        <v>1254</v>
      </c>
      <c r="E1016" s="607" t="s">
        <v>1544</v>
      </c>
      <c r="F1016" s="610"/>
      <c r="G1016" s="608" t="s">
        <v>716</v>
      </c>
      <c r="H1016" s="453" t="s">
        <v>781</v>
      </c>
      <c r="I1016" s="570" t="s">
        <v>797</v>
      </c>
      <c r="J1016" s="652" t="s">
        <v>1545</v>
      </c>
      <c r="K1016" s="570" t="s">
        <v>728</v>
      </c>
      <c r="L1016" s="592">
        <v>8.2197999999999993</v>
      </c>
      <c r="M1016" s="593">
        <v>8.9053000000000004</v>
      </c>
      <c r="N1016" s="454" t="s">
        <v>813</v>
      </c>
      <c r="O1016" s="118">
        <v>450116.32171286503</v>
      </c>
      <c r="P1016" s="491">
        <f t="shared" si="23"/>
        <v>0</v>
      </c>
    </row>
    <row r="1017" spans="2:16" ht="66" hidden="1" x14ac:dyDescent="0.3">
      <c r="B1017" s="440">
        <v>57</v>
      </c>
      <c r="C1017" s="451" t="s">
        <v>1276</v>
      </c>
      <c r="D1017" s="603" t="s">
        <v>830</v>
      </c>
      <c r="E1017" s="607" t="s">
        <v>1544</v>
      </c>
      <c r="F1017" s="610"/>
      <c r="G1017" s="608" t="s">
        <v>718</v>
      </c>
      <c r="H1017" s="453" t="s">
        <v>804</v>
      </c>
      <c r="I1017" s="570" t="s">
        <v>797</v>
      </c>
      <c r="J1017" s="652" t="s">
        <v>1545</v>
      </c>
      <c r="K1017" s="570" t="s">
        <v>728</v>
      </c>
      <c r="L1017" s="586">
        <v>7.1992000000000003</v>
      </c>
      <c r="M1017" s="595">
        <v>8.1292000000000009</v>
      </c>
      <c r="N1017" s="454" t="s">
        <v>813</v>
      </c>
      <c r="O1017" s="118">
        <v>450116.32171286503</v>
      </c>
      <c r="P1017" s="491">
        <f t="shared" si="23"/>
        <v>0</v>
      </c>
    </row>
    <row r="1018" spans="2:16" ht="66" hidden="1" x14ac:dyDescent="0.3">
      <c r="B1018" s="440">
        <v>58</v>
      </c>
      <c r="C1018" s="451" t="s">
        <v>1277</v>
      </c>
      <c r="D1018" s="603" t="s">
        <v>827</v>
      </c>
      <c r="E1018" s="607" t="s">
        <v>1544</v>
      </c>
      <c r="F1018" s="610"/>
      <c r="G1018" s="608" t="s">
        <v>718</v>
      </c>
      <c r="H1018" s="453" t="s">
        <v>825</v>
      </c>
      <c r="I1018" s="570" t="s">
        <v>797</v>
      </c>
      <c r="J1018" s="652" t="s">
        <v>1545</v>
      </c>
      <c r="K1018" s="570" t="s">
        <v>728</v>
      </c>
      <c r="L1018" s="583">
        <v>7.3608719999999996</v>
      </c>
      <c r="M1018" s="583">
        <v>9.0418620000000001</v>
      </c>
      <c r="N1018" s="454" t="s">
        <v>813</v>
      </c>
      <c r="O1018" s="118">
        <v>450116.32171286503</v>
      </c>
      <c r="P1018" s="491">
        <f t="shared" si="23"/>
        <v>0</v>
      </c>
    </row>
    <row r="1019" spans="2:16" ht="66" hidden="1" x14ac:dyDescent="0.3">
      <c r="B1019" s="440">
        <v>59</v>
      </c>
      <c r="C1019" s="451" t="s">
        <v>1279</v>
      </c>
      <c r="D1019" s="603" t="s">
        <v>814</v>
      </c>
      <c r="E1019" s="607" t="s">
        <v>1544</v>
      </c>
      <c r="F1019" s="610"/>
      <c r="G1019" s="608" t="s">
        <v>716</v>
      </c>
      <c r="H1019" s="453" t="s">
        <v>806</v>
      </c>
      <c r="I1019" s="570" t="s">
        <v>782</v>
      </c>
      <c r="J1019" s="652" t="s">
        <v>1545</v>
      </c>
      <c r="K1019" s="570" t="s">
        <v>728</v>
      </c>
      <c r="L1019" s="587">
        <v>6.8022200000000002</v>
      </c>
      <c r="M1019" s="588">
        <v>9.0302769999999999</v>
      </c>
      <c r="N1019" s="454" t="s">
        <v>813</v>
      </c>
      <c r="O1019" s="118">
        <v>450116.32171286503</v>
      </c>
      <c r="P1019" s="491">
        <f t="shared" si="23"/>
        <v>0</v>
      </c>
    </row>
    <row r="1020" spans="2:16" ht="66" hidden="1" x14ac:dyDescent="0.3">
      <c r="B1020" s="440">
        <v>60</v>
      </c>
      <c r="C1020" s="451" t="s">
        <v>1278</v>
      </c>
      <c r="D1020" s="603" t="s">
        <v>1255</v>
      </c>
      <c r="E1020" s="607" t="s">
        <v>1544</v>
      </c>
      <c r="F1020" s="610"/>
      <c r="G1020" s="608" t="s">
        <v>716</v>
      </c>
      <c r="H1020" s="453" t="s">
        <v>781</v>
      </c>
      <c r="I1020" s="570" t="s">
        <v>797</v>
      </c>
      <c r="J1020" s="652" t="s">
        <v>1545</v>
      </c>
      <c r="K1020" s="570" t="s">
        <v>728</v>
      </c>
      <c r="L1020" s="585">
        <v>7.7588999999999997</v>
      </c>
      <c r="M1020" s="586">
        <v>8.6514000000000006</v>
      </c>
      <c r="N1020" s="454" t="s">
        <v>813</v>
      </c>
      <c r="O1020" s="118">
        <v>450116.32171286503</v>
      </c>
      <c r="P1020" s="491">
        <f t="shared" si="23"/>
        <v>0</v>
      </c>
    </row>
    <row r="1021" spans="2:16" ht="66" hidden="1" x14ac:dyDescent="0.3">
      <c r="B1021" s="440">
        <v>61</v>
      </c>
      <c r="C1021" s="451" t="s">
        <v>1280</v>
      </c>
      <c r="D1021" s="603" t="s">
        <v>826</v>
      </c>
      <c r="E1021" s="607" t="s">
        <v>1544</v>
      </c>
      <c r="F1021" s="610"/>
      <c r="G1021" s="608" t="s">
        <v>717</v>
      </c>
      <c r="H1021" s="453" t="s">
        <v>806</v>
      </c>
      <c r="I1021" s="570" t="s">
        <v>782</v>
      </c>
      <c r="J1021" s="652" t="s">
        <v>1545</v>
      </c>
      <c r="K1021" s="570" t="s">
        <v>728</v>
      </c>
      <c r="L1021" s="587">
        <v>7.00441</v>
      </c>
      <c r="M1021" s="588">
        <v>9.02257</v>
      </c>
      <c r="N1021" s="454" t="s">
        <v>813</v>
      </c>
      <c r="O1021" s="118">
        <v>450116.32171286503</v>
      </c>
      <c r="P1021" s="491">
        <f t="shared" si="23"/>
        <v>0</v>
      </c>
    </row>
    <row r="1022" spans="2:16" ht="66" hidden="1" x14ac:dyDescent="0.3">
      <c r="B1022" s="440">
        <v>62</v>
      </c>
      <c r="C1022" s="451" t="s">
        <v>1281</v>
      </c>
      <c r="D1022" s="603" t="s">
        <v>1256</v>
      </c>
      <c r="E1022" s="607" t="s">
        <v>1544</v>
      </c>
      <c r="F1022" s="610"/>
      <c r="G1022" s="608" t="s">
        <v>716</v>
      </c>
      <c r="H1022" s="453" t="s">
        <v>781</v>
      </c>
      <c r="I1022" s="570" t="s">
        <v>797</v>
      </c>
      <c r="J1022" s="652" t="s">
        <v>1545</v>
      </c>
      <c r="K1022" s="570" t="s">
        <v>728</v>
      </c>
      <c r="L1022" s="585">
        <v>8.2338900000000006</v>
      </c>
      <c r="M1022" s="586">
        <v>8.8736099999999993</v>
      </c>
      <c r="N1022" s="454" t="s">
        <v>813</v>
      </c>
      <c r="O1022" s="118">
        <v>450116.32171286503</v>
      </c>
      <c r="P1022" s="491">
        <f t="shared" si="23"/>
        <v>0</v>
      </c>
    </row>
    <row r="1023" spans="2:16" ht="66" hidden="1" x14ac:dyDescent="0.3">
      <c r="B1023" s="440">
        <v>63</v>
      </c>
      <c r="C1023" s="451" t="s">
        <v>1282</v>
      </c>
      <c r="D1023" s="603" t="s">
        <v>842</v>
      </c>
      <c r="E1023" s="607" t="s">
        <v>1544</v>
      </c>
      <c r="F1023" s="610"/>
      <c r="G1023" s="608" t="s">
        <v>718</v>
      </c>
      <c r="H1023" s="453" t="s">
        <v>806</v>
      </c>
      <c r="I1023" s="570" t="s">
        <v>782</v>
      </c>
      <c r="J1023" s="652" t="s">
        <v>1545</v>
      </c>
      <c r="K1023" s="570" t="s">
        <v>728</v>
      </c>
      <c r="L1023" s="583">
        <v>6.7507200000000003</v>
      </c>
      <c r="M1023" s="583">
        <v>9.2666699999999995</v>
      </c>
      <c r="N1023" s="454" t="s">
        <v>813</v>
      </c>
      <c r="O1023" s="118">
        <v>450116.32171286503</v>
      </c>
      <c r="P1023" s="491">
        <f t="shared" si="23"/>
        <v>0</v>
      </c>
    </row>
    <row r="1024" spans="2:16" ht="66" hidden="1" x14ac:dyDescent="0.3">
      <c r="B1024" s="440">
        <v>64</v>
      </c>
      <c r="C1024" s="451" t="s">
        <v>1283</v>
      </c>
      <c r="D1024" s="603" t="s">
        <v>1257</v>
      </c>
      <c r="E1024" s="607" t="s">
        <v>1544</v>
      </c>
      <c r="F1024" s="610"/>
      <c r="G1024" s="608" t="s">
        <v>718</v>
      </c>
      <c r="H1024" s="453" t="s">
        <v>781</v>
      </c>
      <c r="I1024" s="570" t="s">
        <v>797</v>
      </c>
      <c r="J1024" s="652" t="s">
        <v>1545</v>
      </c>
      <c r="K1024" s="570" t="s">
        <v>728</v>
      </c>
      <c r="L1024" s="585">
        <v>7.7563899999999997</v>
      </c>
      <c r="M1024" s="586">
        <v>8.5500100000000003</v>
      </c>
      <c r="N1024" s="454" t="s">
        <v>813</v>
      </c>
      <c r="O1024" s="118">
        <v>450116.32171286503</v>
      </c>
      <c r="P1024" s="491">
        <f t="shared" si="23"/>
        <v>0</v>
      </c>
    </row>
    <row r="1025" spans="2:16" ht="66" hidden="1" x14ac:dyDescent="0.3">
      <c r="B1025" s="440">
        <v>65</v>
      </c>
      <c r="C1025" s="451" t="s">
        <v>1284</v>
      </c>
      <c r="D1025" s="603" t="s">
        <v>1258</v>
      </c>
      <c r="E1025" s="607" t="s">
        <v>1544</v>
      </c>
      <c r="F1025" s="610"/>
      <c r="G1025" s="608" t="s">
        <v>716</v>
      </c>
      <c r="H1025" s="453" t="s">
        <v>806</v>
      </c>
      <c r="I1025" s="570" t="s">
        <v>782</v>
      </c>
      <c r="J1025" s="652" t="s">
        <v>1545</v>
      </c>
      <c r="K1025" s="570" t="s">
        <v>728</v>
      </c>
      <c r="L1025" s="604">
        <v>6.7507200000000003</v>
      </c>
      <c r="M1025" s="604">
        <v>9.2666699999999995</v>
      </c>
      <c r="N1025" s="454" t="s">
        <v>813</v>
      </c>
      <c r="O1025" s="118">
        <v>450116.32171286503</v>
      </c>
      <c r="P1025" s="491">
        <f t="shared" ref="P1025:P1056" si="24">F1025*O1025</f>
        <v>0</v>
      </c>
    </row>
    <row r="1026" spans="2:16" ht="66" hidden="1" x14ac:dyDescent="0.3">
      <c r="B1026" s="440">
        <v>66</v>
      </c>
      <c r="C1026" s="451" t="s">
        <v>1285</v>
      </c>
      <c r="D1026" s="603" t="s">
        <v>1259</v>
      </c>
      <c r="E1026" s="607" t="s">
        <v>1544</v>
      </c>
      <c r="F1026" s="610"/>
      <c r="G1026" s="608" t="s">
        <v>718</v>
      </c>
      <c r="H1026" s="509" t="s">
        <v>885</v>
      </c>
      <c r="I1026" s="570" t="s">
        <v>782</v>
      </c>
      <c r="J1026" s="652" t="s">
        <v>1545</v>
      </c>
      <c r="K1026" s="570" t="s">
        <v>728</v>
      </c>
      <c r="L1026" s="583">
        <v>6.9333499999999999</v>
      </c>
      <c r="M1026" s="583">
        <v>8.0879539999999999</v>
      </c>
      <c r="N1026" s="454" t="s">
        <v>813</v>
      </c>
      <c r="O1026" s="118">
        <v>450116.32171286503</v>
      </c>
      <c r="P1026" s="491">
        <f t="shared" si="24"/>
        <v>0</v>
      </c>
    </row>
    <row r="1027" spans="2:16" ht="33" hidden="1" x14ac:dyDescent="0.3">
      <c r="B1027" s="440">
        <v>67</v>
      </c>
      <c r="C1027" s="426" t="s">
        <v>839</v>
      </c>
      <c r="D1027" s="605"/>
      <c r="E1027" s="572"/>
      <c r="F1027" s="609"/>
      <c r="G1027" s="426"/>
      <c r="H1027" s="427"/>
      <c r="I1027" s="426"/>
      <c r="J1027" s="427"/>
      <c r="K1027" s="426"/>
      <c r="L1027" s="424"/>
      <c r="M1027" s="424"/>
      <c r="N1027" s="424"/>
      <c r="O1027" s="425">
        <v>397374.98</v>
      </c>
      <c r="P1027" s="491">
        <f t="shared" si="24"/>
        <v>0</v>
      </c>
    </row>
    <row r="1028" spans="2:16" hidden="1" x14ac:dyDescent="0.3">
      <c r="B1028" s="440">
        <v>68</v>
      </c>
      <c r="C1028" s="451"/>
      <c r="D1028" s="457"/>
      <c r="E1028" s="456"/>
      <c r="F1028" s="459"/>
      <c r="G1028" s="451"/>
      <c r="H1028" s="453"/>
      <c r="I1028" s="451"/>
      <c r="J1028" s="453"/>
      <c r="K1028" s="451"/>
      <c r="L1028" s="440"/>
      <c r="M1028" s="440"/>
      <c r="N1028" s="454"/>
      <c r="O1028" s="118"/>
      <c r="P1028" s="491">
        <f t="shared" si="24"/>
        <v>0</v>
      </c>
    </row>
    <row r="1029" spans="2:16" hidden="1" x14ac:dyDescent="0.3">
      <c r="B1029" s="440">
        <v>69</v>
      </c>
      <c r="C1029" s="451"/>
      <c r="D1029" s="457"/>
      <c r="E1029" s="456"/>
      <c r="F1029" s="459"/>
      <c r="G1029" s="451"/>
      <c r="H1029" s="453"/>
      <c r="I1029" s="451"/>
      <c r="J1029" s="453"/>
      <c r="K1029" s="451"/>
      <c r="L1029" s="440"/>
      <c r="M1029" s="440"/>
      <c r="N1029" s="454"/>
      <c r="O1029" s="118"/>
      <c r="P1029" s="491">
        <f t="shared" si="24"/>
        <v>0</v>
      </c>
    </row>
    <row r="1030" spans="2:16" hidden="1" x14ac:dyDescent="0.3">
      <c r="B1030" s="440">
        <v>70</v>
      </c>
      <c r="C1030" s="451"/>
      <c r="D1030" s="457"/>
      <c r="E1030" s="456"/>
      <c r="F1030" s="459"/>
      <c r="G1030" s="451"/>
      <c r="H1030" s="453"/>
      <c r="I1030" s="451"/>
      <c r="J1030" s="453"/>
      <c r="K1030" s="451"/>
      <c r="L1030" s="440"/>
      <c r="M1030" s="440"/>
      <c r="N1030" s="454"/>
      <c r="O1030" s="118"/>
      <c r="P1030" s="491">
        <f t="shared" si="24"/>
        <v>0</v>
      </c>
    </row>
    <row r="1031" spans="2:16" hidden="1" x14ac:dyDescent="0.3">
      <c r="B1031" s="440">
        <v>71</v>
      </c>
      <c r="C1031" s="451"/>
      <c r="D1031" s="457"/>
      <c r="E1031" s="456"/>
      <c r="F1031" s="459"/>
      <c r="G1031" s="451"/>
      <c r="H1031" s="453"/>
      <c r="I1031" s="451"/>
      <c r="J1031" s="453"/>
      <c r="K1031" s="451"/>
      <c r="L1031" s="440"/>
      <c r="M1031" s="440"/>
      <c r="N1031" s="454"/>
      <c r="O1031" s="118"/>
      <c r="P1031" s="491">
        <f t="shared" si="24"/>
        <v>0</v>
      </c>
    </row>
    <row r="1032" spans="2:16" hidden="1" x14ac:dyDescent="0.3">
      <c r="B1032" s="440">
        <v>72</v>
      </c>
      <c r="C1032" s="451"/>
      <c r="D1032" s="457"/>
      <c r="E1032" s="456"/>
      <c r="F1032" s="459"/>
      <c r="G1032" s="451"/>
      <c r="H1032" s="453"/>
      <c r="I1032" s="451"/>
      <c r="J1032" s="453"/>
      <c r="K1032" s="451"/>
      <c r="L1032" s="440"/>
      <c r="M1032" s="440"/>
      <c r="N1032" s="454"/>
      <c r="O1032" s="118"/>
      <c r="P1032" s="491">
        <f t="shared" si="24"/>
        <v>0</v>
      </c>
    </row>
    <row r="1033" spans="2:16" hidden="1" x14ac:dyDescent="0.3">
      <c r="B1033" s="440">
        <v>73</v>
      </c>
      <c r="C1033" s="451"/>
      <c r="D1033" s="457"/>
      <c r="E1033" s="456"/>
      <c r="F1033" s="459"/>
      <c r="G1033" s="451"/>
      <c r="H1033" s="453"/>
      <c r="I1033" s="451"/>
      <c r="J1033" s="453"/>
      <c r="K1033" s="451"/>
      <c r="L1033" s="440"/>
      <c r="M1033" s="440"/>
      <c r="N1033" s="454"/>
      <c r="O1033" s="118"/>
      <c r="P1033" s="491">
        <f t="shared" si="24"/>
        <v>0</v>
      </c>
    </row>
    <row r="1034" spans="2:16" hidden="1" x14ac:dyDescent="0.3">
      <c r="B1034" s="440">
        <v>74</v>
      </c>
      <c r="C1034" s="451"/>
      <c r="D1034" s="457"/>
      <c r="E1034" s="456"/>
      <c r="F1034" s="459"/>
      <c r="G1034" s="451"/>
      <c r="H1034" s="453"/>
      <c r="I1034" s="451"/>
      <c r="J1034" s="453"/>
      <c r="K1034" s="451"/>
      <c r="L1034" s="440"/>
      <c r="M1034" s="440"/>
      <c r="N1034" s="454"/>
      <c r="O1034" s="118"/>
      <c r="P1034" s="491">
        <f t="shared" si="24"/>
        <v>0</v>
      </c>
    </row>
    <row r="1035" spans="2:16" hidden="1" x14ac:dyDescent="0.3">
      <c r="B1035" s="440">
        <v>75</v>
      </c>
      <c r="C1035" s="451"/>
      <c r="D1035" s="457"/>
      <c r="E1035" s="456"/>
      <c r="F1035" s="459"/>
      <c r="G1035" s="451"/>
      <c r="H1035" s="453"/>
      <c r="I1035" s="451"/>
      <c r="J1035" s="453"/>
      <c r="K1035" s="451"/>
      <c r="L1035" s="440"/>
      <c r="M1035" s="440"/>
      <c r="N1035" s="454"/>
      <c r="O1035" s="118"/>
      <c r="P1035" s="491">
        <f t="shared" si="24"/>
        <v>0</v>
      </c>
    </row>
    <row r="1036" spans="2:16" hidden="1" x14ac:dyDescent="0.3">
      <c r="B1036" s="440">
        <v>76</v>
      </c>
      <c r="C1036" s="451"/>
      <c r="D1036" s="457"/>
      <c r="E1036" s="456"/>
      <c r="F1036" s="459"/>
      <c r="G1036" s="451"/>
      <c r="H1036" s="453"/>
      <c r="I1036" s="451"/>
      <c r="J1036" s="453"/>
      <c r="K1036" s="451"/>
      <c r="L1036" s="440"/>
      <c r="M1036" s="440"/>
      <c r="N1036" s="454"/>
      <c r="O1036" s="118"/>
      <c r="P1036" s="491">
        <f t="shared" si="24"/>
        <v>0</v>
      </c>
    </row>
    <row r="1037" spans="2:16" hidden="1" x14ac:dyDescent="0.3">
      <c r="B1037" s="440">
        <v>77</v>
      </c>
      <c r="C1037" s="451"/>
      <c r="D1037" s="457"/>
      <c r="E1037" s="456"/>
      <c r="F1037" s="459"/>
      <c r="G1037" s="451"/>
      <c r="H1037" s="453"/>
      <c r="I1037" s="451"/>
      <c r="J1037" s="453"/>
      <c r="K1037" s="451"/>
      <c r="L1037" s="440"/>
      <c r="M1037" s="440"/>
      <c r="N1037" s="454"/>
      <c r="O1037" s="118"/>
      <c r="P1037" s="491">
        <f t="shared" si="24"/>
        <v>0</v>
      </c>
    </row>
    <row r="1038" spans="2:16" hidden="1" x14ac:dyDescent="0.3">
      <c r="B1038" s="440">
        <v>78</v>
      </c>
      <c r="C1038" s="451"/>
      <c r="D1038" s="457"/>
      <c r="E1038" s="456"/>
      <c r="F1038" s="459"/>
      <c r="G1038" s="451"/>
      <c r="H1038" s="453"/>
      <c r="I1038" s="451"/>
      <c r="J1038" s="453"/>
      <c r="K1038" s="451"/>
      <c r="L1038" s="440"/>
      <c r="M1038" s="440"/>
      <c r="N1038" s="454"/>
      <c r="O1038" s="118"/>
      <c r="P1038" s="491">
        <f t="shared" si="24"/>
        <v>0</v>
      </c>
    </row>
    <row r="1039" spans="2:16" hidden="1" x14ac:dyDescent="0.3">
      <c r="B1039" s="440">
        <v>79</v>
      </c>
      <c r="C1039" s="451"/>
      <c r="D1039" s="457"/>
      <c r="E1039" s="456"/>
      <c r="F1039" s="459"/>
      <c r="G1039" s="451"/>
      <c r="H1039" s="453"/>
      <c r="I1039" s="451"/>
      <c r="J1039" s="453"/>
      <c r="K1039" s="451"/>
      <c r="L1039" s="440"/>
      <c r="M1039" s="440"/>
      <c r="N1039" s="454"/>
      <c r="O1039" s="118"/>
      <c r="P1039" s="491">
        <f t="shared" si="24"/>
        <v>0</v>
      </c>
    </row>
    <row r="1040" spans="2:16" hidden="1" x14ac:dyDescent="0.3">
      <c r="B1040" s="440">
        <v>80</v>
      </c>
      <c r="C1040" s="451"/>
      <c r="D1040" s="457"/>
      <c r="E1040" s="456"/>
      <c r="F1040" s="459"/>
      <c r="G1040" s="451"/>
      <c r="H1040" s="453"/>
      <c r="I1040" s="451"/>
      <c r="J1040" s="453"/>
      <c r="K1040" s="451"/>
      <c r="L1040" s="440"/>
      <c r="M1040" s="440"/>
      <c r="N1040" s="454"/>
      <c r="O1040" s="118"/>
      <c r="P1040" s="491">
        <f t="shared" si="24"/>
        <v>0</v>
      </c>
    </row>
    <row r="1041" spans="2:16" hidden="1" x14ac:dyDescent="0.3">
      <c r="B1041" s="440">
        <v>81</v>
      </c>
      <c r="C1041" s="451"/>
      <c r="D1041" s="457"/>
      <c r="E1041" s="456"/>
      <c r="F1041" s="459"/>
      <c r="G1041" s="451"/>
      <c r="H1041" s="453"/>
      <c r="I1041" s="451"/>
      <c r="J1041" s="453"/>
      <c r="K1041" s="451"/>
      <c r="L1041" s="440"/>
      <c r="M1041" s="440"/>
      <c r="N1041" s="454"/>
      <c r="O1041" s="118"/>
      <c r="P1041" s="491">
        <f t="shared" si="24"/>
        <v>0</v>
      </c>
    </row>
    <row r="1042" spans="2:16" hidden="1" x14ac:dyDescent="0.3">
      <c r="B1042" s="440">
        <v>82</v>
      </c>
      <c r="C1042" s="451"/>
      <c r="D1042" s="457"/>
      <c r="E1042" s="456"/>
      <c r="F1042" s="459"/>
      <c r="G1042" s="451"/>
      <c r="H1042" s="453"/>
      <c r="I1042" s="451"/>
      <c r="J1042" s="453"/>
      <c r="K1042" s="451"/>
      <c r="L1042" s="440"/>
      <c r="M1042" s="440"/>
      <c r="N1042" s="454"/>
      <c r="O1042" s="118"/>
      <c r="P1042" s="491">
        <f t="shared" si="24"/>
        <v>0</v>
      </c>
    </row>
    <row r="1043" spans="2:16" ht="18.95" hidden="1" customHeight="1" x14ac:dyDescent="0.3">
      <c r="B1043" s="440">
        <v>83</v>
      </c>
      <c r="C1043" s="451"/>
      <c r="D1043" s="457"/>
      <c r="E1043" s="456"/>
      <c r="F1043" s="459"/>
      <c r="G1043" s="451"/>
      <c r="H1043" s="453"/>
      <c r="I1043" s="451"/>
      <c r="J1043" s="453"/>
      <c r="K1043" s="451"/>
      <c r="L1043" s="440"/>
      <c r="M1043" s="440"/>
      <c r="N1043" s="454"/>
      <c r="O1043" s="118"/>
      <c r="P1043" s="491">
        <f t="shared" si="24"/>
        <v>0</v>
      </c>
    </row>
    <row r="1044" spans="2:16" hidden="1" x14ac:dyDescent="0.3">
      <c r="B1044" s="440">
        <v>84</v>
      </c>
      <c r="C1044" s="451"/>
      <c r="D1044" s="457"/>
      <c r="E1044" s="456"/>
      <c r="F1044" s="459"/>
      <c r="G1044" s="451"/>
      <c r="H1044" s="453"/>
      <c r="I1044" s="451"/>
      <c r="J1044" s="453"/>
      <c r="K1044" s="451"/>
      <c r="L1044" s="440"/>
      <c r="M1044" s="440"/>
      <c r="N1044" s="454"/>
      <c r="O1044" s="118"/>
      <c r="P1044" s="491">
        <f t="shared" si="24"/>
        <v>0</v>
      </c>
    </row>
    <row r="1045" spans="2:16" hidden="1" x14ac:dyDescent="0.3">
      <c r="B1045" s="440">
        <v>85</v>
      </c>
      <c r="C1045" s="451"/>
      <c r="D1045" s="457"/>
      <c r="E1045" s="456"/>
      <c r="F1045" s="459"/>
      <c r="G1045" s="451"/>
      <c r="H1045" s="453"/>
      <c r="I1045" s="451"/>
      <c r="J1045" s="453"/>
      <c r="K1045" s="451"/>
      <c r="L1045" s="440"/>
      <c r="M1045" s="440"/>
      <c r="N1045" s="454"/>
      <c r="O1045" s="118"/>
      <c r="P1045" s="491">
        <f t="shared" si="24"/>
        <v>0</v>
      </c>
    </row>
    <row r="1046" spans="2:16" hidden="1" x14ac:dyDescent="0.3">
      <c r="B1046" s="440">
        <v>86</v>
      </c>
      <c r="C1046" s="451"/>
      <c r="D1046" s="457"/>
      <c r="E1046" s="456"/>
      <c r="F1046" s="459"/>
      <c r="G1046" s="451"/>
      <c r="H1046" s="453"/>
      <c r="I1046" s="451"/>
      <c r="J1046" s="453"/>
      <c r="K1046" s="451"/>
      <c r="L1046" s="440"/>
      <c r="M1046" s="440"/>
      <c r="N1046" s="454"/>
      <c r="O1046" s="118"/>
      <c r="P1046" s="491">
        <f t="shared" si="24"/>
        <v>0</v>
      </c>
    </row>
    <row r="1047" spans="2:16" hidden="1" x14ac:dyDescent="0.3">
      <c r="B1047" s="440">
        <v>87</v>
      </c>
      <c r="C1047" s="451"/>
      <c r="D1047" s="457"/>
      <c r="E1047" s="456"/>
      <c r="F1047" s="459"/>
      <c r="G1047" s="451"/>
      <c r="H1047" s="453"/>
      <c r="I1047" s="451"/>
      <c r="J1047" s="453"/>
      <c r="K1047" s="451"/>
      <c r="L1047" s="440"/>
      <c r="M1047" s="440"/>
      <c r="N1047" s="454"/>
      <c r="O1047" s="118"/>
      <c r="P1047" s="491">
        <f t="shared" si="24"/>
        <v>0</v>
      </c>
    </row>
    <row r="1048" spans="2:16" hidden="1" x14ac:dyDescent="0.3">
      <c r="B1048" s="440">
        <v>88</v>
      </c>
      <c r="C1048" s="451"/>
      <c r="D1048" s="457"/>
      <c r="E1048" s="456"/>
      <c r="F1048" s="459"/>
      <c r="G1048" s="451"/>
      <c r="H1048" s="453"/>
      <c r="I1048" s="451"/>
      <c r="J1048" s="453"/>
      <c r="K1048" s="451"/>
      <c r="L1048" s="440"/>
      <c r="M1048" s="440"/>
      <c r="N1048" s="454"/>
      <c r="O1048" s="118"/>
      <c r="P1048" s="491">
        <f t="shared" si="24"/>
        <v>0</v>
      </c>
    </row>
    <row r="1049" spans="2:16" hidden="1" x14ac:dyDescent="0.3">
      <c r="B1049" s="440">
        <v>89</v>
      </c>
      <c r="C1049" s="451"/>
      <c r="D1049" s="457"/>
      <c r="E1049" s="456"/>
      <c r="F1049" s="459"/>
      <c r="G1049" s="451"/>
      <c r="H1049" s="453"/>
      <c r="I1049" s="451"/>
      <c r="J1049" s="453"/>
      <c r="K1049" s="451"/>
      <c r="L1049" s="440"/>
      <c r="M1049" s="440"/>
      <c r="N1049" s="454"/>
      <c r="O1049" s="118"/>
      <c r="P1049" s="491">
        <f t="shared" si="24"/>
        <v>0</v>
      </c>
    </row>
    <row r="1050" spans="2:16" hidden="1" x14ac:dyDescent="0.3">
      <c r="B1050" s="440">
        <v>90</v>
      </c>
      <c r="C1050" s="451"/>
      <c r="D1050" s="457"/>
      <c r="E1050" s="456"/>
      <c r="F1050" s="459"/>
      <c r="G1050" s="451"/>
      <c r="H1050" s="453"/>
      <c r="I1050" s="451"/>
      <c r="J1050" s="453"/>
      <c r="K1050" s="451"/>
      <c r="L1050" s="440"/>
      <c r="M1050" s="440"/>
      <c r="N1050" s="454"/>
      <c r="O1050" s="118"/>
      <c r="P1050" s="491">
        <f t="shared" si="24"/>
        <v>0</v>
      </c>
    </row>
    <row r="1051" spans="2:16" hidden="1" x14ac:dyDescent="0.3">
      <c r="B1051" s="440">
        <v>91</v>
      </c>
      <c r="C1051" s="451"/>
      <c r="D1051" s="457"/>
      <c r="E1051" s="456"/>
      <c r="F1051" s="459"/>
      <c r="G1051" s="451"/>
      <c r="H1051" s="453"/>
      <c r="I1051" s="451"/>
      <c r="J1051" s="453"/>
      <c r="K1051" s="451"/>
      <c r="L1051" s="440"/>
      <c r="M1051" s="440"/>
      <c r="N1051" s="454"/>
      <c r="O1051" s="118"/>
      <c r="P1051" s="491">
        <f t="shared" si="24"/>
        <v>0</v>
      </c>
    </row>
    <row r="1052" spans="2:16" hidden="1" x14ac:dyDescent="0.3">
      <c r="B1052" s="440">
        <v>92</v>
      </c>
      <c r="C1052" s="451"/>
      <c r="D1052" s="457"/>
      <c r="E1052" s="456"/>
      <c r="F1052" s="459"/>
      <c r="G1052" s="451"/>
      <c r="H1052" s="453"/>
      <c r="I1052" s="451"/>
      <c r="J1052" s="453"/>
      <c r="K1052" s="451"/>
      <c r="L1052" s="440"/>
      <c r="M1052" s="440"/>
      <c r="N1052" s="454"/>
      <c r="O1052" s="118"/>
      <c r="P1052" s="491">
        <f t="shared" si="24"/>
        <v>0</v>
      </c>
    </row>
    <row r="1053" spans="2:16" hidden="1" x14ac:dyDescent="0.3">
      <c r="B1053" s="440">
        <v>93</v>
      </c>
      <c r="C1053" s="451"/>
      <c r="D1053" s="457"/>
      <c r="E1053" s="456"/>
      <c r="F1053" s="459"/>
      <c r="G1053" s="451"/>
      <c r="H1053" s="453"/>
      <c r="I1053" s="451"/>
      <c r="J1053" s="453"/>
      <c r="K1053" s="451"/>
      <c r="L1053" s="440"/>
      <c r="M1053" s="440"/>
      <c r="N1053" s="454"/>
      <c r="O1053" s="118"/>
      <c r="P1053" s="491">
        <f t="shared" si="24"/>
        <v>0</v>
      </c>
    </row>
    <row r="1054" spans="2:16" hidden="1" x14ac:dyDescent="0.3">
      <c r="B1054" s="440">
        <v>94</v>
      </c>
      <c r="C1054" s="451"/>
      <c r="D1054" s="457"/>
      <c r="E1054" s="456"/>
      <c r="F1054" s="459"/>
      <c r="G1054" s="451"/>
      <c r="H1054" s="453"/>
      <c r="I1054" s="451"/>
      <c r="J1054" s="453"/>
      <c r="K1054" s="451"/>
      <c r="L1054" s="440"/>
      <c r="M1054" s="440"/>
      <c r="N1054" s="454"/>
      <c r="O1054" s="118"/>
      <c r="P1054" s="491">
        <f t="shared" si="24"/>
        <v>0</v>
      </c>
    </row>
    <row r="1055" spans="2:16" hidden="1" x14ac:dyDescent="0.3">
      <c r="B1055" s="440">
        <v>95</v>
      </c>
      <c r="C1055" s="451"/>
      <c r="D1055" s="441"/>
      <c r="E1055" s="459"/>
      <c r="F1055" s="459"/>
      <c r="G1055" s="451"/>
      <c r="H1055" s="441"/>
      <c r="I1055" s="451"/>
      <c r="J1055" s="459"/>
      <c r="K1055" s="451"/>
      <c r="L1055" s="441"/>
      <c r="M1055" s="441"/>
      <c r="N1055" s="441"/>
      <c r="O1055" s="118"/>
      <c r="P1055" s="491">
        <f t="shared" si="24"/>
        <v>0</v>
      </c>
    </row>
    <row r="1056" spans="2:16" hidden="1" x14ac:dyDescent="0.3">
      <c r="B1056" s="440">
        <v>96</v>
      </c>
      <c r="C1056" s="451"/>
      <c r="D1056" s="457"/>
      <c r="E1056" s="456"/>
      <c r="F1056" s="459"/>
      <c r="G1056" s="451"/>
      <c r="H1056" s="453"/>
      <c r="I1056" s="451"/>
      <c r="J1056" s="453"/>
      <c r="K1056" s="451"/>
      <c r="L1056" s="440"/>
      <c r="M1056" s="440"/>
      <c r="N1056" s="454"/>
      <c r="O1056" s="118"/>
      <c r="P1056" s="491">
        <f t="shared" si="24"/>
        <v>0</v>
      </c>
    </row>
    <row r="1057" spans="2:16" hidden="1" x14ac:dyDescent="0.3">
      <c r="B1057" s="440">
        <v>97</v>
      </c>
      <c r="C1057" s="451"/>
      <c r="D1057" s="457"/>
      <c r="E1057" s="456"/>
      <c r="F1057" s="459"/>
      <c r="G1057" s="451"/>
      <c r="H1057" s="453"/>
      <c r="I1057" s="451"/>
      <c r="J1057" s="453"/>
      <c r="K1057" s="451"/>
      <c r="L1057" s="440"/>
      <c r="M1057" s="440"/>
      <c r="N1057" s="454"/>
      <c r="O1057" s="118"/>
      <c r="P1057" s="491">
        <f t="shared" ref="P1057:P1260" si="25">F1057*O1057</f>
        <v>0</v>
      </c>
    </row>
    <row r="1058" spans="2:16" hidden="1" x14ac:dyDescent="0.3">
      <c r="B1058" s="440">
        <v>98</v>
      </c>
      <c r="C1058" s="451"/>
      <c r="D1058" s="457"/>
      <c r="E1058" s="456"/>
      <c r="F1058" s="459"/>
      <c r="G1058" s="451"/>
      <c r="H1058" s="453"/>
      <c r="I1058" s="451"/>
      <c r="J1058" s="453"/>
      <c r="K1058" s="451"/>
      <c r="L1058" s="440"/>
      <c r="M1058" s="440"/>
      <c r="N1058" s="454"/>
      <c r="O1058" s="118"/>
      <c r="P1058" s="491">
        <f t="shared" si="25"/>
        <v>0</v>
      </c>
    </row>
    <row r="1059" spans="2:16" hidden="1" x14ac:dyDescent="0.3">
      <c r="B1059" s="440">
        <v>99</v>
      </c>
      <c r="C1059" s="451"/>
      <c r="D1059" s="457"/>
      <c r="E1059" s="456"/>
      <c r="F1059" s="459"/>
      <c r="G1059" s="451"/>
      <c r="H1059" s="453"/>
      <c r="I1059" s="451"/>
      <c r="J1059" s="453"/>
      <c r="K1059" s="451"/>
      <c r="L1059" s="440"/>
      <c r="M1059" s="440"/>
      <c r="N1059" s="454"/>
      <c r="O1059" s="118"/>
      <c r="P1059" s="491">
        <f t="shared" si="25"/>
        <v>0</v>
      </c>
    </row>
    <row r="1060" spans="2:16" hidden="1" x14ac:dyDescent="0.3">
      <c r="B1060" s="440">
        <v>100</v>
      </c>
      <c r="C1060" s="584"/>
      <c r="D1060" s="457"/>
      <c r="E1060" s="456"/>
      <c r="F1060" s="453"/>
      <c r="G1060" s="451"/>
      <c r="H1060" s="453"/>
      <c r="I1060" s="451"/>
      <c r="J1060" s="453"/>
      <c r="K1060" s="451"/>
      <c r="L1060" s="440"/>
      <c r="M1060" s="440"/>
      <c r="N1060" s="454"/>
      <c r="O1060" s="118">
        <v>0</v>
      </c>
      <c r="P1060" s="491">
        <f t="shared" si="25"/>
        <v>0</v>
      </c>
    </row>
    <row r="1061" spans="2:16" hidden="1" x14ac:dyDescent="0.3">
      <c r="B1061" s="440">
        <v>101</v>
      </c>
      <c r="C1061" s="584"/>
      <c r="D1061" s="457"/>
      <c r="E1061" s="456"/>
      <c r="F1061" s="453"/>
      <c r="G1061" s="451"/>
      <c r="H1061" s="453"/>
      <c r="I1061" s="451"/>
      <c r="J1061" s="453"/>
      <c r="K1061" s="451"/>
      <c r="L1061" s="440"/>
      <c r="M1061" s="440"/>
      <c r="N1061" s="454"/>
      <c r="O1061" s="118">
        <v>0</v>
      </c>
      <c r="P1061" s="491">
        <f t="shared" si="25"/>
        <v>0</v>
      </c>
    </row>
    <row r="1062" spans="2:16" hidden="1" x14ac:dyDescent="0.3">
      <c r="B1062" s="440">
        <v>102</v>
      </c>
      <c r="C1062" s="584"/>
      <c r="D1062" s="457"/>
      <c r="E1062" s="456"/>
      <c r="F1062" s="453"/>
      <c r="G1062" s="451"/>
      <c r="H1062" s="453"/>
      <c r="I1062" s="451"/>
      <c r="J1062" s="453"/>
      <c r="K1062" s="451"/>
      <c r="L1062" s="440"/>
      <c r="M1062" s="440"/>
      <c r="N1062" s="454"/>
      <c r="O1062" s="118">
        <v>0</v>
      </c>
      <c r="P1062" s="491">
        <f t="shared" si="25"/>
        <v>0</v>
      </c>
    </row>
    <row r="1063" spans="2:16" hidden="1" x14ac:dyDescent="0.3">
      <c r="B1063" s="440">
        <v>103</v>
      </c>
      <c r="C1063" s="584"/>
      <c r="D1063" s="457"/>
      <c r="E1063" s="456"/>
      <c r="F1063" s="453"/>
      <c r="G1063" s="451"/>
      <c r="H1063" s="453"/>
      <c r="I1063" s="451"/>
      <c r="J1063" s="453"/>
      <c r="K1063" s="451"/>
      <c r="L1063" s="440"/>
      <c r="M1063" s="440"/>
      <c r="N1063" s="454"/>
      <c r="O1063" s="118">
        <v>0</v>
      </c>
      <c r="P1063" s="491">
        <f t="shared" si="25"/>
        <v>0</v>
      </c>
    </row>
    <row r="1064" spans="2:16" hidden="1" x14ac:dyDescent="0.3">
      <c r="B1064" s="440">
        <v>104</v>
      </c>
      <c r="C1064" s="584"/>
      <c r="D1064" s="457"/>
      <c r="E1064" s="456"/>
      <c r="F1064" s="453"/>
      <c r="G1064" s="451"/>
      <c r="H1064" s="453"/>
      <c r="I1064" s="451"/>
      <c r="J1064" s="453"/>
      <c r="K1064" s="451"/>
      <c r="L1064" s="440"/>
      <c r="M1064" s="440"/>
      <c r="N1064" s="454"/>
      <c r="O1064" s="118">
        <v>0</v>
      </c>
      <c r="P1064" s="491">
        <f t="shared" si="25"/>
        <v>0</v>
      </c>
    </row>
    <row r="1065" spans="2:16" hidden="1" x14ac:dyDescent="0.3">
      <c r="B1065" s="440">
        <v>105</v>
      </c>
      <c r="C1065" s="584"/>
      <c r="D1065" s="457"/>
      <c r="E1065" s="456"/>
      <c r="F1065" s="453"/>
      <c r="G1065" s="451"/>
      <c r="H1065" s="453"/>
      <c r="I1065" s="451"/>
      <c r="J1065" s="453"/>
      <c r="K1065" s="451"/>
      <c r="L1065" s="440"/>
      <c r="M1065" s="440"/>
      <c r="N1065" s="454"/>
      <c r="O1065" s="118">
        <v>0</v>
      </c>
      <c r="P1065" s="491">
        <f t="shared" si="25"/>
        <v>0</v>
      </c>
    </row>
    <row r="1066" spans="2:16" hidden="1" x14ac:dyDescent="0.3">
      <c r="B1066" s="440">
        <v>106</v>
      </c>
      <c r="C1066" s="584"/>
      <c r="D1066" s="457"/>
      <c r="E1066" s="456"/>
      <c r="F1066" s="453"/>
      <c r="G1066" s="451"/>
      <c r="H1066" s="453"/>
      <c r="I1066" s="451"/>
      <c r="J1066" s="453"/>
      <c r="K1066" s="451"/>
      <c r="L1066" s="440"/>
      <c r="M1066" s="440"/>
      <c r="N1066" s="454"/>
      <c r="O1066" s="118">
        <v>0</v>
      </c>
      <c r="P1066" s="491">
        <f t="shared" si="25"/>
        <v>0</v>
      </c>
    </row>
    <row r="1067" spans="2:16" hidden="1" x14ac:dyDescent="0.3">
      <c r="B1067" s="440">
        <v>107</v>
      </c>
      <c r="C1067" s="584"/>
      <c r="D1067" s="457"/>
      <c r="E1067" s="456"/>
      <c r="F1067" s="453"/>
      <c r="G1067" s="451"/>
      <c r="H1067" s="453"/>
      <c r="I1067" s="451"/>
      <c r="J1067" s="453"/>
      <c r="K1067" s="451"/>
      <c r="L1067" s="440"/>
      <c r="M1067" s="440"/>
      <c r="N1067" s="454"/>
      <c r="O1067" s="118">
        <v>0</v>
      </c>
      <c r="P1067" s="491">
        <f t="shared" si="25"/>
        <v>0</v>
      </c>
    </row>
    <row r="1068" spans="2:16" hidden="1" x14ac:dyDescent="0.3">
      <c r="B1068" s="440">
        <v>108</v>
      </c>
      <c r="C1068" s="584"/>
      <c r="D1068" s="457"/>
      <c r="E1068" s="456"/>
      <c r="F1068" s="453"/>
      <c r="G1068" s="451"/>
      <c r="H1068" s="453"/>
      <c r="I1068" s="451"/>
      <c r="J1068" s="453"/>
      <c r="K1068" s="451"/>
      <c r="L1068" s="440"/>
      <c r="M1068" s="440"/>
      <c r="N1068" s="454"/>
      <c r="O1068" s="118">
        <v>0</v>
      </c>
      <c r="P1068" s="491">
        <f t="shared" si="25"/>
        <v>0</v>
      </c>
    </row>
    <row r="1069" spans="2:16" hidden="1" x14ac:dyDescent="0.3">
      <c r="B1069" s="440">
        <v>109</v>
      </c>
      <c r="C1069" s="584"/>
      <c r="D1069" s="457"/>
      <c r="E1069" s="456"/>
      <c r="F1069" s="453"/>
      <c r="G1069" s="451"/>
      <c r="H1069" s="453"/>
      <c r="I1069" s="451"/>
      <c r="J1069" s="453"/>
      <c r="K1069" s="451"/>
      <c r="L1069" s="440"/>
      <c r="M1069" s="440"/>
      <c r="N1069" s="454"/>
      <c r="O1069" s="118">
        <v>0</v>
      </c>
      <c r="P1069" s="491">
        <f t="shared" si="25"/>
        <v>0</v>
      </c>
    </row>
    <row r="1070" spans="2:16" hidden="1" x14ac:dyDescent="0.3">
      <c r="B1070" s="440">
        <v>110</v>
      </c>
      <c r="C1070" s="584"/>
      <c r="D1070" s="457"/>
      <c r="E1070" s="456"/>
      <c r="F1070" s="453"/>
      <c r="G1070" s="451"/>
      <c r="H1070" s="453"/>
      <c r="I1070" s="451"/>
      <c r="J1070" s="453"/>
      <c r="K1070" s="451"/>
      <c r="L1070" s="440"/>
      <c r="M1070" s="440"/>
      <c r="N1070" s="454"/>
      <c r="O1070" s="118">
        <v>0</v>
      </c>
      <c r="P1070" s="491">
        <f t="shared" si="25"/>
        <v>0</v>
      </c>
    </row>
    <row r="1071" spans="2:16" hidden="1" x14ac:dyDescent="0.3">
      <c r="B1071" s="440">
        <v>111</v>
      </c>
      <c r="C1071" s="584"/>
      <c r="D1071" s="457"/>
      <c r="E1071" s="456"/>
      <c r="F1071" s="453"/>
      <c r="G1071" s="451"/>
      <c r="H1071" s="453"/>
      <c r="I1071" s="451"/>
      <c r="J1071" s="453"/>
      <c r="K1071" s="451"/>
      <c r="L1071" s="440"/>
      <c r="M1071" s="440"/>
      <c r="N1071" s="454"/>
      <c r="O1071" s="118">
        <v>0</v>
      </c>
      <c r="P1071" s="491">
        <f t="shared" si="25"/>
        <v>0</v>
      </c>
    </row>
    <row r="1072" spans="2:16" hidden="1" x14ac:dyDescent="0.3">
      <c r="B1072" s="440">
        <v>112</v>
      </c>
      <c r="C1072" s="584"/>
      <c r="D1072" s="457"/>
      <c r="E1072" s="456"/>
      <c r="F1072" s="453"/>
      <c r="G1072" s="451"/>
      <c r="H1072" s="453"/>
      <c r="I1072" s="451"/>
      <c r="J1072" s="453"/>
      <c r="K1072" s="451"/>
      <c r="L1072" s="440"/>
      <c r="M1072" s="440"/>
      <c r="N1072" s="454"/>
      <c r="O1072" s="118">
        <v>0</v>
      </c>
      <c r="P1072" s="491">
        <f t="shared" si="25"/>
        <v>0</v>
      </c>
    </row>
    <row r="1073" spans="2:16" hidden="1" x14ac:dyDescent="0.3">
      <c r="B1073" s="440">
        <v>113</v>
      </c>
      <c r="C1073" s="584"/>
      <c r="D1073" s="457"/>
      <c r="E1073" s="456"/>
      <c r="F1073" s="453"/>
      <c r="G1073" s="451"/>
      <c r="H1073" s="453"/>
      <c r="I1073" s="451"/>
      <c r="J1073" s="453"/>
      <c r="K1073" s="451"/>
      <c r="L1073" s="440"/>
      <c r="M1073" s="440"/>
      <c r="N1073" s="454"/>
      <c r="O1073" s="118">
        <v>0</v>
      </c>
      <c r="P1073" s="491">
        <f t="shared" si="25"/>
        <v>0</v>
      </c>
    </row>
    <row r="1074" spans="2:16" hidden="1" x14ac:dyDescent="0.3">
      <c r="B1074" s="440">
        <v>114</v>
      </c>
      <c r="C1074" s="584"/>
      <c r="D1074" s="457"/>
      <c r="E1074" s="456"/>
      <c r="F1074" s="453"/>
      <c r="G1074" s="451"/>
      <c r="H1074" s="453"/>
      <c r="I1074" s="451"/>
      <c r="J1074" s="453"/>
      <c r="K1074" s="451"/>
      <c r="L1074" s="440"/>
      <c r="M1074" s="440"/>
      <c r="N1074" s="454"/>
      <c r="O1074" s="118">
        <v>0</v>
      </c>
      <c r="P1074" s="491">
        <f t="shared" si="25"/>
        <v>0</v>
      </c>
    </row>
    <row r="1075" spans="2:16" hidden="1" x14ac:dyDescent="0.3">
      <c r="B1075" s="440">
        <v>115</v>
      </c>
      <c r="C1075" s="584"/>
      <c r="D1075" s="457"/>
      <c r="E1075" s="456"/>
      <c r="F1075" s="453"/>
      <c r="G1075" s="451"/>
      <c r="H1075" s="453"/>
      <c r="I1075" s="451"/>
      <c r="J1075" s="453"/>
      <c r="K1075" s="451"/>
      <c r="L1075" s="440"/>
      <c r="M1075" s="440"/>
      <c r="N1075" s="454"/>
      <c r="O1075" s="118">
        <v>0</v>
      </c>
      <c r="P1075" s="491">
        <f t="shared" si="25"/>
        <v>0</v>
      </c>
    </row>
    <row r="1076" spans="2:16" hidden="1" x14ac:dyDescent="0.3">
      <c r="B1076" s="440">
        <v>116</v>
      </c>
      <c r="C1076" s="584"/>
      <c r="D1076" s="457"/>
      <c r="E1076" s="456"/>
      <c r="F1076" s="453"/>
      <c r="G1076" s="451"/>
      <c r="H1076" s="453"/>
      <c r="I1076" s="451"/>
      <c r="J1076" s="453"/>
      <c r="K1076" s="451"/>
      <c r="L1076" s="440"/>
      <c r="M1076" s="440"/>
      <c r="N1076" s="454"/>
      <c r="O1076" s="118">
        <v>0</v>
      </c>
      <c r="P1076" s="491">
        <f t="shared" si="25"/>
        <v>0</v>
      </c>
    </row>
    <row r="1077" spans="2:16" hidden="1" x14ac:dyDescent="0.3">
      <c r="B1077" s="440">
        <v>117</v>
      </c>
      <c r="C1077" s="584"/>
      <c r="D1077" s="457"/>
      <c r="E1077" s="456"/>
      <c r="F1077" s="453"/>
      <c r="G1077" s="451"/>
      <c r="H1077" s="453"/>
      <c r="I1077" s="451"/>
      <c r="J1077" s="453"/>
      <c r="K1077" s="451"/>
      <c r="L1077" s="440"/>
      <c r="M1077" s="440"/>
      <c r="N1077" s="454"/>
      <c r="O1077" s="118">
        <v>0</v>
      </c>
      <c r="P1077" s="491">
        <f t="shared" si="25"/>
        <v>0</v>
      </c>
    </row>
    <row r="1078" spans="2:16" hidden="1" x14ac:dyDescent="0.3">
      <c r="B1078" s="440">
        <v>118</v>
      </c>
      <c r="C1078" s="584"/>
      <c r="D1078" s="457"/>
      <c r="E1078" s="456"/>
      <c r="F1078" s="453"/>
      <c r="G1078" s="451"/>
      <c r="H1078" s="453"/>
      <c r="I1078" s="451"/>
      <c r="J1078" s="453"/>
      <c r="K1078" s="451"/>
      <c r="L1078" s="440"/>
      <c r="M1078" s="440"/>
      <c r="N1078" s="454"/>
      <c r="O1078" s="118">
        <v>0</v>
      </c>
      <c r="P1078" s="491">
        <f t="shared" si="25"/>
        <v>0</v>
      </c>
    </row>
    <row r="1079" spans="2:16" hidden="1" x14ac:dyDescent="0.3">
      <c r="B1079" s="440">
        <v>119</v>
      </c>
      <c r="C1079" s="584"/>
      <c r="D1079" s="457"/>
      <c r="E1079" s="456"/>
      <c r="F1079" s="453"/>
      <c r="G1079" s="451"/>
      <c r="H1079" s="453"/>
      <c r="I1079" s="451"/>
      <c r="J1079" s="453"/>
      <c r="K1079" s="451"/>
      <c r="L1079" s="440"/>
      <c r="M1079" s="440"/>
      <c r="N1079" s="454"/>
      <c r="O1079" s="118">
        <v>0</v>
      </c>
      <c r="P1079" s="491">
        <f t="shared" si="25"/>
        <v>0</v>
      </c>
    </row>
    <row r="1080" spans="2:16" hidden="1" x14ac:dyDescent="0.3">
      <c r="B1080" s="440">
        <v>120</v>
      </c>
      <c r="C1080" s="584"/>
      <c r="D1080" s="457"/>
      <c r="E1080" s="456"/>
      <c r="F1080" s="453"/>
      <c r="G1080" s="451"/>
      <c r="H1080" s="453"/>
      <c r="I1080" s="451"/>
      <c r="J1080" s="453"/>
      <c r="K1080" s="451"/>
      <c r="L1080" s="440"/>
      <c r="M1080" s="440"/>
      <c r="N1080" s="454"/>
      <c r="O1080" s="118">
        <v>0</v>
      </c>
      <c r="P1080" s="491">
        <f t="shared" si="25"/>
        <v>0</v>
      </c>
    </row>
    <row r="1081" spans="2:16" hidden="1" x14ac:dyDescent="0.3">
      <c r="B1081" s="440">
        <v>121</v>
      </c>
      <c r="C1081" s="584"/>
      <c r="D1081" s="457"/>
      <c r="E1081" s="456"/>
      <c r="F1081" s="453"/>
      <c r="G1081" s="451"/>
      <c r="H1081" s="453"/>
      <c r="I1081" s="451"/>
      <c r="J1081" s="453"/>
      <c r="K1081" s="451"/>
      <c r="L1081" s="440"/>
      <c r="M1081" s="440"/>
      <c r="N1081" s="454"/>
      <c r="O1081" s="118">
        <v>0</v>
      </c>
      <c r="P1081" s="491">
        <f t="shared" si="25"/>
        <v>0</v>
      </c>
    </row>
    <row r="1082" spans="2:16" hidden="1" x14ac:dyDescent="0.3">
      <c r="B1082" s="440">
        <v>122</v>
      </c>
      <c r="C1082" s="584"/>
      <c r="D1082" s="457"/>
      <c r="E1082" s="456"/>
      <c r="F1082" s="453"/>
      <c r="G1082" s="451"/>
      <c r="H1082" s="453"/>
      <c r="I1082" s="451"/>
      <c r="J1082" s="453"/>
      <c r="K1082" s="451"/>
      <c r="L1082" s="440"/>
      <c r="M1082" s="440"/>
      <c r="N1082" s="454"/>
      <c r="O1082" s="118">
        <v>0</v>
      </c>
      <c r="P1082" s="491">
        <f t="shared" si="25"/>
        <v>0</v>
      </c>
    </row>
    <row r="1083" spans="2:16" hidden="1" x14ac:dyDescent="0.3">
      <c r="B1083" s="440">
        <v>123</v>
      </c>
      <c r="C1083" s="584"/>
      <c r="D1083" s="457"/>
      <c r="E1083" s="456"/>
      <c r="F1083" s="453"/>
      <c r="G1083" s="451"/>
      <c r="H1083" s="453"/>
      <c r="I1083" s="451"/>
      <c r="J1083" s="453"/>
      <c r="K1083" s="451"/>
      <c r="L1083" s="440"/>
      <c r="M1083" s="440"/>
      <c r="N1083" s="454"/>
      <c r="O1083" s="118">
        <v>0</v>
      </c>
      <c r="P1083" s="491">
        <f t="shared" si="25"/>
        <v>0</v>
      </c>
    </row>
    <row r="1084" spans="2:16" hidden="1" x14ac:dyDescent="0.3">
      <c r="B1084" s="440">
        <v>124</v>
      </c>
      <c r="C1084" s="584"/>
      <c r="D1084" s="457"/>
      <c r="E1084" s="456"/>
      <c r="F1084" s="453"/>
      <c r="G1084" s="451"/>
      <c r="H1084" s="453"/>
      <c r="I1084" s="451"/>
      <c r="J1084" s="453"/>
      <c r="K1084" s="451"/>
      <c r="L1084" s="440"/>
      <c r="M1084" s="440"/>
      <c r="N1084" s="454"/>
      <c r="O1084" s="118">
        <v>0</v>
      </c>
      <c r="P1084" s="491">
        <f t="shared" si="25"/>
        <v>0</v>
      </c>
    </row>
    <row r="1085" spans="2:16" hidden="1" x14ac:dyDescent="0.3">
      <c r="B1085" s="440">
        <v>125</v>
      </c>
      <c r="C1085" s="584"/>
      <c r="D1085" s="457"/>
      <c r="E1085" s="456"/>
      <c r="F1085" s="453"/>
      <c r="G1085" s="451"/>
      <c r="H1085" s="453"/>
      <c r="I1085" s="451"/>
      <c r="J1085" s="453"/>
      <c r="K1085" s="451"/>
      <c r="L1085" s="440"/>
      <c r="M1085" s="440"/>
      <c r="N1085" s="454"/>
      <c r="O1085" s="118">
        <v>0</v>
      </c>
      <c r="P1085" s="491">
        <f t="shared" si="25"/>
        <v>0</v>
      </c>
    </row>
    <row r="1086" spans="2:16" hidden="1" x14ac:dyDescent="0.3">
      <c r="B1086" s="440">
        <v>126</v>
      </c>
      <c r="C1086" s="584"/>
      <c r="D1086" s="457"/>
      <c r="E1086" s="456"/>
      <c r="F1086" s="453"/>
      <c r="G1086" s="451"/>
      <c r="H1086" s="453"/>
      <c r="I1086" s="451"/>
      <c r="J1086" s="453"/>
      <c r="K1086" s="451"/>
      <c r="L1086" s="440"/>
      <c r="M1086" s="440"/>
      <c r="N1086" s="454"/>
      <c r="O1086" s="118">
        <v>0</v>
      </c>
      <c r="P1086" s="491">
        <f t="shared" si="25"/>
        <v>0</v>
      </c>
    </row>
    <row r="1087" spans="2:16" hidden="1" x14ac:dyDescent="0.3">
      <c r="B1087" s="440">
        <v>127</v>
      </c>
      <c r="C1087" s="584"/>
      <c r="D1087" s="457"/>
      <c r="E1087" s="456"/>
      <c r="F1087" s="453"/>
      <c r="G1087" s="451"/>
      <c r="H1087" s="453"/>
      <c r="I1087" s="451"/>
      <c r="J1087" s="453"/>
      <c r="K1087" s="451"/>
      <c r="L1087" s="440"/>
      <c r="M1087" s="440"/>
      <c r="N1087" s="454"/>
      <c r="O1087" s="118">
        <v>0</v>
      </c>
      <c r="P1087" s="491">
        <f t="shared" si="25"/>
        <v>0</v>
      </c>
    </row>
    <row r="1088" spans="2:16" hidden="1" x14ac:dyDescent="0.3">
      <c r="B1088" s="440">
        <v>128</v>
      </c>
      <c r="C1088" s="584"/>
      <c r="D1088" s="457"/>
      <c r="E1088" s="456"/>
      <c r="F1088" s="453"/>
      <c r="G1088" s="451"/>
      <c r="H1088" s="453"/>
      <c r="I1088" s="451"/>
      <c r="J1088" s="453"/>
      <c r="K1088" s="451"/>
      <c r="L1088" s="440"/>
      <c r="M1088" s="440"/>
      <c r="N1088" s="454"/>
      <c r="O1088" s="118">
        <v>0</v>
      </c>
      <c r="P1088" s="491">
        <f t="shared" si="25"/>
        <v>0</v>
      </c>
    </row>
    <row r="1089" spans="2:16" hidden="1" x14ac:dyDescent="0.3">
      <c r="B1089" s="440">
        <v>129</v>
      </c>
      <c r="C1089" s="584"/>
      <c r="D1089" s="457"/>
      <c r="E1089" s="456"/>
      <c r="F1089" s="453"/>
      <c r="G1089" s="451"/>
      <c r="H1089" s="453"/>
      <c r="I1089" s="451"/>
      <c r="J1089" s="453"/>
      <c r="K1089" s="451"/>
      <c r="L1089" s="440"/>
      <c r="M1089" s="440"/>
      <c r="N1089" s="454"/>
      <c r="O1089" s="118">
        <v>0</v>
      </c>
      <c r="P1089" s="491">
        <f t="shared" si="25"/>
        <v>0</v>
      </c>
    </row>
    <row r="1090" spans="2:16" hidden="1" x14ac:dyDescent="0.3">
      <c r="B1090" s="440">
        <v>130</v>
      </c>
      <c r="C1090" s="584"/>
      <c r="D1090" s="457"/>
      <c r="E1090" s="456"/>
      <c r="F1090" s="453"/>
      <c r="G1090" s="451"/>
      <c r="H1090" s="453"/>
      <c r="I1090" s="451"/>
      <c r="J1090" s="453"/>
      <c r="K1090" s="451"/>
      <c r="L1090" s="440"/>
      <c r="M1090" s="440"/>
      <c r="N1090" s="454"/>
      <c r="O1090" s="118">
        <v>0</v>
      </c>
      <c r="P1090" s="491">
        <f t="shared" si="25"/>
        <v>0</v>
      </c>
    </row>
    <row r="1091" spans="2:16" hidden="1" x14ac:dyDescent="0.3">
      <c r="B1091" s="440">
        <v>131</v>
      </c>
      <c r="C1091" s="584"/>
      <c r="D1091" s="457"/>
      <c r="E1091" s="456"/>
      <c r="F1091" s="453"/>
      <c r="G1091" s="451"/>
      <c r="H1091" s="453"/>
      <c r="I1091" s="451"/>
      <c r="J1091" s="453"/>
      <c r="K1091" s="451"/>
      <c r="L1091" s="440"/>
      <c r="M1091" s="440"/>
      <c r="N1091" s="454"/>
      <c r="O1091" s="118">
        <v>0</v>
      </c>
      <c r="P1091" s="491">
        <f t="shared" si="25"/>
        <v>0</v>
      </c>
    </row>
    <row r="1092" spans="2:16" hidden="1" x14ac:dyDescent="0.3">
      <c r="B1092" s="440">
        <v>132</v>
      </c>
      <c r="C1092" s="584"/>
      <c r="D1092" s="457"/>
      <c r="E1092" s="456"/>
      <c r="F1092" s="453"/>
      <c r="G1092" s="451"/>
      <c r="H1092" s="453"/>
      <c r="I1092" s="451"/>
      <c r="J1092" s="453"/>
      <c r="K1092" s="451"/>
      <c r="L1092" s="440"/>
      <c r="M1092" s="440"/>
      <c r="N1092" s="454"/>
      <c r="O1092" s="118">
        <v>0</v>
      </c>
      <c r="P1092" s="491">
        <f t="shared" si="25"/>
        <v>0</v>
      </c>
    </row>
    <row r="1093" spans="2:16" hidden="1" x14ac:dyDescent="0.3">
      <c r="B1093" s="440">
        <v>133</v>
      </c>
      <c r="C1093" s="584"/>
      <c r="D1093" s="457"/>
      <c r="E1093" s="456"/>
      <c r="F1093" s="453"/>
      <c r="G1093" s="451"/>
      <c r="H1093" s="453"/>
      <c r="I1093" s="451"/>
      <c r="J1093" s="453"/>
      <c r="K1093" s="451"/>
      <c r="L1093" s="440"/>
      <c r="M1093" s="440"/>
      <c r="N1093" s="454"/>
      <c r="O1093" s="118">
        <v>0</v>
      </c>
      <c r="P1093" s="491">
        <f t="shared" si="25"/>
        <v>0</v>
      </c>
    </row>
    <row r="1094" spans="2:16" hidden="1" x14ac:dyDescent="0.3">
      <c r="B1094" s="440">
        <v>134</v>
      </c>
      <c r="C1094" s="584"/>
      <c r="D1094" s="457"/>
      <c r="E1094" s="456"/>
      <c r="F1094" s="453"/>
      <c r="G1094" s="451"/>
      <c r="H1094" s="453"/>
      <c r="I1094" s="451"/>
      <c r="J1094" s="453"/>
      <c r="K1094" s="451"/>
      <c r="L1094" s="440"/>
      <c r="M1094" s="440"/>
      <c r="N1094" s="454"/>
      <c r="O1094" s="118">
        <v>0</v>
      </c>
      <c r="P1094" s="491">
        <f t="shared" si="25"/>
        <v>0</v>
      </c>
    </row>
    <row r="1095" spans="2:16" hidden="1" x14ac:dyDescent="0.3">
      <c r="B1095" s="440">
        <v>135</v>
      </c>
      <c r="C1095" s="584"/>
      <c r="D1095" s="457"/>
      <c r="E1095" s="456"/>
      <c r="F1095" s="453"/>
      <c r="G1095" s="451"/>
      <c r="H1095" s="453"/>
      <c r="I1095" s="451"/>
      <c r="J1095" s="453"/>
      <c r="K1095" s="451"/>
      <c r="L1095" s="440"/>
      <c r="M1095" s="440"/>
      <c r="N1095" s="454"/>
      <c r="O1095" s="118">
        <v>0</v>
      </c>
      <c r="P1095" s="491">
        <f t="shared" si="25"/>
        <v>0</v>
      </c>
    </row>
    <row r="1096" spans="2:16" hidden="1" x14ac:dyDescent="0.3">
      <c r="B1096" s="440">
        <v>136</v>
      </c>
      <c r="C1096" s="584"/>
      <c r="D1096" s="457"/>
      <c r="E1096" s="456"/>
      <c r="F1096" s="453"/>
      <c r="G1096" s="451"/>
      <c r="H1096" s="453"/>
      <c r="I1096" s="451"/>
      <c r="J1096" s="453"/>
      <c r="K1096" s="451"/>
      <c r="L1096" s="440"/>
      <c r="M1096" s="440"/>
      <c r="N1096" s="454"/>
      <c r="O1096" s="118">
        <v>0</v>
      </c>
      <c r="P1096" s="491">
        <f t="shared" si="25"/>
        <v>0</v>
      </c>
    </row>
    <row r="1097" spans="2:16" hidden="1" x14ac:dyDescent="0.3">
      <c r="B1097" s="440">
        <v>137</v>
      </c>
      <c r="C1097" s="584"/>
      <c r="D1097" s="457"/>
      <c r="E1097" s="456"/>
      <c r="F1097" s="453"/>
      <c r="G1097" s="451"/>
      <c r="H1097" s="453"/>
      <c r="I1097" s="451"/>
      <c r="J1097" s="453"/>
      <c r="K1097" s="451"/>
      <c r="L1097" s="440"/>
      <c r="M1097" s="440"/>
      <c r="N1097" s="454"/>
      <c r="O1097" s="118">
        <v>0</v>
      </c>
      <c r="P1097" s="491">
        <f t="shared" si="25"/>
        <v>0</v>
      </c>
    </row>
    <row r="1098" spans="2:16" hidden="1" x14ac:dyDescent="0.3">
      <c r="B1098" s="440">
        <v>138</v>
      </c>
      <c r="C1098" s="584"/>
      <c r="D1098" s="457"/>
      <c r="E1098" s="456"/>
      <c r="F1098" s="453"/>
      <c r="G1098" s="451"/>
      <c r="H1098" s="453"/>
      <c r="I1098" s="451"/>
      <c r="J1098" s="453"/>
      <c r="K1098" s="451"/>
      <c r="L1098" s="440"/>
      <c r="M1098" s="440"/>
      <c r="N1098" s="454"/>
      <c r="O1098" s="118">
        <v>0</v>
      </c>
      <c r="P1098" s="491">
        <f t="shared" si="25"/>
        <v>0</v>
      </c>
    </row>
    <row r="1099" spans="2:16" hidden="1" x14ac:dyDescent="0.3">
      <c r="B1099" s="440">
        <v>139</v>
      </c>
      <c r="C1099" s="584"/>
      <c r="D1099" s="457"/>
      <c r="E1099" s="456"/>
      <c r="F1099" s="453"/>
      <c r="G1099" s="451"/>
      <c r="H1099" s="453"/>
      <c r="I1099" s="451"/>
      <c r="J1099" s="453"/>
      <c r="K1099" s="451"/>
      <c r="L1099" s="440"/>
      <c r="M1099" s="440"/>
      <c r="N1099" s="454"/>
      <c r="O1099" s="118">
        <v>0</v>
      </c>
      <c r="P1099" s="491">
        <f t="shared" si="25"/>
        <v>0</v>
      </c>
    </row>
    <row r="1100" spans="2:16" hidden="1" x14ac:dyDescent="0.3">
      <c r="B1100" s="440">
        <v>140</v>
      </c>
      <c r="C1100" s="584"/>
      <c r="D1100" s="457"/>
      <c r="E1100" s="456"/>
      <c r="F1100" s="453"/>
      <c r="G1100" s="451"/>
      <c r="H1100" s="453"/>
      <c r="I1100" s="451"/>
      <c r="J1100" s="453"/>
      <c r="K1100" s="451"/>
      <c r="L1100" s="440"/>
      <c r="M1100" s="440"/>
      <c r="N1100" s="454"/>
      <c r="O1100" s="118">
        <v>0</v>
      </c>
      <c r="P1100" s="491">
        <f t="shared" si="25"/>
        <v>0</v>
      </c>
    </row>
    <row r="1101" spans="2:16" hidden="1" x14ac:dyDescent="0.3">
      <c r="B1101" s="440">
        <v>141</v>
      </c>
      <c r="C1101" s="584"/>
      <c r="D1101" s="457"/>
      <c r="E1101" s="456"/>
      <c r="F1101" s="453"/>
      <c r="G1101" s="451"/>
      <c r="H1101" s="453"/>
      <c r="I1101" s="451"/>
      <c r="J1101" s="453"/>
      <c r="K1101" s="451"/>
      <c r="L1101" s="440"/>
      <c r="M1101" s="440"/>
      <c r="N1101" s="454"/>
      <c r="O1101" s="118">
        <v>0</v>
      </c>
      <c r="P1101" s="491">
        <f t="shared" si="25"/>
        <v>0</v>
      </c>
    </row>
    <row r="1102" spans="2:16" hidden="1" x14ac:dyDescent="0.3">
      <c r="B1102" s="440">
        <v>142</v>
      </c>
      <c r="C1102" s="584"/>
      <c r="D1102" s="457"/>
      <c r="E1102" s="456"/>
      <c r="F1102" s="453"/>
      <c r="G1102" s="451"/>
      <c r="H1102" s="453"/>
      <c r="I1102" s="451"/>
      <c r="J1102" s="453"/>
      <c r="K1102" s="451"/>
      <c r="L1102" s="440"/>
      <c r="M1102" s="440"/>
      <c r="N1102" s="454"/>
      <c r="O1102" s="118">
        <v>0</v>
      </c>
      <c r="P1102" s="491">
        <f t="shared" si="25"/>
        <v>0</v>
      </c>
    </row>
    <row r="1103" spans="2:16" hidden="1" x14ac:dyDescent="0.3">
      <c r="B1103" s="440">
        <v>143</v>
      </c>
      <c r="C1103" s="584"/>
      <c r="D1103" s="457"/>
      <c r="E1103" s="456"/>
      <c r="F1103" s="453"/>
      <c r="G1103" s="451"/>
      <c r="H1103" s="453"/>
      <c r="I1103" s="451"/>
      <c r="J1103" s="453"/>
      <c r="K1103" s="451"/>
      <c r="L1103" s="440"/>
      <c r="M1103" s="440"/>
      <c r="N1103" s="454"/>
      <c r="O1103" s="118">
        <v>0</v>
      </c>
      <c r="P1103" s="491">
        <f t="shared" si="25"/>
        <v>0</v>
      </c>
    </row>
    <row r="1104" spans="2:16" hidden="1" x14ac:dyDescent="0.3">
      <c r="B1104" s="440">
        <v>144</v>
      </c>
      <c r="C1104" s="584"/>
      <c r="D1104" s="457"/>
      <c r="E1104" s="456"/>
      <c r="F1104" s="453"/>
      <c r="G1104" s="451"/>
      <c r="H1104" s="453"/>
      <c r="I1104" s="451"/>
      <c r="J1104" s="453"/>
      <c r="K1104" s="451"/>
      <c r="L1104" s="440"/>
      <c r="M1104" s="440"/>
      <c r="N1104" s="454"/>
      <c r="O1104" s="118">
        <v>0</v>
      </c>
      <c r="P1104" s="491">
        <f t="shared" si="25"/>
        <v>0</v>
      </c>
    </row>
    <row r="1105" spans="2:16" hidden="1" x14ac:dyDescent="0.3">
      <c r="B1105" s="440">
        <v>145</v>
      </c>
      <c r="C1105" s="584"/>
      <c r="D1105" s="457"/>
      <c r="E1105" s="456"/>
      <c r="F1105" s="453"/>
      <c r="G1105" s="451"/>
      <c r="H1105" s="453"/>
      <c r="I1105" s="451"/>
      <c r="J1105" s="453"/>
      <c r="K1105" s="451"/>
      <c r="L1105" s="440"/>
      <c r="M1105" s="440"/>
      <c r="N1105" s="454"/>
      <c r="O1105" s="118">
        <v>0</v>
      </c>
      <c r="P1105" s="491">
        <f t="shared" si="25"/>
        <v>0</v>
      </c>
    </row>
    <row r="1106" spans="2:16" hidden="1" x14ac:dyDescent="0.3">
      <c r="B1106" s="440">
        <v>146</v>
      </c>
      <c r="C1106" s="584"/>
      <c r="D1106" s="457"/>
      <c r="E1106" s="456"/>
      <c r="F1106" s="453"/>
      <c r="G1106" s="451"/>
      <c r="H1106" s="453"/>
      <c r="I1106" s="451"/>
      <c r="J1106" s="453"/>
      <c r="K1106" s="451"/>
      <c r="L1106" s="440"/>
      <c r="M1106" s="440"/>
      <c r="N1106" s="454"/>
      <c r="O1106" s="118">
        <v>0</v>
      </c>
      <c r="P1106" s="491">
        <f t="shared" si="25"/>
        <v>0</v>
      </c>
    </row>
    <row r="1107" spans="2:16" hidden="1" x14ac:dyDescent="0.3">
      <c r="B1107" s="440">
        <v>147</v>
      </c>
      <c r="C1107" s="584"/>
      <c r="D1107" s="457"/>
      <c r="E1107" s="456"/>
      <c r="F1107" s="453"/>
      <c r="G1107" s="451"/>
      <c r="H1107" s="453"/>
      <c r="I1107" s="451"/>
      <c r="J1107" s="453"/>
      <c r="K1107" s="451"/>
      <c r="L1107" s="440"/>
      <c r="M1107" s="440"/>
      <c r="N1107" s="454"/>
      <c r="O1107" s="118">
        <v>0</v>
      </c>
      <c r="P1107" s="491">
        <f t="shared" si="25"/>
        <v>0</v>
      </c>
    </row>
    <row r="1108" spans="2:16" hidden="1" x14ac:dyDescent="0.3">
      <c r="B1108" s="440">
        <v>148</v>
      </c>
      <c r="C1108" s="584"/>
      <c r="D1108" s="457"/>
      <c r="E1108" s="456"/>
      <c r="F1108" s="453"/>
      <c r="G1108" s="451"/>
      <c r="H1108" s="453"/>
      <c r="I1108" s="451"/>
      <c r="J1108" s="453"/>
      <c r="K1108" s="451"/>
      <c r="L1108" s="440"/>
      <c r="M1108" s="440"/>
      <c r="N1108" s="454"/>
      <c r="O1108" s="118">
        <v>0</v>
      </c>
      <c r="P1108" s="491">
        <f t="shared" si="25"/>
        <v>0</v>
      </c>
    </row>
    <row r="1109" spans="2:16" hidden="1" x14ac:dyDescent="0.3">
      <c r="B1109" s="440">
        <v>149</v>
      </c>
      <c r="C1109" s="584"/>
      <c r="D1109" s="457"/>
      <c r="E1109" s="456"/>
      <c r="F1109" s="453"/>
      <c r="G1109" s="451"/>
      <c r="H1109" s="453"/>
      <c r="I1109" s="451"/>
      <c r="J1109" s="453"/>
      <c r="K1109" s="451"/>
      <c r="L1109" s="440"/>
      <c r="M1109" s="440"/>
      <c r="N1109" s="454"/>
      <c r="O1109" s="118">
        <v>0</v>
      </c>
      <c r="P1109" s="491">
        <f t="shared" si="25"/>
        <v>0</v>
      </c>
    </row>
    <row r="1110" spans="2:16" hidden="1" x14ac:dyDescent="0.3">
      <c r="B1110" s="440">
        <v>150</v>
      </c>
      <c r="C1110" s="584"/>
      <c r="D1110" s="457"/>
      <c r="E1110" s="456"/>
      <c r="F1110" s="453"/>
      <c r="G1110" s="451"/>
      <c r="H1110" s="453"/>
      <c r="I1110" s="451"/>
      <c r="J1110" s="453"/>
      <c r="K1110" s="451"/>
      <c r="L1110" s="440"/>
      <c r="M1110" s="440"/>
      <c r="N1110" s="454"/>
      <c r="O1110" s="118">
        <v>0</v>
      </c>
      <c r="P1110" s="491">
        <f t="shared" si="25"/>
        <v>0</v>
      </c>
    </row>
    <row r="1111" spans="2:16" hidden="1" x14ac:dyDescent="0.3">
      <c r="B1111" s="440">
        <v>151</v>
      </c>
      <c r="C1111" s="584"/>
      <c r="D1111" s="457"/>
      <c r="E1111" s="456"/>
      <c r="F1111" s="453"/>
      <c r="G1111" s="451"/>
      <c r="H1111" s="453"/>
      <c r="I1111" s="451"/>
      <c r="J1111" s="453"/>
      <c r="K1111" s="451"/>
      <c r="L1111" s="440"/>
      <c r="M1111" s="440"/>
      <c r="N1111" s="454"/>
      <c r="O1111" s="118">
        <v>0</v>
      </c>
      <c r="P1111" s="491">
        <f t="shared" si="25"/>
        <v>0</v>
      </c>
    </row>
    <row r="1112" spans="2:16" hidden="1" x14ac:dyDescent="0.3">
      <c r="B1112" s="440">
        <v>152</v>
      </c>
      <c r="C1112" s="584"/>
      <c r="D1112" s="457"/>
      <c r="E1112" s="456"/>
      <c r="F1112" s="453"/>
      <c r="G1112" s="451"/>
      <c r="H1112" s="453"/>
      <c r="I1112" s="451"/>
      <c r="J1112" s="453"/>
      <c r="K1112" s="451"/>
      <c r="L1112" s="440"/>
      <c r="M1112" s="440"/>
      <c r="N1112" s="454"/>
      <c r="O1112" s="118">
        <v>0</v>
      </c>
      <c r="P1112" s="491">
        <f t="shared" si="25"/>
        <v>0</v>
      </c>
    </row>
    <row r="1113" spans="2:16" hidden="1" x14ac:dyDescent="0.3">
      <c r="B1113" s="440">
        <v>153</v>
      </c>
      <c r="C1113" s="584"/>
      <c r="D1113" s="457"/>
      <c r="E1113" s="456"/>
      <c r="F1113" s="453"/>
      <c r="G1113" s="451"/>
      <c r="H1113" s="453"/>
      <c r="I1113" s="451"/>
      <c r="J1113" s="453"/>
      <c r="K1113" s="451"/>
      <c r="L1113" s="440"/>
      <c r="M1113" s="440"/>
      <c r="N1113" s="454"/>
      <c r="O1113" s="118">
        <v>0</v>
      </c>
      <c r="P1113" s="491">
        <f t="shared" si="25"/>
        <v>0</v>
      </c>
    </row>
    <row r="1114" spans="2:16" hidden="1" x14ac:dyDescent="0.3">
      <c r="B1114" s="440">
        <v>154</v>
      </c>
      <c r="C1114" s="584"/>
      <c r="D1114" s="457"/>
      <c r="E1114" s="456"/>
      <c r="F1114" s="453"/>
      <c r="G1114" s="451"/>
      <c r="H1114" s="453"/>
      <c r="I1114" s="451"/>
      <c r="J1114" s="453"/>
      <c r="K1114" s="451"/>
      <c r="L1114" s="440"/>
      <c r="M1114" s="440"/>
      <c r="N1114" s="454"/>
      <c r="O1114" s="118">
        <v>0</v>
      </c>
      <c r="P1114" s="491">
        <f t="shared" si="25"/>
        <v>0</v>
      </c>
    </row>
    <row r="1115" spans="2:16" hidden="1" x14ac:dyDescent="0.3">
      <c r="B1115" s="440">
        <v>155</v>
      </c>
      <c r="C1115" s="584"/>
      <c r="D1115" s="457"/>
      <c r="E1115" s="456"/>
      <c r="F1115" s="453"/>
      <c r="G1115" s="451"/>
      <c r="H1115" s="453"/>
      <c r="I1115" s="451"/>
      <c r="J1115" s="453"/>
      <c r="K1115" s="451"/>
      <c r="L1115" s="440"/>
      <c r="M1115" s="440"/>
      <c r="N1115" s="454"/>
      <c r="O1115" s="118">
        <v>0</v>
      </c>
      <c r="P1115" s="491">
        <f t="shared" si="25"/>
        <v>0</v>
      </c>
    </row>
    <row r="1116" spans="2:16" hidden="1" x14ac:dyDescent="0.3">
      <c r="B1116" s="440">
        <v>156</v>
      </c>
      <c r="C1116" s="584"/>
      <c r="D1116" s="457"/>
      <c r="E1116" s="456"/>
      <c r="F1116" s="453"/>
      <c r="G1116" s="451"/>
      <c r="H1116" s="453"/>
      <c r="I1116" s="451"/>
      <c r="J1116" s="453"/>
      <c r="K1116" s="451"/>
      <c r="L1116" s="440"/>
      <c r="M1116" s="440"/>
      <c r="N1116" s="454"/>
      <c r="O1116" s="118">
        <v>0</v>
      </c>
      <c r="P1116" s="491">
        <f t="shared" si="25"/>
        <v>0</v>
      </c>
    </row>
    <row r="1117" spans="2:16" hidden="1" x14ac:dyDescent="0.3">
      <c r="B1117" s="440">
        <v>157</v>
      </c>
      <c r="C1117" s="584"/>
      <c r="D1117" s="457"/>
      <c r="E1117" s="456"/>
      <c r="F1117" s="453"/>
      <c r="G1117" s="451"/>
      <c r="H1117" s="453"/>
      <c r="I1117" s="451"/>
      <c r="J1117" s="453"/>
      <c r="K1117" s="451"/>
      <c r="L1117" s="440"/>
      <c r="M1117" s="440"/>
      <c r="N1117" s="454"/>
      <c r="O1117" s="118">
        <v>0</v>
      </c>
      <c r="P1117" s="491">
        <f t="shared" si="25"/>
        <v>0</v>
      </c>
    </row>
    <row r="1118" spans="2:16" hidden="1" x14ac:dyDescent="0.3">
      <c r="B1118" s="440">
        <v>158</v>
      </c>
      <c r="C1118" s="584"/>
      <c r="D1118" s="457"/>
      <c r="E1118" s="456"/>
      <c r="F1118" s="453"/>
      <c r="G1118" s="451"/>
      <c r="H1118" s="453"/>
      <c r="I1118" s="451"/>
      <c r="J1118" s="453"/>
      <c r="K1118" s="451"/>
      <c r="L1118" s="440"/>
      <c r="M1118" s="440"/>
      <c r="N1118" s="454"/>
      <c r="O1118" s="118">
        <v>0</v>
      </c>
      <c r="P1118" s="491">
        <f t="shared" si="25"/>
        <v>0</v>
      </c>
    </row>
    <row r="1119" spans="2:16" hidden="1" x14ac:dyDescent="0.3">
      <c r="B1119" s="440">
        <v>159</v>
      </c>
      <c r="C1119" s="584"/>
      <c r="D1119" s="457"/>
      <c r="E1119" s="456"/>
      <c r="F1119" s="453"/>
      <c r="G1119" s="451"/>
      <c r="H1119" s="453"/>
      <c r="I1119" s="451"/>
      <c r="J1119" s="453"/>
      <c r="K1119" s="451"/>
      <c r="L1119" s="440"/>
      <c r="M1119" s="440"/>
      <c r="N1119" s="454"/>
      <c r="O1119" s="118">
        <v>0</v>
      </c>
      <c r="P1119" s="491">
        <f t="shared" si="25"/>
        <v>0</v>
      </c>
    </row>
    <row r="1120" spans="2:16" hidden="1" x14ac:dyDescent="0.3">
      <c r="B1120" s="440">
        <v>160</v>
      </c>
      <c r="C1120" s="584"/>
      <c r="D1120" s="457"/>
      <c r="E1120" s="456"/>
      <c r="F1120" s="453"/>
      <c r="G1120" s="451"/>
      <c r="H1120" s="453"/>
      <c r="I1120" s="451"/>
      <c r="J1120" s="453"/>
      <c r="K1120" s="451"/>
      <c r="L1120" s="440"/>
      <c r="M1120" s="440"/>
      <c r="N1120" s="454"/>
      <c r="O1120" s="118">
        <v>0</v>
      </c>
      <c r="P1120" s="491">
        <f t="shared" si="25"/>
        <v>0</v>
      </c>
    </row>
    <row r="1121" spans="2:16" hidden="1" x14ac:dyDescent="0.3">
      <c r="B1121" s="440">
        <v>161</v>
      </c>
      <c r="C1121" s="584"/>
      <c r="D1121" s="457"/>
      <c r="E1121" s="456"/>
      <c r="F1121" s="453"/>
      <c r="G1121" s="451"/>
      <c r="H1121" s="453"/>
      <c r="I1121" s="451"/>
      <c r="J1121" s="453"/>
      <c r="K1121" s="451"/>
      <c r="L1121" s="440"/>
      <c r="M1121" s="440"/>
      <c r="N1121" s="454"/>
      <c r="O1121" s="118">
        <v>0</v>
      </c>
      <c r="P1121" s="491">
        <f t="shared" si="25"/>
        <v>0</v>
      </c>
    </row>
    <row r="1122" spans="2:16" hidden="1" x14ac:dyDescent="0.3">
      <c r="B1122" s="440">
        <v>162</v>
      </c>
      <c r="C1122" s="584"/>
      <c r="D1122" s="457"/>
      <c r="E1122" s="456"/>
      <c r="F1122" s="453"/>
      <c r="G1122" s="451"/>
      <c r="H1122" s="453"/>
      <c r="I1122" s="451"/>
      <c r="J1122" s="453"/>
      <c r="K1122" s="451"/>
      <c r="L1122" s="440"/>
      <c r="M1122" s="440"/>
      <c r="N1122" s="454"/>
      <c r="O1122" s="118">
        <v>0</v>
      </c>
      <c r="P1122" s="491">
        <f t="shared" si="25"/>
        <v>0</v>
      </c>
    </row>
    <row r="1123" spans="2:16" hidden="1" x14ac:dyDescent="0.3">
      <c r="B1123" s="440">
        <v>163</v>
      </c>
      <c r="C1123" s="584"/>
      <c r="D1123" s="457"/>
      <c r="E1123" s="456"/>
      <c r="F1123" s="453"/>
      <c r="G1123" s="451"/>
      <c r="H1123" s="453"/>
      <c r="I1123" s="451"/>
      <c r="J1123" s="453"/>
      <c r="K1123" s="451"/>
      <c r="L1123" s="440"/>
      <c r="M1123" s="440"/>
      <c r="N1123" s="454"/>
      <c r="O1123" s="118">
        <v>0</v>
      </c>
      <c r="P1123" s="491">
        <f t="shared" si="25"/>
        <v>0</v>
      </c>
    </row>
    <row r="1124" spans="2:16" hidden="1" x14ac:dyDescent="0.3">
      <c r="B1124" s="440">
        <v>164</v>
      </c>
      <c r="C1124" s="584"/>
      <c r="D1124" s="457"/>
      <c r="E1124" s="456"/>
      <c r="F1124" s="453"/>
      <c r="G1124" s="451"/>
      <c r="H1124" s="453"/>
      <c r="I1124" s="451"/>
      <c r="J1124" s="453"/>
      <c r="K1124" s="451"/>
      <c r="L1124" s="440"/>
      <c r="M1124" s="440"/>
      <c r="N1124" s="454"/>
      <c r="O1124" s="118">
        <v>0</v>
      </c>
      <c r="P1124" s="491">
        <f t="shared" si="25"/>
        <v>0</v>
      </c>
    </row>
    <row r="1125" spans="2:16" hidden="1" x14ac:dyDescent="0.3">
      <c r="B1125" s="440">
        <v>165</v>
      </c>
      <c r="C1125" s="584"/>
      <c r="D1125" s="457"/>
      <c r="E1125" s="456"/>
      <c r="F1125" s="453"/>
      <c r="G1125" s="451"/>
      <c r="H1125" s="453"/>
      <c r="I1125" s="451"/>
      <c r="J1125" s="453"/>
      <c r="K1125" s="451"/>
      <c r="L1125" s="440"/>
      <c r="M1125" s="440"/>
      <c r="N1125" s="454"/>
      <c r="O1125" s="118">
        <v>0</v>
      </c>
      <c r="P1125" s="491">
        <f t="shared" si="25"/>
        <v>0</v>
      </c>
    </row>
    <row r="1126" spans="2:16" hidden="1" x14ac:dyDescent="0.3">
      <c r="B1126" s="440">
        <v>166</v>
      </c>
      <c r="C1126" s="584"/>
      <c r="D1126" s="457"/>
      <c r="E1126" s="456"/>
      <c r="F1126" s="453"/>
      <c r="G1126" s="451"/>
      <c r="H1126" s="453"/>
      <c r="I1126" s="451"/>
      <c r="J1126" s="453"/>
      <c r="K1126" s="451"/>
      <c r="L1126" s="440"/>
      <c r="M1126" s="440"/>
      <c r="N1126" s="454"/>
      <c r="O1126" s="118">
        <v>0</v>
      </c>
      <c r="P1126" s="491">
        <f t="shared" si="25"/>
        <v>0</v>
      </c>
    </row>
    <row r="1127" spans="2:16" hidden="1" x14ac:dyDescent="0.3">
      <c r="B1127" s="440">
        <v>167</v>
      </c>
      <c r="C1127" s="584"/>
      <c r="D1127" s="457"/>
      <c r="E1127" s="456"/>
      <c r="F1127" s="453"/>
      <c r="G1127" s="451"/>
      <c r="H1127" s="453"/>
      <c r="I1127" s="451"/>
      <c r="J1127" s="453"/>
      <c r="K1127" s="451"/>
      <c r="L1127" s="440"/>
      <c r="M1127" s="440"/>
      <c r="N1127" s="454"/>
      <c r="O1127" s="118">
        <v>0</v>
      </c>
      <c r="P1127" s="491">
        <f t="shared" si="25"/>
        <v>0</v>
      </c>
    </row>
    <row r="1128" spans="2:16" hidden="1" x14ac:dyDescent="0.3">
      <c r="B1128" s="440">
        <v>168</v>
      </c>
      <c r="C1128" s="584"/>
      <c r="D1128" s="457"/>
      <c r="E1128" s="456"/>
      <c r="F1128" s="453"/>
      <c r="G1128" s="451"/>
      <c r="H1128" s="453"/>
      <c r="I1128" s="451"/>
      <c r="J1128" s="453"/>
      <c r="K1128" s="451"/>
      <c r="L1128" s="440"/>
      <c r="M1128" s="440"/>
      <c r="N1128" s="454"/>
      <c r="O1128" s="118">
        <v>0</v>
      </c>
      <c r="P1128" s="491">
        <f t="shared" si="25"/>
        <v>0</v>
      </c>
    </row>
    <row r="1129" spans="2:16" hidden="1" x14ac:dyDescent="0.3">
      <c r="B1129" s="440">
        <v>169</v>
      </c>
      <c r="C1129" s="584"/>
      <c r="D1129" s="457"/>
      <c r="E1129" s="456"/>
      <c r="F1129" s="453"/>
      <c r="G1129" s="451"/>
      <c r="H1129" s="453"/>
      <c r="I1129" s="451"/>
      <c r="J1129" s="453"/>
      <c r="K1129" s="451"/>
      <c r="L1129" s="440"/>
      <c r="M1129" s="440"/>
      <c r="N1129" s="454"/>
      <c r="O1129" s="118">
        <v>0</v>
      </c>
      <c r="P1129" s="491">
        <f t="shared" si="25"/>
        <v>0</v>
      </c>
    </row>
    <row r="1130" spans="2:16" hidden="1" x14ac:dyDescent="0.3">
      <c r="B1130" s="440">
        <v>170</v>
      </c>
      <c r="C1130" s="584"/>
      <c r="D1130" s="457"/>
      <c r="E1130" s="456"/>
      <c r="F1130" s="453"/>
      <c r="G1130" s="451"/>
      <c r="H1130" s="453"/>
      <c r="I1130" s="451"/>
      <c r="J1130" s="453"/>
      <c r="K1130" s="451"/>
      <c r="L1130" s="440"/>
      <c r="M1130" s="440"/>
      <c r="N1130" s="454"/>
      <c r="O1130" s="118">
        <v>0</v>
      </c>
      <c r="P1130" s="491">
        <f t="shared" si="25"/>
        <v>0</v>
      </c>
    </row>
    <row r="1131" spans="2:16" hidden="1" x14ac:dyDescent="0.3">
      <c r="B1131" s="440">
        <v>171</v>
      </c>
      <c r="C1131" s="584"/>
      <c r="D1131" s="457"/>
      <c r="E1131" s="456"/>
      <c r="F1131" s="453"/>
      <c r="G1131" s="451"/>
      <c r="H1131" s="453"/>
      <c r="I1131" s="451"/>
      <c r="J1131" s="453"/>
      <c r="K1131" s="451"/>
      <c r="L1131" s="440"/>
      <c r="M1131" s="440"/>
      <c r="N1131" s="454"/>
      <c r="O1131" s="118">
        <v>0</v>
      </c>
      <c r="P1131" s="491">
        <f t="shared" si="25"/>
        <v>0</v>
      </c>
    </row>
    <row r="1132" spans="2:16" hidden="1" x14ac:dyDescent="0.3">
      <c r="B1132" s="440">
        <v>172</v>
      </c>
      <c r="C1132" s="584"/>
      <c r="D1132" s="457"/>
      <c r="E1132" s="456"/>
      <c r="F1132" s="453"/>
      <c r="G1132" s="451"/>
      <c r="H1132" s="453"/>
      <c r="I1132" s="451"/>
      <c r="J1132" s="453"/>
      <c r="K1132" s="451"/>
      <c r="L1132" s="440"/>
      <c r="M1132" s="440"/>
      <c r="N1132" s="454"/>
      <c r="O1132" s="118">
        <v>0</v>
      </c>
      <c r="P1132" s="491">
        <f t="shared" si="25"/>
        <v>0</v>
      </c>
    </row>
    <row r="1133" spans="2:16" hidden="1" x14ac:dyDescent="0.3">
      <c r="B1133" s="440">
        <v>173</v>
      </c>
      <c r="C1133" s="584"/>
      <c r="D1133" s="457"/>
      <c r="E1133" s="456"/>
      <c r="F1133" s="453"/>
      <c r="G1133" s="451"/>
      <c r="H1133" s="453"/>
      <c r="I1133" s="451"/>
      <c r="J1133" s="453"/>
      <c r="K1133" s="451"/>
      <c r="L1133" s="440"/>
      <c r="M1133" s="440"/>
      <c r="N1133" s="454"/>
      <c r="O1133" s="118">
        <v>0</v>
      </c>
      <c r="P1133" s="491">
        <f t="shared" si="25"/>
        <v>0</v>
      </c>
    </row>
    <row r="1134" spans="2:16" hidden="1" x14ac:dyDescent="0.3">
      <c r="B1134" s="440">
        <v>174</v>
      </c>
      <c r="C1134" s="584"/>
      <c r="D1134" s="457"/>
      <c r="E1134" s="456"/>
      <c r="F1134" s="453"/>
      <c r="G1134" s="451"/>
      <c r="H1134" s="453"/>
      <c r="I1134" s="451"/>
      <c r="J1134" s="453"/>
      <c r="K1134" s="451"/>
      <c r="L1134" s="440"/>
      <c r="M1134" s="440"/>
      <c r="N1134" s="454"/>
      <c r="O1134" s="118">
        <v>0</v>
      </c>
      <c r="P1134" s="491">
        <f t="shared" si="25"/>
        <v>0</v>
      </c>
    </row>
    <row r="1135" spans="2:16" hidden="1" x14ac:dyDescent="0.3">
      <c r="B1135" s="440">
        <v>175</v>
      </c>
      <c r="C1135" s="584"/>
      <c r="D1135" s="457"/>
      <c r="E1135" s="456"/>
      <c r="F1135" s="453"/>
      <c r="G1135" s="451"/>
      <c r="H1135" s="453"/>
      <c r="I1135" s="451"/>
      <c r="J1135" s="453"/>
      <c r="K1135" s="451"/>
      <c r="L1135" s="440"/>
      <c r="M1135" s="440"/>
      <c r="N1135" s="454"/>
      <c r="O1135" s="118">
        <v>0</v>
      </c>
      <c r="P1135" s="491">
        <f t="shared" si="25"/>
        <v>0</v>
      </c>
    </row>
    <row r="1136" spans="2:16" hidden="1" x14ac:dyDescent="0.3">
      <c r="B1136" s="440">
        <v>176</v>
      </c>
      <c r="C1136" s="584"/>
      <c r="D1136" s="457"/>
      <c r="E1136" s="456"/>
      <c r="F1136" s="453"/>
      <c r="G1136" s="451"/>
      <c r="H1136" s="453"/>
      <c r="I1136" s="451"/>
      <c r="J1136" s="453"/>
      <c r="K1136" s="451"/>
      <c r="L1136" s="440"/>
      <c r="M1136" s="440"/>
      <c r="N1136" s="454"/>
      <c r="O1136" s="118">
        <v>0</v>
      </c>
      <c r="P1136" s="491">
        <f t="shared" si="25"/>
        <v>0</v>
      </c>
    </row>
    <row r="1137" spans="2:16" hidden="1" x14ac:dyDescent="0.3">
      <c r="B1137" s="440">
        <v>177</v>
      </c>
      <c r="C1137" s="584"/>
      <c r="D1137" s="457"/>
      <c r="E1137" s="456"/>
      <c r="F1137" s="453"/>
      <c r="G1137" s="451"/>
      <c r="H1137" s="453"/>
      <c r="I1137" s="451"/>
      <c r="J1137" s="453"/>
      <c r="K1137" s="451"/>
      <c r="L1137" s="440"/>
      <c r="M1137" s="440"/>
      <c r="N1137" s="454"/>
      <c r="O1137" s="118">
        <v>0</v>
      </c>
      <c r="P1137" s="491">
        <f t="shared" si="25"/>
        <v>0</v>
      </c>
    </row>
    <row r="1138" spans="2:16" hidden="1" x14ac:dyDescent="0.3">
      <c r="B1138" s="440">
        <v>178</v>
      </c>
      <c r="C1138" s="584"/>
      <c r="D1138" s="457"/>
      <c r="E1138" s="456"/>
      <c r="F1138" s="453"/>
      <c r="G1138" s="451"/>
      <c r="H1138" s="453"/>
      <c r="I1138" s="451"/>
      <c r="J1138" s="453"/>
      <c r="K1138" s="451"/>
      <c r="L1138" s="440"/>
      <c r="M1138" s="440"/>
      <c r="N1138" s="454"/>
      <c r="O1138" s="118">
        <v>0</v>
      </c>
      <c r="P1138" s="491">
        <f t="shared" si="25"/>
        <v>0</v>
      </c>
    </row>
    <row r="1139" spans="2:16" hidden="1" x14ac:dyDescent="0.3">
      <c r="B1139" s="440">
        <v>179</v>
      </c>
      <c r="C1139" s="584"/>
      <c r="D1139" s="457"/>
      <c r="E1139" s="456"/>
      <c r="F1139" s="453"/>
      <c r="G1139" s="451"/>
      <c r="H1139" s="453"/>
      <c r="I1139" s="451"/>
      <c r="J1139" s="453"/>
      <c r="K1139" s="451"/>
      <c r="L1139" s="440"/>
      <c r="M1139" s="440"/>
      <c r="N1139" s="454"/>
      <c r="O1139" s="118">
        <v>0</v>
      </c>
      <c r="P1139" s="491">
        <f t="shared" si="25"/>
        <v>0</v>
      </c>
    </row>
    <row r="1140" spans="2:16" hidden="1" x14ac:dyDescent="0.3">
      <c r="B1140" s="440">
        <v>180</v>
      </c>
      <c r="C1140" s="584"/>
      <c r="D1140" s="457"/>
      <c r="E1140" s="456"/>
      <c r="F1140" s="453"/>
      <c r="G1140" s="451"/>
      <c r="H1140" s="453"/>
      <c r="I1140" s="451"/>
      <c r="J1140" s="453"/>
      <c r="K1140" s="451"/>
      <c r="L1140" s="440"/>
      <c r="M1140" s="440"/>
      <c r="N1140" s="454"/>
      <c r="O1140" s="118">
        <v>0</v>
      </c>
      <c r="P1140" s="491">
        <f t="shared" si="25"/>
        <v>0</v>
      </c>
    </row>
    <row r="1141" spans="2:16" hidden="1" x14ac:dyDescent="0.3">
      <c r="B1141" s="440">
        <v>181</v>
      </c>
      <c r="C1141" s="584"/>
      <c r="D1141" s="457"/>
      <c r="E1141" s="456"/>
      <c r="F1141" s="453"/>
      <c r="G1141" s="451"/>
      <c r="H1141" s="453"/>
      <c r="I1141" s="451"/>
      <c r="J1141" s="453"/>
      <c r="K1141" s="451"/>
      <c r="L1141" s="440"/>
      <c r="M1141" s="440"/>
      <c r="N1141" s="454"/>
      <c r="O1141" s="118">
        <v>0</v>
      </c>
      <c r="P1141" s="491">
        <f t="shared" si="25"/>
        <v>0</v>
      </c>
    </row>
    <row r="1142" spans="2:16" hidden="1" x14ac:dyDescent="0.3">
      <c r="B1142" s="440">
        <v>182</v>
      </c>
      <c r="C1142" s="584"/>
      <c r="D1142" s="457"/>
      <c r="E1142" s="456"/>
      <c r="F1142" s="453"/>
      <c r="G1142" s="451"/>
      <c r="H1142" s="453"/>
      <c r="I1142" s="451"/>
      <c r="J1142" s="453"/>
      <c r="K1142" s="451"/>
      <c r="L1142" s="440"/>
      <c r="M1142" s="440"/>
      <c r="N1142" s="454"/>
      <c r="O1142" s="118">
        <v>0</v>
      </c>
      <c r="P1142" s="491">
        <f t="shared" si="25"/>
        <v>0</v>
      </c>
    </row>
    <row r="1143" spans="2:16" hidden="1" x14ac:dyDescent="0.3">
      <c r="B1143" s="440">
        <v>183</v>
      </c>
      <c r="C1143" s="584"/>
      <c r="D1143" s="457"/>
      <c r="E1143" s="456"/>
      <c r="F1143" s="453"/>
      <c r="G1143" s="451"/>
      <c r="H1143" s="453"/>
      <c r="I1143" s="451"/>
      <c r="J1143" s="453"/>
      <c r="K1143" s="451"/>
      <c r="L1143" s="440"/>
      <c r="M1143" s="440"/>
      <c r="N1143" s="454"/>
      <c r="O1143" s="118">
        <v>0</v>
      </c>
      <c r="P1143" s="491">
        <f t="shared" si="25"/>
        <v>0</v>
      </c>
    </row>
    <row r="1144" spans="2:16" hidden="1" x14ac:dyDescent="0.3">
      <c r="B1144" s="440">
        <v>184</v>
      </c>
      <c r="C1144" s="584"/>
      <c r="D1144" s="457"/>
      <c r="E1144" s="456"/>
      <c r="F1144" s="453"/>
      <c r="G1144" s="451"/>
      <c r="H1144" s="453"/>
      <c r="I1144" s="451"/>
      <c r="J1144" s="453"/>
      <c r="K1144" s="451"/>
      <c r="L1144" s="440"/>
      <c r="M1144" s="440"/>
      <c r="N1144" s="454"/>
      <c r="O1144" s="118">
        <v>0</v>
      </c>
      <c r="P1144" s="491">
        <f t="shared" si="25"/>
        <v>0</v>
      </c>
    </row>
    <row r="1145" spans="2:16" hidden="1" x14ac:dyDescent="0.3">
      <c r="B1145" s="440">
        <v>185</v>
      </c>
      <c r="C1145" s="584"/>
      <c r="D1145" s="457"/>
      <c r="E1145" s="456"/>
      <c r="F1145" s="453"/>
      <c r="G1145" s="451"/>
      <c r="H1145" s="453"/>
      <c r="I1145" s="451"/>
      <c r="J1145" s="453"/>
      <c r="K1145" s="451"/>
      <c r="L1145" s="440"/>
      <c r="M1145" s="440"/>
      <c r="N1145" s="454"/>
      <c r="O1145" s="118">
        <v>0</v>
      </c>
      <c r="P1145" s="491">
        <f t="shared" si="25"/>
        <v>0</v>
      </c>
    </row>
    <row r="1146" spans="2:16" hidden="1" x14ac:dyDescent="0.3">
      <c r="B1146" s="440">
        <v>186</v>
      </c>
      <c r="C1146" s="584"/>
      <c r="D1146" s="457"/>
      <c r="E1146" s="456"/>
      <c r="F1146" s="453"/>
      <c r="G1146" s="451"/>
      <c r="H1146" s="453"/>
      <c r="I1146" s="451"/>
      <c r="J1146" s="453"/>
      <c r="K1146" s="451"/>
      <c r="L1146" s="440"/>
      <c r="M1146" s="440"/>
      <c r="N1146" s="454"/>
      <c r="O1146" s="118">
        <v>0</v>
      </c>
      <c r="P1146" s="491">
        <f t="shared" si="25"/>
        <v>0</v>
      </c>
    </row>
    <row r="1147" spans="2:16" hidden="1" x14ac:dyDescent="0.3">
      <c r="B1147" s="440">
        <v>187</v>
      </c>
      <c r="C1147" s="584"/>
      <c r="D1147" s="457"/>
      <c r="E1147" s="456"/>
      <c r="F1147" s="453"/>
      <c r="G1147" s="451"/>
      <c r="H1147" s="453"/>
      <c r="I1147" s="451"/>
      <c r="J1147" s="453"/>
      <c r="K1147" s="451"/>
      <c r="L1147" s="440"/>
      <c r="M1147" s="440"/>
      <c r="N1147" s="454"/>
      <c r="O1147" s="118">
        <v>0</v>
      </c>
      <c r="P1147" s="491">
        <f t="shared" si="25"/>
        <v>0</v>
      </c>
    </row>
    <row r="1148" spans="2:16" hidden="1" x14ac:dyDescent="0.3">
      <c r="B1148" s="440">
        <v>188</v>
      </c>
      <c r="C1148" s="584"/>
      <c r="D1148" s="457"/>
      <c r="E1148" s="456"/>
      <c r="F1148" s="453"/>
      <c r="G1148" s="451"/>
      <c r="H1148" s="453"/>
      <c r="I1148" s="451"/>
      <c r="J1148" s="453"/>
      <c r="K1148" s="451"/>
      <c r="L1148" s="440"/>
      <c r="M1148" s="440"/>
      <c r="N1148" s="454"/>
      <c r="O1148" s="118">
        <v>0</v>
      </c>
      <c r="P1148" s="491">
        <f t="shared" si="25"/>
        <v>0</v>
      </c>
    </row>
    <row r="1149" spans="2:16" hidden="1" x14ac:dyDescent="0.3">
      <c r="B1149" s="440">
        <v>189</v>
      </c>
      <c r="C1149" s="584"/>
      <c r="D1149" s="457"/>
      <c r="E1149" s="456"/>
      <c r="F1149" s="453"/>
      <c r="G1149" s="451"/>
      <c r="H1149" s="453"/>
      <c r="I1149" s="451"/>
      <c r="J1149" s="453"/>
      <c r="K1149" s="451"/>
      <c r="L1149" s="440"/>
      <c r="M1149" s="440"/>
      <c r="N1149" s="454"/>
      <c r="O1149" s="118">
        <v>0</v>
      </c>
      <c r="P1149" s="491">
        <f t="shared" si="25"/>
        <v>0</v>
      </c>
    </row>
    <row r="1150" spans="2:16" hidden="1" x14ac:dyDescent="0.3">
      <c r="B1150" s="440">
        <v>190</v>
      </c>
      <c r="C1150" s="584"/>
      <c r="D1150" s="457"/>
      <c r="E1150" s="456"/>
      <c r="F1150" s="453"/>
      <c r="G1150" s="451"/>
      <c r="H1150" s="453"/>
      <c r="I1150" s="451"/>
      <c r="J1150" s="453"/>
      <c r="K1150" s="451"/>
      <c r="L1150" s="440"/>
      <c r="M1150" s="440"/>
      <c r="N1150" s="454"/>
      <c r="O1150" s="118">
        <v>0</v>
      </c>
      <c r="P1150" s="491">
        <f t="shared" si="25"/>
        <v>0</v>
      </c>
    </row>
    <row r="1151" spans="2:16" hidden="1" x14ac:dyDescent="0.3">
      <c r="B1151" s="440">
        <v>191</v>
      </c>
      <c r="C1151" s="584"/>
      <c r="D1151" s="457"/>
      <c r="E1151" s="456"/>
      <c r="F1151" s="453"/>
      <c r="G1151" s="451"/>
      <c r="H1151" s="453"/>
      <c r="I1151" s="451"/>
      <c r="J1151" s="453"/>
      <c r="K1151" s="451"/>
      <c r="L1151" s="440"/>
      <c r="M1151" s="440"/>
      <c r="N1151" s="454"/>
      <c r="O1151" s="118">
        <v>0</v>
      </c>
      <c r="P1151" s="491">
        <f t="shared" si="25"/>
        <v>0</v>
      </c>
    </row>
    <row r="1152" spans="2:16" hidden="1" x14ac:dyDescent="0.3">
      <c r="B1152" s="440">
        <v>192</v>
      </c>
      <c r="C1152" s="584"/>
      <c r="D1152" s="457"/>
      <c r="E1152" s="456"/>
      <c r="F1152" s="453"/>
      <c r="G1152" s="451"/>
      <c r="H1152" s="453"/>
      <c r="I1152" s="451"/>
      <c r="J1152" s="453"/>
      <c r="K1152" s="451"/>
      <c r="L1152" s="440"/>
      <c r="M1152" s="440"/>
      <c r="N1152" s="454"/>
      <c r="O1152" s="118">
        <v>0</v>
      </c>
      <c r="P1152" s="491">
        <f t="shared" si="25"/>
        <v>0</v>
      </c>
    </row>
    <row r="1153" spans="2:16" hidden="1" x14ac:dyDescent="0.3">
      <c r="B1153" s="440">
        <v>193</v>
      </c>
      <c r="C1153" s="584"/>
      <c r="D1153" s="457"/>
      <c r="E1153" s="456"/>
      <c r="F1153" s="453"/>
      <c r="G1153" s="451"/>
      <c r="H1153" s="453"/>
      <c r="I1153" s="451"/>
      <c r="J1153" s="453"/>
      <c r="K1153" s="451"/>
      <c r="L1153" s="440"/>
      <c r="M1153" s="440"/>
      <c r="N1153" s="454"/>
      <c r="O1153" s="118">
        <v>0</v>
      </c>
      <c r="P1153" s="491">
        <f t="shared" si="25"/>
        <v>0</v>
      </c>
    </row>
    <row r="1154" spans="2:16" hidden="1" x14ac:dyDescent="0.3">
      <c r="B1154" s="440">
        <v>194</v>
      </c>
      <c r="C1154" s="584"/>
      <c r="D1154" s="457"/>
      <c r="E1154" s="456"/>
      <c r="F1154" s="453"/>
      <c r="G1154" s="451"/>
      <c r="H1154" s="453"/>
      <c r="I1154" s="451"/>
      <c r="J1154" s="453"/>
      <c r="K1154" s="451"/>
      <c r="L1154" s="440"/>
      <c r="M1154" s="440"/>
      <c r="N1154" s="454"/>
      <c r="O1154" s="118">
        <v>0</v>
      </c>
      <c r="P1154" s="491">
        <f t="shared" si="25"/>
        <v>0</v>
      </c>
    </row>
    <row r="1155" spans="2:16" hidden="1" x14ac:dyDescent="0.3">
      <c r="B1155" s="440">
        <v>195</v>
      </c>
      <c r="C1155" s="584"/>
      <c r="D1155" s="457"/>
      <c r="E1155" s="456"/>
      <c r="F1155" s="453"/>
      <c r="G1155" s="451"/>
      <c r="H1155" s="453"/>
      <c r="I1155" s="451"/>
      <c r="J1155" s="453"/>
      <c r="K1155" s="451"/>
      <c r="L1155" s="440"/>
      <c r="M1155" s="440"/>
      <c r="N1155" s="454"/>
      <c r="O1155" s="118">
        <v>0</v>
      </c>
      <c r="P1155" s="491">
        <f t="shared" si="25"/>
        <v>0</v>
      </c>
    </row>
    <row r="1156" spans="2:16" hidden="1" x14ac:dyDescent="0.3">
      <c r="B1156" s="440">
        <v>196</v>
      </c>
      <c r="C1156" s="584"/>
      <c r="D1156" s="457"/>
      <c r="E1156" s="456"/>
      <c r="F1156" s="453"/>
      <c r="G1156" s="451"/>
      <c r="H1156" s="453"/>
      <c r="I1156" s="451"/>
      <c r="J1156" s="453"/>
      <c r="K1156" s="451"/>
      <c r="L1156" s="440"/>
      <c r="M1156" s="440"/>
      <c r="N1156" s="454"/>
      <c r="O1156" s="118">
        <v>0</v>
      </c>
      <c r="P1156" s="491">
        <f t="shared" si="25"/>
        <v>0</v>
      </c>
    </row>
    <row r="1157" spans="2:16" hidden="1" x14ac:dyDescent="0.3">
      <c r="B1157" s="440">
        <v>197</v>
      </c>
      <c r="C1157" s="584"/>
      <c r="D1157" s="457"/>
      <c r="E1157" s="456"/>
      <c r="F1157" s="453"/>
      <c r="G1157" s="451"/>
      <c r="H1157" s="453"/>
      <c r="I1157" s="451"/>
      <c r="J1157" s="453"/>
      <c r="K1157" s="451"/>
      <c r="L1157" s="440"/>
      <c r="M1157" s="440"/>
      <c r="N1157" s="454"/>
      <c r="O1157" s="118">
        <v>0</v>
      </c>
      <c r="P1157" s="491">
        <f t="shared" si="25"/>
        <v>0</v>
      </c>
    </row>
    <row r="1158" spans="2:16" hidden="1" x14ac:dyDescent="0.3">
      <c r="B1158" s="440">
        <v>198</v>
      </c>
      <c r="C1158" s="584"/>
      <c r="D1158" s="457"/>
      <c r="E1158" s="456"/>
      <c r="F1158" s="453"/>
      <c r="G1158" s="451"/>
      <c r="H1158" s="453"/>
      <c r="I1158" s="451"/>
      <c r="J1158" s="453"/>
      <c r="K1158" s="451"/>
      <c r="L1158" s="440"/>
      <c r="M1158" s="440"/>
      <c r="N1158" s="454"/>
      <c r="O1158" s="118">
        <v>0</v>
      </c>
      <c r="P1158" s="491">
        <f t="shared" si="25"/>
        <v>0</v>
      </c>
    </row>
    <row r="1159" spans="2:16" hidden="1" x14ac:dyDescent="0.3">
      <c r="B1159" s="440">
        <v>199</v>
      </c>
      <c r="C1159" s="584"/>
      <c r="D1159" s="457"/>
      <c r="E1159" s="456"/>
      <c r="F1159" s="453"/>
      <c r="G1159" s="451"/>
      <c r="H1159" s="453"/>
      <c r="I1159" s="451"/>
      <c r="J1159" s="453"/>
      <c r="K1159" s="451"/>
      <c r="L1159" s="440"/>
      <c r="M1159" s="440"/>
      <c r="N1159" s="454"/>
      <c r="O1159" s="118">
        <v>0</v>
      </c>
      <c r="P1159" s="491">
        <f t="shared" si="25"/>
        <v>0</v>
      </c>
    </row>
    <row r="1160" spans="2:16" hidden="1" x14ac:dyDescent="0.3">
      <c r="B1160" s="440">
        <v>200</v>
      </c>
      <c r="C1160" s="584"/>
      <c r="D1160" s="457"/>
      <c r="E1160" s="456"/>
      <c r="F1160" s="453"/>
      <c r="G1160" s="451"/>
      <c r="H1160" s="453"/>
      <c r="I1160" s="451"/>
      <c r="J1160" s="453"/>
      <c r="K1160" s="451"/>
      <c r="L1160" s="440"/>
      <c r="M1160" s="440"/>
      <c r="N1160" s="454"/>
      <c r="O1160" s="118">
        <v>0</v>
      </c>
      <c r="P1160" s="491">
        <f t="shared" si="25"/>
        <v>0</v>
      </c>
    </row>
    <row r="1161" spans="2:16" hidden="1" x14ac:dyDescent="0.3">
      <c r="B1161" s="440">
        <v>201</v>
      </c>
      <c r="C1161" s="584"/>
      <c r="D1161" s="457"/>
      <c r="E1161" s="456"/>
      <c r="F1161" s="453"/>
      <c r="G1161" s="451"/>
      <c r="H1161" s="453"/>
      <c r="I1161" s="451"/>
      <c r="J1161" s="453"/>
      <c r="K1161" s="451"/>
      <c r="L1161" s="440"/>
      <c r="M1161" s="440"/>
      <c r="N1161" s="454"/>
      <c r="O1161" s="118">
        <v>0</v>
      </c>
      <c r="P1161" s="491">
        <f t="shared" si="25"/>
        <v>0</v>
      </c>
    </row>
    <row r="1162" spans="2:16" hidden="1" x14ac:dyDescent="0.3">
      <c r="B1162" s="440">
        <v>202</v>
      </c>
      <c r="C1162" s="584"/>
      <c r="D1162" s="457"/>
      <c r="E1162" s="456"/>
      <c r="F1162" s="453"/>
      <c r="G1162" s="451"/>
      <c r="H1162" s="453"/>
      <c r="I1162" s="451"/>
      <c r="J1162" s="453"/>
      <c r="K1162" s="451"/>
      <c r="L1162" s="440"/>
      <c r="M1162" s="440"/>
      <c r="N1162" s="454"/>
      <c r="O1162" s="118">
        <v>0</v>
      </c>
      <c r="P1162" s="491">
        <f t="shared" si="25"/>
        <v>0</v>
      </c>
    </row>
    <row r="1163" spans="2:16" hidden="1" x14ac:dyDescent="0.3">
      <c r="B1163" s="440">
        <v>203</v>
      </c>
      <c r="C1163" s="584"/>
      <c r="D1163" s="457"/>
      <c r="E1163" s="456"/>
      <c r="F1163" s="453"/>
      <c r="G1163" s="451"/>
      <c r="H1163" s="453"/>
      <c r="I1163" s="451"/>
      <c r="J1163" s="453"/>
      <c r="K1163" s="451"/>
      <c r="L1163" s="440"/>
      <c r="M1163" s="440"/>
      <c r="N1163" s="454"/>
      <c r="O1163" s="118">
        <v>0</v>
      </c>
      <c r="P1163" s="491">
        <f t="shared" si="25"/>
        <v>0</v>
      </c>
    </row>
    <row r="1164" spans="2:16" hidden="1" x14ac:dyDescent="0.3">
      <c r="B1164" s="440">
        <v>204</v>
      </c>
      <c r="C1164" s="584"/>
      <c r="D1164" s="457"/>
      <c r="E1164" s="456"/>
      <c r="F1164" s="453"/>
      <c r="G1164" s="451"/>
      <c r="H1164" s="453"/>
      <c r="I1164" s="451"/>
      <c r="J1164" s="453"/>
      <c r="K1164" s="451"/>
      <c r="L1164" s="440"/>
      <c r="M1164" s="440"/>
      <c r="N1164" s="454"/>
      <c r="O1164" s="118">
        <v>0</v>
      </c>
      <c r="P1164" s="491">
        <f t="shared" si="25"/>
        <v>0</v>
      </c>
    </row>
    <row r="1165" spans="2:16" hidden="1" x14ac:dyDescent="0.3">
      <c r="B1165" s="440">
        <v>205</v>
      </c>
      <c r="C1165" s="584"/>
      <c r="D1165" s="457"/>
      <c r="E1165" s="456"/>
      <c r="F1165" s="453"/>
      <c r="G1165" s="451"/>
      <c r="H1165" s="453"/>
      <c r="I1165" s="451"/>
      <c r="J1165" s="453"/>
      <c r="K1165" s="451"/>
      <c r="L1165" s="440"/>
      <c r="M1165" s="440"/>
      <c r="N1165" s="454"/>
      <c r="O1165" s="118">
        <v>0</v>
      </c>
      <c r="P1165" s="491">
        <f t="shared" si="25"/>
        <v>0</v>
      </c>
    </row>
    <row r="1166" spans="2:16" hidden="1" x14ac:dyDescent="0.3">
      <c r="B1166" s="440">
        <v>206</v>
      </c>
      <c r="C1166" s="584"/>
      <c r="D1166" s="457"/>
      <c r="E1166" s="456"/>
      <c r="F1166" s="453"/>
      <c r="G1166" s="451"/>
      <c r="H1166" s="453"/>
      <c r="I1166" s="451"/>
      <c r="J1166" s="453"/>
      <c r="K1166" s="451"/>
      <c r="L1166" s="440"/>
      <c r="M1166" s="440"/>
      <c r="N1166" s="454"/>
      <c r="O1166" s="118">
        <v>0</v>
      </c>
      <c r="P1166" s="491">
        <f t="shared" si="25"/>
        <v>0</v>
      </c>
    </row>
    <row r="1167" spans="2:16" hidden="1" x14ac:dyDescent="0.3">
      <c r="B1167" s="440">
        <v>207</v>
      </c>
      <c r="C1167" s="584"/>
      <c r="D1167" s="457"/>
      <c r="E1167" s="456"/>
      <c r="F1167" s="453"/>
      <c r="G1167" s="451"/>
      <c r="H1167" s="453"/>
      <c r="I1167" s="451"/>
      <c r="J1167" s="453"/>
      <c r="K1167" s="451"/>
      <c r="L1167" s="440"/>
      <c r="M1167" s="440"/>
      <c r="N1167" s="454"/>
      <c r="O1167" s="118">
        <v>0</v>
      </c>
      <c r="P1167" s="491">
        <f t="shared" si="25"/>
        <v>0</v>
      </c>
    </row>
    <row r="1168" spans="2:16" hidden="1" x14ac:dyDescent="0.3">
      <c r="B1168" s="440">
        <v>208</v>
      </c>
      <c r="C1168" s="584"/>
      <c r="D1168" s="457"/>
      <c r="E1168" s="456"/>
      <c r="F1168" s="453"/>
      <c r="G1168" s="451"/>
      <c r="H1168" s="453"/>
      <c r="I1168" s="451"/>
      <c r="J1168" s="453"/>
      <c r="K1168" s="451"/>
      <c r="L1168" s="440"/>
      <c r="M1168" s="440"/>
      <c r="N1168" s="454"/>
      <c r="O1168" s="118">
        <v>0</v>
      </c>
      <c r="P1168" s="491">
        <f t="shared" si="25"/>
        <v>0</v>
      </c>
    </row>
    <row r="1169" spans="2:16" hidden="1" x14ac:dyDescent="0.3">
      <c r="B1169" s="440">
        <v>209</v>
      </c>
      <c r="C1169" s="584"/>
      <c r="D1169" s="457"/>
      <c r="E1169" s="456"/>
      <c r="F1169" s="453"/>
      <c r="G1169" s="451"/>
      <c r="H1169" s="453"/>
      <c r="I1169" s="451"/>
      <c r="J1169" s="453"/>
      <c r="K1169" s="451"/>
      <c r="L1169" s="440"/>
      <c r="M1169" s="440"/>
      <c r="N1169" s="454"/>
      <c r="O1169" s="118">
        <v>0</v>
      </c>
      <c r="P1169" s="491">
        <f t="shared" si="25"/>
        <v>0</v>
      </c>
    </row>
    <row r="1170" spans="2:16" hidden="1" x14ac:dyDescent="0.3">
      <c r="B1170" s="440">
        <v>210</v>
      </c>
      <c r="C1170" s="584"/>
      <c r="D1170" s="457"/>
      <c r="E1170" s="456"/>
      <c r="F1170" s="453"/>
      <c r="G1170" s="451"/>
      <c r="H1170" s="453"/>
      <c r="I1170" s="451"/>
      <c r="J1170" s="453"/>
      <c r="K1170" s="451"/>
      <c r="L1170" s="440"/>
      <c r="M1170" s="440"/>
      <c r="N1170" s="454"/>
      <c r="O1170" s="118">
        <v>0</v>
      </c>
      <c r="P1170" s="491">
        <f t="shared" si="25"/>
        <v>0</v>
      </c>
    </row>
    <row r="1171" spans="2:16" hidden="1" x14ac:dyDescent="0.3">
      <c r="B1171" s="440">
        <v>211</v>
      </c>
      <c r="C1171" s="584"/>
      <c r="D1171" s="457"/>
      <c r="E1171" s="456"/>
      <c r="F1171" s="453"/>
      <c r="G1171" s="451"/>
      <c r="H1171" s="453"/>
      <c r="I1171" s="451"/>
      <c r="J1171" s="453"/>
      <c r="K1171" s="451"/>
      <c r="L1171" s="440"/>
      <c r="M1171" s="440"/>
      <c r="N1171" s="454"/>
      <c r="O1171" s="118">
        <v>0</v>
      </c>
      <c r="P1171" s="491">
        <f t="shared" si="25"/>
        <v>0</v>
      </c>
    </row>
    <row r="1172" spans="2:16" hidden="1" x14ac:dyDescent="0.3">
      <c r="B1172" s="440">
        <v>212</v>
      </c>
      <c r="C1172" s="584"/>
      <c r="D1172" s="457"/>
      <c r="E1172" s="456"/>
      <c r="F1172" s="453"/>
      <c r="G1172" s="451"/>
      <c r="H1172" s="453"/>
      <c r="I1172" s="451"/>
      <c r="J1172" s="453"/>
      <c r="K1172" s="451"/>
      <c r="L1172" s="440"/>
      <c r="M1172" s="440"/>
      <c r="N1172" s="454"/>
      <c r="O1172" s="118">
        <v>0</v>
      </c>
      <c r="P1172" s="491">
        <f t="shared" si="25"/>
        <v>0</v>
      </c>
    </row>
    <row r="1173" spans="2:16" hidden="1" x14ac:dyDescent="0.3">
      <c r="B1173" s="440">
        <v>213</v>
      </c>
      <c r="C1173" s="584"/>
      <c r="D1173" s="457"/>
      <c r="E1173" s="456"/>
      <c r="F1173" s="453"/>
      <c r="G1173" s="451"/>
      <c r="H1173" s="453"/>
      <c r="I1173" s="451"/>
      <c r="J1173" s="453"/>
      <c r="K1173" s="451"/>
      <c r="L1173" s="440"/>
      <c r="M1173" s="440"/>
      <c r="N1173" s="454"/>
      <c r="O1173" s="118">
        <v>0</v>
      </c>
      <c r="P1173" s="491">
        <f t="shared" si="25"/>
        <v>0</v>
      </c>
    </row>
    <row r="1174" spans="2:16" hidden="1" x14ac:dyDescent="0.3">
      <c r="B1174" s="440">
        <v>214</v>
      </c>
      <c r="C1174" s="584"/>
      <c r="D1174" s="457"/>
      <c r="E1174" s="456"/>
      <c r="F1174" s="453"/>
      <c r="G1174" s="451"/>
      <c r="H1174" s="453"/>
      <c r="I1174" s="451"/>
      <c r="J1174" s="453"/>
      <c r="K1174" s="451"/>
      <c r="L1174" s="440"/>
      <c r="M1174" s="440"/>
      <c r="N1174" s="454"/>
      <c r="O1174" s="118">
        <v>0</v>
      </c>
      <c r="P1174" s="491">
        <f t="shared" si="25"/>
        <v>0</v>
      </c>
    </row>
    <row r="1175" spans="2:16" hidden="1" x14ac:dyDescent="0.3">
      <c r="B1175" s="440">
        <v>215</v>
      </c>
      <c r="C1175" s="584"/>
      <c r="D1175" s="457"/>
      <c r="E1175" s="456"/>
      <c r="F1175" s="453"/>
      <c r="G1175" s="451"/>
      <c r="H1175" s="453"/>
      <c r="I1175" s="451"/>
      <c r="J1175" s="453"/>
      <c r="K1175" s="451"/>
      <c r="L1175" s="440"/>
      <c r="M1175" s="440"/>
      <c r="N1175" s="454"/>
      <c r="O1175" s="118">
        <v>0</v>
      </c>
      <c r="P1175" s="491">
        <f t="shared" si="25"/>
        <v>0</v>
      </c>
    </row>
    <row r="1176" spans="2:16" hidden="1" x14ac:dyDescent="0.3">
      <c r="B1176" s="440">
        <v>216</v>
      </c>
      <c r="C1176" s="584"/>
      <c r="D1176" s="457"/>
      <c r="E1176" s="456"/>
      <c r="F1176" s="453"/>
      <c r="G1176" s="451"/>
      <c r="H1176" s="453"/>
      <c r="I1176" s="451"/>
      <c r="J1176" s="453"/>
      <c r="K1176" s="451"/>
      <c r="L1176" s="440"/>
      <c r="M1176" s="440"/>
      <c r="N1176" s="454"/>
      <c r="O1176" s="118">
        <v>0</v>
      </c>
      <c r="P1176" s="491">
        <f t="shared" si="25"/>
        <v>0</v>
      </c>
    </row>
    <row r="1177" spans="2:16" hidden="1" x14ac:dyDescent="0.3">
      <c r="B1177" s="440">
        <v>217</v>
      </c>
      <c r="C1177" s="584"/>
      <c r="D1177" s="457"/>
      <c r="E1177" s="456"/>
      <c r="F1177" s="453"/>
      <c r="G1177" s="451"/>
      <c r="H1177" s="453"/>
      <c r="I1177" s="451"/>
      <c r="J1177" s="453"/>
      <c r="K1177" s="451"/>
      <c r="L1177" s="440"/>
      <c r="M1177" s="440"/>
      <c r="N1177" s="454"/>
      <c r="O1177" s="118">
        <v>0</v>
      </c>
      <c r="P1177" s="491">
        <f t="shared" si="25"/>
        <v>0</v>
      </c>
    </row>
    <row r="1178" spans="2:16" hidden="1" x14ac:dyDescent="0.3">
      <c r="B1178" s="440">
        <v>218</v>
      </c>
      <c r="C1178" s="584"/>
      <c r="D1178" s="457"/>
      <c r="E1178" s="456"/>
      <c r="F1178" s="453"/>
      <c r="G1178" s="451"/>
      <c r="H1178" s="453"/>
      <c r="I1178" s="451"/>
      <c r="J1178" s="453"/>
      <c r="K1178" s="451"/>
      <c r="L1178" s="440"/>
      <c r="M1178" s="440"/>
      <c r="N1178" s="454"/>
      <c r="O1178" s="118">
        <v>0</v>
      </c>
      <c r="P1178" s="491">
        <f t="shared" si="25"/>
        <v>0</v>
      </c>
    </row>
    <row r="1179" spans="2:16" hidden="1" x14ac:dyDescent="0.3">
      <c r="B1179" s="440">
        <v>219</v>
      </c>
      <c r="C1179" s="584"/>
      <c r="D1179" s="457"/>
      <c r="E1179" s="456"/>
      <c r="F1179" s="453"/>
      <c r="G1179" s="451"/>
      <c r="H1179" s="453"/>
      <c r="I1179" s="451"/>
      <c r="J1179" s="453"/>
      <c r="K1179" s="451"/>
      <c r="L1179" s="440"/>
      <c r="M1179" s="440"/>
      <c r="N1179" s="454"/>
      <c r="O1179" s="118">
        <v>0</v>
      </c>
      <c r="P1179" s="491">
        <f t="shared" si="25"/>
        <v>0</v>
      </c>
    </row>
    <row r="1180" spans="2:16" hidden="1" x14ac:dyDescent="0.3">
      <c r="B1180" s="440">
        <v>220</v>
      </c>
      <c r="C1180" s="584"/>
      <c r="D1180" s="457"/>
      <c r="E1180" s="456"/>
      <c r="F1180" s="453"/>
      <c r="G1180" s="451"/>
      <c r="H1180" s="453"/>
      <c r="I1180" s="451"/>
      <c r="J1180" s="453"/>
      <c r="K1180" s="451"/>
      <c r="L1180" s="440"/>
      <c r="M1180" s="440"/>
      <c r="N1180" s="454"/>
      <c r="O1180" s="118">
        <v>0</v>
      </c>
      <c r="P1180" s="491">
        <f t="shared" si="25"/>
        <v>0</v>
      </c>
    </row>
    <row r="1181" spans="2:16" hidden="1" x14ac:dyDescent="0.3">
      <c r="B1181" s="440">
        <v>221</v>
      </c>
      <c r="C1181" s="584"/>
      <c r="D1181" s="457"/>
      <c r="E1181" s="456"/>
      <c r="F1181" s="453"/>
      <c r="G1181" s="451"/>
      <c r="H1181" s="453"/>
      <c r="I1181" s="451"/>
      <c r="J1181" s="453"/>
      <c r="K1181" s="451"/>
      <c r="L1181" s="440"/>
      <c r="M1181" s="440"/>
      <c r="N1181" s="454"/>
      <c r="O1181" s="118">
        <v>0</v>
      </c>
      <c r="P1181" s="491">
        <f t="shared" si="25"/>
        <v>0</v>
      </c>
    </row>
    <row r="1182" spans="2:16" hidden="1" x14ac:dyDescent="0.3">
      <c r="B1182" s="440">
        <v>222</v>
      </c>
      <c r="C1182" s="584"/>
      <c r="D1182" s="457"/>
      <c r="E1182" s="456"/>
      <c r="F1182" s="453"/>
      <c r="G1182" s="451"/>
      <c r="H1182" s="453"/>
      <c r="I1182" s="451"/>
      <c r="J1182" s="453"/>
      <c r="K1182" s="451"/>
      <c r="L1182" s="440"/>
      <c r="M1182" s="440"/>
      <c r="N1182" s="454"/>
      <c r="O1182" s="118">
        <v>0</v>
      </c>
      <c r="P1182" s="491">
        <f t="shared" si="25"/>
        <v>0</v>
      </c>
    </row>
    <row r="1183" spans="2:16" hidden="1" x14ac:dyDescent="0.3">
      <c r="B1183" s="440">
        <v>223</v>
      </c>
      <c r="C1183" s="584"/>
      <c r="D1183" s="457"/>
      <c r="E1183" s="456"/>
      <c r="F1183" s="453"/>
      <c r="G1183" s="451"/>
      <c r="H1183" s="453"/>
      <c r="I1183" s="451"/>
      <c r="J1183" s="453"/>
      <c r="K1183" s="451"/>
      <c r="L1183" s="440"/>
      <c r="M1183" s="440"/>
      <c r="N1183" s="454"/>
      <c r="O1183" s="118">
        <v>0</v>
      </c>
      <c r="P1183" s="491">
        <f t="shared" si="25"/>
        <v>0</v>
      </c>
    </row>
    <row r="1184" spans="2:16" hidden="1" x14ac:dyDescent="0.3">
      <c r="B1184" s="440">
        <v>224</v>
      </c>
      <c r="C1184" s="584"/>
      <c r="D1184" s="457"/>
      <c r="E1184" s="456"/>
      <c r="F1184" s="453"/>
      <c r="G1184" s="451"/>
      <c r="H1184" s="453"/>
      <c r="I1184" s="451"/>
      <c r="J1184" s="453"/>
      <c r="K1184" s="451"/>
      <c r="L1184" s="440"/>
      <c r="M1184" s="440"/>
      <c r="N1184" s="454"/>
      <c r="O1184" s="118">
        <v>0</v>
      </c>
      <c r="P1184" s="491">
        <f t="shared" si="25"/>
        <v>0</v>
      </c>
    </row>
    <row r="1185" spans="2:16" hidden="1" x14ac:dyDescent="0.3">
      <c r="B1185" s="440">
        <v>225</v>
      </c>
      <c r="C1185" s="584"/>
      <c r="D1185" s="457"/>
      <c r="E1185" s="456"/>
      <c r="F1185" s="453"/>
      <c r="G1185" s="451"/>
      <c r="H1185" s="453"/>
      <c r="I1185" s="451"/>
      <c r="J1185" s="453"/>
      <c r="K1185" s="451"/>
      <c r="L1185" s="440"/>
      <c r="M1185" s="440"/>
      <c r="N1185" s="454"/>
      <c r="O1185" s="118">
        <v>0</v>
      </c>
      <c r="P1185" s="491">
        <f t="shared" si="25"/>
        <v>0</v>
      </c>
    </row>
    <row r="1186" spans="2:16" hidden="1" x14ac:dyDescent="0.3">
      <c r="B1186" s="440">
        <v>226</v>
      </c>
      <c r="C1186" s="584"/>
      <c r="D1186" s="457"/>
      <c r="E1186" s="456"/>
      <c r="F1186" s="453"/>
      <c r="G1186" s="451"/>
      <c r="H1186" s="453"/>
      <c r="I1186" s="451"/>
      <c r="J1186" s="453"/>
      <c r="K1186" s="451"/>
      <c r="L1186" s="440"/>
      <c r="M1186" s="440"/>
      <c r="N1186" s="454"/>
      <c r="O1186" s="118">
        <v>0</v>
      </c>
      <c r="P1186" s="491">
        <f t="shared" si="25"/>
        <v>0</v>
      </c>
    </row>
    <row r="1187" spans="2:16" hidden="1" x14ac:dyDescent="0.3">
      <c r="B1187" s="440">
        <v>227</v>
      </c>
      <c r="C1187" s="584"/>
      <c r="D1187" s="457"/>
      <c r="E1187" s="456"/>
      <c r="F1187" s="453"/>
      <c r="G1187" s="451"/>
      <c r="H1187" s="453"/>
      <c r="I1187" s="451"/>
      <c r="J1187" s="453"/>
      <c r="K1187" s="451"/>
      <c r="L1187" s="440"/>
      <c r="M1187" s="440"/>
      <c r="N1187" s="454"/>
      <c r="O1187" s="118">
        <v>0</v>
      </c>
      <c r="P1187" s="491">
        <f t="shared" si="25"/>
        <v>0</v>
      </c>
    </row>
    <row r="1188" spans="2:16" hidden="1" x14ac:dyDescent="0.3">
      <c r="B1188" s="440">
        <v>228</v>
      </c>
      <c r="C1188" s="584"/>
      <c r="D1188" s="457"/>
      <c r="E1188" s="456"/>
      <c r="F1188" s="453"/>
      <c r="G1188" s="451"/>
      <c r="H1188" s="453"/>
      <c r="I1188" s="451"/>
      <c r="J1188" s="453"/>
      <c r="K1188" s="451"/>
      <c r="L1188" s="440"/>
      <c r="M1188" s="440"/>
      <c r="N1188" s="454"/>
      <c r="O1188" s="118">
        <v>0</v>
      </c>
      <c r="P1188" s="491">
        <f t="shared" si="25"/>
        <v>0</v>
      </c>
    </row>
    <row r="1189" spans="2:16" hidden="1" x14ac:dyDescent="0.3">
      <c r="B1189" s="440">
        <v>229</v>
      </c>
      <c r="C1189" s="584"/>
      <c r="D1189" s="457"/>
      <c r="E1189" s="456"/>
      <c r="F1189" s="453"/>
      <c r="G1189" s="451"/>
      <c r="H1189" s="453"/>
      <c r="I1189" s="451"/>
      <c r="J1189" s="453"/>
      <c r="K1189" s="451"/>
      <c r="L1189" s="440"/>
      <c r="M1189" s="440"/>
      <c r="N1189" s="454"/>
      <c r="O1189" s="118">
        <v>0</v>
      </c>
      <c r="P1189" s="491">
        <f t="shared" si="25"/>
        <v>0</v>
      </c>
    </row>
    <row r="1190" spans="2:16" hidden="1" x14ac:dyDescent="0.3">
      <c r="B1190" s="440">
        <v>230</v>
      </c>
      <c r="C1190" s="584"/>
      <c r="D1190" s="457"/>
      <c r="E1190" s="456"/>
      <c r="F1190" s="453"/>
      <c r="G1190" s="451"/>
      <c r="H1190" s="453"/>
      <c r="I1190" s="451"/>
      <c r="J1190" s="453"/>
      <c r="K1190" s="451"/>
      <c r="L1190" s="440"/>
      <c r="M1190" s="440"/>
      <c r="N1190" s="454"/>
      <c r="O1190" s="118">
        <v>0</v>
      </c>
      <c r="P1190" s="491">
        <f t="shared" si="25"/>
        <v>0</v>
      </c>
    </row>
    <row r="1191" spans="2:16" hidden="1" x14ac:dyDescent="0.3">
      <c r="B1191" s="440">
        <v>231</v>
      </c>
      <c r="C1191" s="584"/>
      <c r="D1191" s="457"/>
      <c r="E1191" s="456"/>
      <c r="F1191" s="453"/>
      <c r="G1191" s="451"/>
      <c r="H1191" s="453"/>
      <c r="I1191" s="451"/>
      <c r="J1191" s="453"/>
      <c r="K1191" s="451"/>
      <c r="L1191" s="440"/>
      <c r="M1191" s="440"/>
      <c r="N1191" s="454"/>
      <c r="O1191" s="118">
        <v>0</v>
      </c>
      <c r="P1191" s="491">
        <f t="shared" si="25"/>
        <v>0</v>
      </c>
    </row>
    <row r="1192" spans="2:16" hidden="1" x14ac:dyDescent="0.3">
      <c r="B1192" s="440">
        <v>232</v>
      </c>
      <c r="C1192" s="584"/>
      <c r="D1192" s="457"/>
      <c r="E1192" s="456"/>
      <c r="F1192" s="453"/>
      <c r="G1192" s="451"/>
      <c r="H1192" s="453"/>
      <c r="I1192" s="451"/>
      <c r="J1192" s="453"/>
      <c r="K1192" s="451"/>
      <c r="L1192" s="440"/>
      <c r="M1192" s="440"/>
      <c r="N1192" s="454"/>
      <c r="O1192" s="118">
        <v>0</v>
      </c>
      <c r="P1192" s="491">
        <f t="shared" si="25"/>
        <v>0</v>
      </c>
    </row>
    <row r="1193" spans="2:16" hidden="1" x14ac:dyDescent="0.3">
      <c r="B1193" s="440">
        <v>233</v>
      </c>
      <c r="C1193" s="584"/>
      <c r="D1193" s="457"/>
      <c r="E1193" s="456"/>
      <c r="F1193" s="453"/>
      <c r="G1193" s="451"/>
      <c r="H1193" s="453"/>
      <c r="I1193" s="451"/>
      <c r="J1193" s="453"/>
      <c r="K1193" s="451"/>
      <c r="L1193" s="440"/>
      <c r="M1193" s="440"/>
      <c r="N1193" s="454"/>
      <c r="O1193" s="118">
        <v>0</v>
      </c>
      <c r="P1193" s="491">
        <f t="shared" si="25"/>
        <v>0</v>
      </c>
    </row>
    <row r="1194" spans="2:16" hidden="1" x14ac:dyDescent="0.3">
      <c r="B1194" s="440">
        <v>234</v>
      </c>
      <c r="C1194" s="584"/>
      <c r="D1194" s="457"/>
      <c r="E1194" s="456"/>
      <c r="F1194" s="453"/>
      <c r="G1194" s="451"/>
      <c r="H1194" s="453"/>
      <c r="I1194" s="451"/>
      <c r="J1194" s="453"/>
      <c r="K1194" s="451"/>
      <c r="L1194" s="440"/>
      <c r="M1194" s="440"/>
      <c r="N1194" s="454"/>
      <c r="O1194" s="118">
        <v>0</v>
      </c>
      <c r="P1194" s="491">
        <f t="shared" si="25"/>
        <v>0</v>
      </c>
    </row>
    <row r="1195" spans="2:16" hidden="1" x14ac:dyDescent="0.3">
      <c r="B1195" s="440">
        <v>235</v>
      </c>
      <c r="C1195" s="584"/>
      <c r="D1195" s="457"/>
      <c r="E1195" s="456"/>
      <c r="F1195" s="453"/>
      <c r="G1195" s="451"/>
      <c r="H1195" s="453"/>
      <c r="I1195" s="451"/>
      <c r="J1195" s="453"/>
      <c r="K1195" s="451"/>
      <c r="L1195" s="440"/>
      <c r="M1195" s="440"/>
      <c r="N1195" s="454"/>
      <c r="O1195" s="118">
        <v>0</v>
      </c>
      <c r="P1195" s="491">
        <f t="shared" si="25"/>
        <v>0</v>
      </c>
    </row>
    <row r="1196" spans="2:16" hidden="1" x14ac:dyDescent="0.3">
      <c r="B1196" s="440">
        <v>236</v>
      </c>
      <c r="C1196" s="584"/>
      <c r="D1196" s="457"/>
      <c r="E1196" s="456"/>
      <c r="F1196" s="453"/>
      <c r="G1196" s="451"/>
      <c r="H1196" s="453"/>
      <c r="I1196" s="451"/>
      <c r="J1196" s="453"/>
      <c r="K1196" s="451"/>
      <c r="L1196" s="440"/>
      <c r="M1196" s="440"/>
      <c r="N1196" s="454"/>
      <c r="O1196" s="118">
        <v>0</v>
      </c>
      <c r="P1196" s="491">
        <f t="shared" si="25"/>
        <v>0</v>
      </c>
    </row>
    <row r="1197" spans="2:16" hidden="1" x14ac:dyDescent="0.3">
      <c r="B1197" s="440">
        <v>237</v>
      </c>
      <c r="C1197" s="584"/>
      <c r="D1197" s="457"/>
      <c r="E1197" s="456"/>
      <c r="F1197" s="453"/>
      <c r="G1197" s="451"/>
      <c r="H1197" s="453"/>
      <c r="I1197" s="451"/>
      <c r="J1197" s="453"/>
      <c r="K1197" s="451"/>
      <c r="L1197" s="440"/>
      <c r="M1197" s="440"/>
      <c r="N1197" s="454"/>
      <c r="O1197" s="118">
        <v>0</v>
      </c>
      <c r="P1197" s="491">
        <f t="shared" si="25"/>
        <v>0</v>
      </c>
    </row>
    <row r="1198" spans="2:16" hidden="1" x14ac:dyDescent="0.3">
      <c r="B1198" s="440">
        <v>238</v>
      </c>
      <c r="C1198" s="584"/>
      <c r="D1198" s="457"/>
      <c r="E1198" s="456"/>
      <c r="F1198" s="453"/>
      <c r="G1198" s="451"/>
      <c r="H1198" s="453"/>
      <c r="I1198" s="451"/>
      <c r="J1198" s="453"/>
      <c r="K1198" s="451"/>
      <c r="L1198" s="440"/>
      <c r="M1198" s="440"/>
      <c r="N1198" s="454"/>
      <c r="O1198" s="118">
        <v>0</v>
      </c>
      <c r="P1198" s="491">
        <f t="shared" si="25"/>
        <v>0</v>
      </c>
    </row>
    <row r="1199" spans="2:16" hidden="1" x14ac:dyDescent="0.3">
      <c r="B1199" s="440">
        <v>239</v>
      </c>
      <c r="C1199" s="584"/>
      <c r="D1199" s="457"/>
      <c r="E1199" s="456"/>
      <c r="F1199" s="453"/>
      <c r="G1199" s="451"/>
      <c r="H1199" s="453"/>
      <c r="I1199" s="451"/>
      <c r="J1199" s="453"/>
      <c r="K1199" s="451"/>
      <c r="L1199" s="440"/>
      <c r="M1199" s="440"/>
      <c r="N1199" s="454"/>
      <c r="O1199" s="118">
        <v>0</v>
      </c>
      <c r="P1199" s="491">
        <f t="shared" si="25"/>
        <v>0</v>
      </c>
    </row>
    <row r="1200" spans="2:16" hidden="1" x14ac:dyDescent="0.3">
      <c r="B1200" s="440">
        <v>240</v>
      </c>
      <c r="C1200" s="584"/>
      <c r="D1200" s="457"/>
      <c r="E1200" s="456"/>
      <c r="F1200" s="453"/>
      <c r="G1200" s="451"/>
      <c r="H1200" s="453"/>
      <c r="I1200" s="451"/>
      <c r="J1200" s="453"/>
      <c r="K1200" s="451"/>
      <c r="L1200" s="440"/>
      <c r="M1200" s="440"/>
      <c r="N1200" s="454"/>
      <c r="O1200" s="118">
        <v>0</v>
      </c>
      <c r="P1200" s="491">
        <f t="shared" si="25"/>
        <v>0</v>
      </c>
    </row>
    <row r="1201" spans="2:16" hidden="1" x14ac:dyDescent="0.3">
      <c r="B1201" s="440">
        <v>241</v>
      </c>
      <c r="C1201" s="584"/>
      <c r="D1201" s="457"/>
      <c r="E1201" s="456"/>
      <c r="F1201" s="453"/>
      <c r="G1201" s="451"/>
      <c r="H1201" s="453"/>
      <c r="I1201" s="451"/>
      <c r="J1201" s="453"/>
      <c r="K1201" s="451"/>
      <c r="L1201" s="440"/>
      <c r="M1201" s="440"/>
      <c r="N1201" s="454"/>
      <c r="O1201" s="118">
        <v>0</v>
      </c>
      <c r="P1201" s="491">
        <f t="shared" si="25"/>
        <v>0</v>
      </c>
    </row>
    <row r="1202" spans="2:16" hidden="1" x14ac:dyDescent="0.3">
      <c r="B1202" s="440">
        <v>242</v>
      </c>
      <c r="C1202" s="584"/>
      <c r="D1202" s="457"/>
      <c r="E1202" s="456"/>
      <c r="F1202" s="453"/>
      <c r="G1202" s="451"/>
      <c r="H1202" s="453"/>
      <c r="I1202" s="451"/>
      <c r="J1202" s="453"/>
      <c r="K1202" s="451"/>
      <c r="L1202" s="440"/>
      <c r="M1202" s="440"/>
      <c r="N1202" s="454"/>
      <c r="O1202" s="118">
        <v>0</v>
      </c>
      <c r="P1202" s="491">
        <f t="shared" si="25"/>
        <v>0</v>
      </c>
    </row>
    <row r="1203" spans="2:16" hidden="1" x14ac:dyDescent="0.3">
      <c r="B1203" s="440">
        <v>243</v>
      </c>
      <c r="C1203" s="584"/>
      <c r="D1203" s="457"/>
      <c r="E1203" s="456"/>
      <c r="F1203" s="453"/>
      <c r="G1203" s="451"/>
      <c r="H1203" s="453"/>
      <c r="I1203" s="451"/>
      <c r="J1203" s="453"/>
      <c r="K1203" s="451"/>
      <c r="L1203" s="440"/>
      <c r="M1203" s="440"/>
      <c r="N1203" s="454"/>
      <c r="O1203" s="118">
        <v>0</v>
      </c>
      <c r="P1203" s="491">
        <f t="shared" si="25"/>
        <v>0</v>
      </c>
    </row>
    <row r="1204" spans="2:16" hidden="1" x14ac:dyDescent="0.3">
      <c r="B1204" s="440">
        <v>244</v>
      </c>
      <c r="C1204" s="584"/>
      <c r="D1204" s="457"/>
      <c r="E1204" s="456"/>
      <c r="F1204" s="453"/>
      <c r="G1204" s="451"/>
      <c r="H1204" s="453"/>
      <c r="I1204" s="451"/>
      <c r="J1204" s="453"/>
      <c r="K1204" s="451"/>
      <c r="L1204" s="440"/>
      <c r="M1204" s="440"/>
      <c r="N1204" s="454"/>
      <c r="O1204" s="118">
        <v>0</v>
      </c>
      <c r="P1204" s="491">
        <f t="shared" si="25"/>
        <v>0</v>
      </c>
    </row>
    <row r="1205" spans="2:16" hidden="1" x14ac:dyDescent="0.3">
      <c r="B1205" s="440">
        <v>245</v>
      </c>
      <c r="C1205" s="584"/>
      <c r="D1205" s="457"/>
      <c r="E1205" s="456"/>
      <c r="F1205" s="453"/>
      <c r="G1205" s="451"/>
      <c r="H1205" s="453"/>
      <c r="I1205" s="451"/>
      <c r="J1205" s="453"/>
      <c r="K1205" s="451"/>
      <c r="L1205" s="440"/>
      <c r="M1205" s="440"/>
      <c r="N1205" s="454"/>
      <c r="O1205" s="118">
        <v>0</v>
      </c>
      <c r="P1205" s="491">
        <f t="shared" si="25"/>
        <v>0</v>
      </c>
    </row>
    <row r="1206" spans="2:16" hidden="1" x14ac:dyDescent="0.3">
      <c r="B1206" s="440">
        <v>246</v>
      </c>
      <c r="C1206" s="584"/>
      <c r="D1206" s="457"/>
      <c r="E1206" s="456"/>
      <c r="F1206" s="453"/>
      <c r="G1206" s="451"/>
      <c r="H1206" s="453"/>
      <c r="I1206" s="451"/>
      <c r="J1206" s="453"/>
      <c r="K1206" s="451"/>
      <c r="L1206" s="440"/>
      <c r="M1206" s="440"/>
      <c r="N1206" s="454"/>
      <c r="O1206" s="118">
        <v>0</v>
      </c>
      <c r="P1206" s="491">
        <f t="shared" si="25"/>
        <v>0</v>
      </c>
    </row>
    <row r="1207" spans="2:16" hidden="1" x14ac:dyDescent="0.3">
      <c r="B1207" s="440">
        <v>247</v>
      </c>
      <c r="C1207" s="584"/>
      <c r="D1207" s="457"/>
      <c r="E1207" s="456"/>
      <c r="F1207" s="453"/>
      <c r="G1207" s="451"/>
      <c r="H1207" s="453"/>
      <c r="I1207" s="451"/>
      <c r="J1207" s="453"/>
      <c r="K1207" s="451"/>
      <c r="L1207" s="440"/>
      <c r="M1207" s="440"/>
      <c r="N1207" s="454"/>
      <c r="O1207" s="118">
        <v>0</v>
      </c>
      <c r="P1207" s="491">
        <f t="shared" si="25"/>
        <v>0</v>
      </c>
    </row>
    <row r="1208" spans="2:16" hidden="1" x14ac:dyDescent="0.3">
      <c r="B1208" s="440">
        <v>248</v>
      </c>
      <c r="C1208" s="584"/>
      <c r="D1208" s="457"/>
      <c r="E1208" s="456"/>
      <c r="F1208" s="453"/>
      <c r="G1208" s="451"/>
      <c r="H1208" s="453"/>
      <c r="I1208" s="451"/>
      <c r="J1208" s="453"/>
      <c r="K1208" s="451"/>
      <c r="L1208" s="440"/>
      <c r="M1208" s="440"/>
      <c r="N1208" s="454"/>
      <c r="O1208" s="118">
        <v>0</v>
      </c>
      <c r="P1208" s="491">
        <f t="shared" si="25"/>
        <v>0</v>
      </c>
    </row>
    <row r="1209" spans="2:16" hidden="1" x14ac:dyDescent="0.3">
      <c r="B1209" s="440">
        <v>249</v>
      </c>
      <c r="C1209" s="584"/>
      <c r="D1209" s="457"/>
      <c r="E1209" s="456"/>
      <c r="F1209" s="453"/>
      <c r="G1209" s="451"/>
      <c r="H1209" s="453"/>
      <c r="I1209" s="451"/>
      <c r="J1209" s="453"/>
      <c r="K1209" s="451"/>
      <c r="L1209" s="440"/>
      <c r="M1209" s="440"/>
      <c r="N1209" s="454"/>
      <c r="O1209" s="118">
        <v>0</v>
      </c>
      <c r="P1209" s="491">
        <f t="shared" si="25"/>
        <v>0</v>
      </c>
    </row>
    <row r="1210" spans="2:16" hidden="1" x14ac:dyDescent="0.3">
      <c r="B1210" s="440">
        <v>250</v>
      </c>
      <c r="C1210" s="584"/>
      <c r="D1210" s="457"/>
      <c r="E1210" s="456"/>
      <c r="F1210" s="453"/>
      <c r="G1210" s="451"/>
      <c r="H1210" s="453"/>
      <c r="I1210" s="451"/>
      <c r="J1210" s="453"/>
      <c r="K1210" s="451"/>
      <c r="L1210" s="440"/>
      <c r="M1210" s="440"/>
      <c r="N1210" s="454"/>
      <c r="O1210" s="118">
        <v>0</v>
      </c>
      <c r="P1210" s="491">
        <f t="shared" si="25"/>
        <v>0</v>
      </c>
    </row>
    <row r="1211" spans="2:16" hidden="1" x14ac:dyDescent="0.3">
      <c r="B1211" s="440">
        <v>251</v>
      </c>
      <c r="C1211" s="584"/>
      <c r="D1211" s="457"/>
      <c r="E1211" s="456"/>
      <c r="F1211" s="453"/>
      <c r="G1211" s="451"/>
      <c r="H1211" s="453"/>
      <c r="I1211" s="451"/>
      <c r="J1211" s="453"/>
      <c r="K1211" s="451"/>
      <c r="L1211" s="440"/>
      <c r="M1211" s="440"/>
      <c r="N1211" s="454"/>
      <c r="O1211" s="118">
        <v>0</v>
      </c>
      <c r="P1211" s="491">
        <f t="shared" si="25"/>
        <v>0</v>
      </c>
    </row>
    <row r="1212" spans="2:16" hidden="1" x14ac:dyDescent="0.3">
      <c r="B1212" s="440">
        <v>252</v>
      </c>
      <c r="C1212" s="584"/>
      <c r="D1212" s="457"/>
      <c r="E1212" s="456"/>
      <c r="F1212" s="453"/>
      <c r="G1212" s="451"/>
      <c r="H1212" s="453"/>
      <c r="I1212" s="451"/>
      <c r="J1212" s="453"/>
      <c r="K1212" s="451"/>
      <c r="L1212" s="440"/>
      <c r="M1212" s="440"/>
      <c r="N1212" s="454"/>
      <c r="O1212" s="118">
        <v>0</v>
      </c>
      <c r="P1212" s="491">
        <f t="shared" si="25"/>
        <v>0</v>
      </c>
    </row>
    <row r="1213" spans="2:16" hidden="1" x14ac:dyDescent="0.3">
      <c r="B1213" s="440">
        <v>253</v>
      </c>
      <c r="C1213" s="584"/>
      <c r="D1213" s="457"/>
      <c r="E1213" s="456"/>
      <c r="F1213" s="453"/>
      <c r="G1213" s="451"/>
      <c r="H1213" s="453"/>
      <c r="I1213" s="451"/>
      <c r="J1213" s="453"/>
      <c r="K1213" s="451"/>
      <c r="L1213" s="440"/>
      <c r="M1213" s="440"/>
      <c r="N1213" s="454"/>
      <c r="O1213" s="118">
        <v>0</v>
      </c>
      <c r="P1213" s="491">
        <f t="shared" si="25"/>
        <v>0</v>
      </c>
    </row>
    <row r="1214" spans="2:16" hidden="1" x14ac:dyDescent="0.3">
      <c r="B1214" s="440">
        <v>254</v>
      </c>
      <c r="C1214" s="584"/>
      <c r="D1214" s="457"/>
      <c r="E1214" s="456"/>
      <c r="F1214" s="453"/>
      <c r="G1214" s="451"/>
      <c r="H1214" s="453"/>
      <c r="I1214" s="451"/>
      <c r="J1214" s="453"/>
      <c r="K1214" s="451"/>
      <c r="L1214" s="440"/>
      <c r="M1214" s="440"/>
      <c r="N1214" s="454"/>
      <c r="O1214" s="118">
        <v>0</v>
      </c>
      <c r="P1214" s="491">
        <f t="shared" si="25"/>
        <v>0</v>
      </c>
    </row>
    <row r="1215" spans="2:16" hidden="1" x14ac:dyDescent="0.3">
      <c r="B1215" s="440">
        <v>255</v>
      </c>
      <c r="C1215" s="584"/>
      <c r="D1215" s="457"/>
      <c r="E1215" s="456"/>
      <c r="F1215" s="453"/>
      <c r="G1215" s="451"/>
      <c r="H1215" s="453"/>
      <c r="I1215" s="451"/>
      <c r="J1215" s="453"/>
      <c r="K1215" s="451"/>
      <c r="L1215" s="440"/>
      <c r="M1215" s="440"/>
      <c r="N1215" s="454"/>
      <c r="O1215" s="118">
        <v>0</v>
      </c>
      <c r="P1215" s="491">
        <f t="shared" si="25"/>
        <v>0</v>
      </c>
    </row>
    <row r="1216" spans="2:16" hidden="1" x14ac:dyDescent="0.3">
      <c r="B1216" s="440">
        <v>256</v>
      </c>
      <c r="C1216" s="584"/>
      <c r="D1216" s="457"/>
      <c r="E1216" s="456"/>
      <c r="F1216" s="453"/>
      <c r="G1216" s="451"/>
      <c r="H1216" s="453"/>
      <c r="I1216" s="451"/>
      <c r="J1216" s="453"/>
      <c r="K1216" s="451"/>
      <c r="L1216" s="440"/>
      <c r="M1216" s="440"/>
      <c r="N1216" s="454"/>
      <c r="O1216" s="118">
        <v>0</v>
      </c>
      <c r="P1216" s="491">
        <f t="shared" si="25"/>
        <v>0</v>
      </c>
    </row>
    <row r="1217" spans="2:16" hidden="1" x14ac:dyDescent="0.3">
      <c r="B1217" s="440">
        <v>257</v>
      </c>
      <c r="C1217" s="584"/>
      <c r="D1217" s="457"/>
      <c r="E1217" s="456"/>
      <c r="F1217" s="453"/>
      <c r="G1217" s="451"/>
      <c r="H1217" s="453"/>
      <c r="I1217" s="451"/>
      <c r="J1217" s="453"/>
      <c r="K1217" s="451"/>
      <c r="L1217" s="440"/>
      <c r="M1217" s="440"/>
      <c r="N1217" s="454"/>
      <c r="O1217" s="118">
        <v>0</v>
      </c>
      <c r="P1217" s="491">
        <f t="shared" si="25"/>
        <v>0</v>
      </c>
    </row>
    <row r="1218" spans="2:16" hidden="1" x14ac:dyDescent="0.3">
      <c r="B1218" s="440">
        <v>258</v>
      </c>
      <c r="C1218" s="584"/>
      <c r="D1218" s="457"/>
      <c r="E1218" s="456"/>
      <c r="F1218" s="453"/>
      <c r="G1218" s="451"/>
      <c r="H1218" s="453"/>
      <c r="I1218" s="451"/>
      <c r="J1218" s="453"/>
      <c r="K1218" s="451"/>
      <c r="L1218" s="440"/>
      <c r="M1218" s="440"/>
      <c r="N1218" s="454"/>
      <c r="O1218" s="118">
        <v>0</v>
      </c>
      <c r="P1218" s="491">
        <f t="shared" si="25"/>
        <v>0</v>
      </c>
    </row>
    <row r="1219" spans="2:16" hidden="1" x14ac:dyDescent="0.3">
      <c r="B1219" s="440">
        <v>259</v>
      </c>
      <c r="C1219" s="584"/>
      <c r="D1219" s="457"/>
      <c r="E1219" s="456"/>
      <c r="F1219" s="453"/>
      <c r="G1219" s="451"/>
      <c r="H1219" s="453"/>
      <c r="I1219" s="451"/>
      <c r="J1219" s="453"/>
      <c r="K1219" s="451"/>
      <c r="L1219" s="440"/>
      <c r="M1219" s="440"/>
      <c r="N1219" s="454"/>
      <c r="O1219" s="118">
        <v>0</v>
      </c>
      <c r="P1219" s="491">
        <f t="shared" si="25"/>
        <v>0</v>
      </c>
    </row>
    <row r="1220" spans="2:16" hidden="1" x14ac:dyDescent="0.3">
      <c r="B1220" s="440">
        <v>260</v>
      </c>
      <c r="C1220" s="584"/>
      <c r="D1220" s="457"/>
      <c r="E1220" s="456"/>
      <c r="F1220" s="453"/>
      <c r="G1220" s="451"/>
      <c r="H1220" s="453"/>
      <c r="I1220" s="451"/>
      <c r="J1220" s="453"/>
      <c r="K1220" s="451"/>
      <c r="L1220" s="440"/>
      <c r="M1220" s="440"/>
      <c r="N1220" s="454"/>
      <c r="O1220" s="118">
        <v>0</v>
      </c>
      <c r="P1220" s="491">
        <f t="shared" si="25"/>
        <v>0</v>
      </c>
    </row>
    <row r="1221" spans="2:16" hidden="1" x14ac:dyDescent="0.3">
      <c r="B1221" s="440">
        <v>261</v>
      </c>
      <c r="C1221" s="584"/>
      <c r="D1221" s="457"/>
      <c r="E1221" s="456"/>
      <c r="F1221" s="453"/>
      <c r="G1221" s="451"/>
      <c r="H1221" s="453"/>
      <c r="I1221" s="451"/>
      <c r="J1221" s="453"/>
      <c r="K1221" s="451"/>
      <c r="L1221" s="440"/>
      <c r="M1221" s="440"/>
      <c r="N1221" s="454"/>
      <c r="O1221" s="118">
        <v>0</v>
      </c>
      <c r="P1221" s="491">
        <f t="shared" si="25"/>
        <v>0</v>
      </c>
    </row>
    <row r="1222" spans="2:16" hidden="1" x14ac:dyDescent="0.3">
      <c r="B1222" s="440">
        <v>262</v>
      </c>
      <c r="C1222" s="584"/>
      <c r="D1222" s="457"/>
      <c r="E1222" s="456"/>
      <c r="F1222" s="453"/>
      <c r="G1222" s="451"/>
      <c r="H1222" s="453"/>
      <c r="I1222" s="451"/>
      <c r="J1222" s="453"/>
      <c r="K1222" s="451"/>
      <c r="L1222" s="440"/>
      <c r="M1222" s="440"/>
      <c r="N1222" s="454"/>
      <c r="O1222" s="118">
        <v>0</v>
      </c>
      <c r="P1222" s="491">
        <f t="shared" si="25"/>
        <v>0</v>
      </c>
    </row>
    <row r="1223" spans="2:16" hidden="1" x14ac:dyDescent="0.3">
      <c r="B1223" s="440">
        <v>263</v>
      </c>
      <c r="C1223" s="584"/>
      <c r="D1223" s="457"/>
      <c r="E1223" s="456"/>
      <c r="F1223" s="453"/>
      <c r="G1223" s="451"/>
      <c r="H1223" s="453"/>
      <c r="I1223" s="451"/>
      <c r="J1223" s="453"/>
      <c r="K1223" s="451"/>
      <c r="L1223" s="440"/>
      <c r="M1223" s="440"/>
      <c r="N1223" s="454"/>
      <c r="O1223" s="118">
        <v>0</v>
      </c>
      <c r="P1223" s="491">
        <f t="shared" si="25"/>
        <v>0</v>
      </c>
    </row>
    <row r="1224" spans="2:16" hidden="1" x14ac:dyDescent="0.3">
      <c r="B1224" s="440">
        <v>264</v>
      </c>
      <c r="C1224" s="584"/>
      <c r="D1224" s="457"/>
      <c r="E1224" s="456"/>
      <c r="F1224" s="453"/>
      <c r="G1224" s="451"/>
      <c r="H1224" s="453"/>
      <c r="I1224" s="451"/>
      <c r="J1224" s="453"/>
      <c r="K1224" s="451"/>
      <c r="L1224" s="440"/>
      <c r="M1224" s="440"/>
      <c r="N1224" s="454"/>
      <c r="O1224" s="118">
        <v>0</v>
      </c>
      <c r="P1224" s="491">
        <f t="shared" si="25"/>
        <v>0</v>
      </c>
    </row>
    <row r="1225" spans="2:16" hidden="1" x14ac:dyDescent="0.3">
      <c r="B1225" s="440">
        <v>265</v>
      </c>
      <c r="C1225" s="584"/>
      <c r="D1225" s="457"/>
      <c r="E1225" s="456"/>
      <c r="F1225" s="453"/>
      <c r="G1225" s="451"/>
      <c r="H1225" s="453"/>
      <c r="I1225" s="451"/>
      <c r="J1225" s="453"/>
      <c r="K1225" s="451"/>
      <c r="L1225" s="440"/>
      <c r="M1225" s="440"/>
      <c r="N1225" s="454"/>
      <c r="O1225" s="118">
        <v>0</v>
      </c>
      <c r="P1225" s="491">
        <f t="shared" si="25"/>
        <v>0</v>
      </c>
    </row>
    <row r="1226" spans="2:16" hidden="1" x14ac:dyDescent="0.3">
      <c r="B1226" s="440">
        <v>266</v>
      </c>
      <c r="C1226" s="584"/>
      <c r="D1226" s="457"/>
      <c r="E1226" s="456"/>
      <c r="F1226" s="453"/>
      <c r="G1226" s="451"/>
      <c r="H1226" s="453"/>
      <c r="I1226" s="451"/>
      <c r="J1226" s="453"/>
      <c r="K1226" s="451"/>
      <c r="L1226" s="440"/>
      <c r="M1226" s="440"/>
      <c r="N1226" s="454"/>
      <c r="O1226" s="118">
        <v>0</v>
      </c>
      <c r="P1226" s="491">
        <f t="shared" si="25"/>
        <v>0</v>
      </c>
    </row>
    <row r="1227" spans="2:16" hidden="1" x14ac:dyDescent="0.3">
      <c r="B1227" s="440">
        <v>267</v>
      </c>
      <c r="C1227" s="584"/>
      <c r="D1227" s="457"/>
      <c r="E1227" s="456"/>
      <c r="F1227" s="453"/>
      <c r="G1227" s="451"/>
      <c r="H1227" s="453"/>
      <c r="I1227" s="451"/>
      <c r="J1227" s="453"/>
      <c r="K1227" s="451"/>
      <c r="L1227" s="440"/>
      <c r="M1227" s="440"/>
      <c r="N1227" s="454"/>
      <c r="O1227" s="118">
        <v>0</v>
      </c>
      <c r="P1227" s="491">
        <f t="shared" si="25"/>
        <v>0</v>
      </c>
    </row>
    <row r="1228" spans="2:16" hidden="1" x14ac:dyDescent="0.3">
      <c r="B1228" s="440">
        <v>268</v>
      </c>
      <c r="C1228" s="584"/>
      <c r="D1228" s="457"/>
      <c r="E1228" s="456"/>
      <c r="F1228" s="453"/>
      <c r="G1228" s="451"/>
      <c r="H1228" s="453"/>
      <c r="I1228" s="451"/>
      <c r="J1228" s="453"/>
      <c r="K1228" s="451"/>
      <c r="L1228" s="440"/>
      <c r="M1228" s="440"/>
      <c r="N1228" s="454"/>
      <c r="O1228" s="118">
        <v>0</v>
      </c>
      <c r="P1228" s="491">
        <f t="shared" si="25"/>
        <v>0</v>
      </c>
    </row>
    <row r="1229" spans="2:16" hidden="1" x14ac:dyDescent="0.3">
      <c r="B1229" s="440">
        <v>269</v>
      </c>
      <c r="C1229" s="584"/>
      <c r="D1229" s="457"/>
      <c r="E1229" s="456"/>
      <c r="F1229" s="453"/>
      <c r="G1229" s="451"/>
      <c r="H1229" s="453"/>
      <c r="I1229" s="451"/>
      <c r="J1229" s="453"/>
      <c r="K1229" s="451"/>
      <c r="L1229" s="440"/>
      <c r="M1229" s="440"/>
      <c r="N1229" s="454"/>
      <c r="O1229" s="118">
        <v>0</v>
      </c>
      <c r="P1229" s="491">
        <f t="shared" si="25"/>
        <v>0</v>
      </c>
    </row>
    <row r="1230" spans="2:16" hidden="1" x14ac:dyDescent="0.3">
      <c r="B1230" s="440">
        <v>270</v>
      </c>
      <c r="C1230" s="584"/>
      <c r="D1230" s="457"/>
      <c r="E1230" s="456"/>
      <c r="F1230" s="453"/>
      <c r="G1230" s="451"/>
      <c r="H1230" s="453"/>
      <c r="I1230" s="451"/>
      <c r="J1230" s="453"/>
      <c r="K1230" s="451"/>
      <c r="L1230" s="440"/>
      <c r="M1230" s="440"/>
      <c r="N1230" s="454"/>
      <c r="O1230" s="118">
        <v>0</v>
      </c>
      <c r="P1230" s="491">
        <f t="shared" si="25"/>
        <v>0</v>
      </c>
    </row>
    <row r="1231" spans="2:16" hidden="1" x14ac:dyDescent="0.3">
      <c r="B1231" s="440">
        <v>271</v>
      </c>
      <c r="C1231" s="584"/>
      <c r="D1231" s="457"/>
      <c r="E1231" s="456"/>
      <c r="F1231" s="453"/>
      <c r="G1231" s="451"/>
      <c r="H1231" s="453"/>
      <c r="I1231" s="451"/>
      <c r="J1231" s="453"/>
      <c r="K1231" s="451"/>
      <c r="L1231" s="440"/>
      <c r="M1231" s="440"/>
      <c r="N1231" s="454"/>
      <c r="O1231" s="118">
        <v>0</v>
      </c>
      <c r="P1231" s="491">
        <f t="shared" si="25"/>
        <v>0</v>
      </c>
    </row>
    <row r="1232" spans="2:16" hidden="1" x14ac:dyDescent="0.3">
      <c r="B1232" s="440">
        <v>272</v>
      </c>
      <c r="C1232" s="584"/>
      <c r="D1232" s="457"/>
      <c r="E1232" s="456"/>
      <c r="F1232" s="453"/>
      <c r="G1232" s="451"/>
      <c r="H1232" s="453"/>
      <c r="I1232" s="451"/>
      <c r="J1232" s="453"/>
      <c r="K1232" s="451"/>
      <c r="L1232" s="440"/>
      <c r="M1232" s="440"/>
      <c r="N1232" s="454"/>
      <c r="O1232" s="118">
        <v>0</v>
      </c>
      <c r="P1232" s="491">
        <f t="shared" si="25"/>
        <v>0</v>
      </c>
    </row>
    <row r="1233" spans="2:16" hidden="1" x14ac:dyDescent="0.3">
      <c r="B1233" s="440">
        <v>273</v>
      </c>
      <c r="C1233" s="584"/>
      <c r="D1233" s="457"/>
      <c r="E1233" s="456"/>
      <c r="F1233" s="453"/>
      <c r="G1233" s="451"/>
      <c r="H1233" s="453"/>
      <c r="I1233" s="451"/>
      <c r="J1233" s="453"/>
      <c r="K1233" s="451"/>
      <c r="L1233" s="440"/>
      <c r="M1233" s="440"/>
      <c r="N1233" s="454"/>
      <c r="O1233" s="118">
        <v>0</v>
      </c>
      <c r="P1233" s="491">
        <f t="shared" si="25"/>
        <v>0</v>
      </c>
    </row>
    <row r="1234" spans="2:16" hidden="1" x14ac:dyDescent="0.3">
      <c r="B1234" s="440">
        <v>274</v>
      </c>
      <c r="C1234" s="584"/>
      <c r="D1234" s="457"/>
      <c r="E1234" s="456"/>
      <c r="F1234" s="453"/>
      <c r="G1234" s="451"/>
      <c r="H1234" s="453"/>
      <c r="I1234" s="451"/>
      <c r="J1234" s="453"/>
      <c r="K1234" s="451"/>
      <c r="L1234" s="440"/>
      <c r="M1234" s="440"/>
      <c r="N1234" s="454"/>
      <c r="O1234" s="118">
        <v>0</v>
      </c>
      <c r="P1234" s="491">
        <f t="shared" si="25"/>
        <v>0</v>
      </c>
    </row>
    <row r="1235" spans="2:16" hidden="1" x14ac:dyDescent="0.3">
      <c r="B1235" s="440">
        <v>275</v>
      </c>
      <c r="C1235" s="584"/>
      <c r="D1235" s="457"/>
      <c r="E1235" s="456"/>
      <c r="F1235" s="453"/>
      <c r="G1235" s="451"/>
      <c r="H1235" s="453"/>
      <c r="I1235" s="451"/>
      <c r="J1235" s="453"/>
      <c r="K1235" s="451"/>
      <c r="L1235" s="440"/>
      <c r="M1235" s="440"/>
      <c r="N1235" s="454"/>
      <c r="O1235" s="118">
        <v>0</v>
      </c>
      <c r="P1235" s="491">
        <f t="shared" si="25"/>
        <v>0</v>
      </c>
    </row>
    <row r="1236" spans="2:16" hidden="1" x14ac:dyDescent="0.3">
      <c r="B1236" s="440">
        <v>276</v>
      </c>
      <c r="C1236" s="584"/>
      <c r="D1236" s="457"/>
      <c r="E1236" s="456"/>
      <c r="F1236" s="453"/>
      <c r="G1236" s="451"/>
      <c r="H1236" s="453"/>
      <c r="I1236" s="451"/>
      <c r="J1236" s="453"/>
      <c r="K1236" s="451"/>
      <c r="L1236" s="440"/>
      <c r="M1236" s="440"/>
      <c r="N1236" s="454"/>
      <c r="O1236" s="118">
        <v>0</v>
      </c>
      <c r="P1236" s="491">
        <f t="shared" si="25"/>
        <v>0</v>
      </c>
    </row>
    <row r="1237" spans="2:16" hidden="1" x14ac:dyDescent="0.3">
      <c r="B1237" s="440">
        <v>277</v>
      </c>
      <c r="C1237" s="584"/>
      <c r="D1237" s="457"/>
      <c r="E1237" s="456"/>
      <c r="F1237" s="453"/>
      <c r="G1237" s="451"/>
      <c r="H1237" s="453"/>
      <c r="I1237" s="451"/>
      <c r="J1237" s="453"/>
      <c r="K1237" s="451"/>
      <c r="L1237" s="440"/>
      <c r="M1237" s="440"/>
      <c r="N1237" s="454"/>
      <c r="O1237" s="118">
        <v>0</v>
      </c>
      <c r="P1237" s="491">
        <f t="shared" si="25"/>
        <v>0</v>
      </c>
    </row>
    <row r="1238" spans="2:16" hidden="1" x14ac:dyDescent="0.3">
      <c r="B1238" s="440">
        <v>278</v>
      </c>
      <c r="C1238" s="584"/>
      <c r="D1238" s="457"/>
      <c r="E1238" s="456"/>
      <c r="F1238" s="453"/>
      <c r="G1238" s="451"/>
      <c r="H1238" s="453"/>
      <c r="I1238" s="451"/>
      <c r="J1238" s="453"/>
      <c r="K1238" s="451"/>
      <c r="L1238" s="440"/>
      <c r="M1238" s="440"/>
      <c r="N1238" s="454"/>
      <c r="O1238" s="118">
        <v>0</v>
      </c>
      <c r="P1238" s="491">
        <f t="shared" si="25"/>
        <v>0</v>
      </c>
    </row>
    <row r="1239" spans="2:16" hidden="1" x14ac:dyDescent="0.3">
      <c r="B1239" s="440">
        <v>279</v>
      </c>
      <c r="C1239" s="584"/>
      <c r="D1239" s="457"/>
      <c r="E1239" s="456"/>
      <c r="F1239" s="453"/>
      <c r="G1239" s="451"/>
      <c r="H1239" s="453"/>
      <c r="I1239" s="451"/>
      <c r="J1239" s="453"/>
      <c r="K1239" s="451"/>
      <c r="L1239" s="440"/>
      <c r="M1239" s="440"/>
      <c r="N1239" s="454"/>
      <c r="O1239" s="118">
        <v>0</v>
      </c>
      <c r="P1239" s="491">
        <f t="shared" si="25"/>
        <v>0</v>
      </c>
    </row>
    <row r="1240" spans="2:16" hidden="1" x14ac:dyDescent="0.3">
      <c r="B1240" s="440">
        <v>280</v>
      </c>
      <c r="C1240" s="584"/>
      <c r="D1240" s="457"/>
      <c r="E1240" s="456"/>
      <c r="F1240" s="453"/>
      <c r="G1240" s="451"/>
      <c r="H1240" s="453"/>
      <c r="I1240" s="451"/>
      <c r="J1240" s="453"/>
      <c r="K1240" s="451"/>
      <c r="L1240" s="440"/>
      <c r="M1240" s="440"/>
      <c r="N1240" s="454"/>
      <c r="O1240" s="118">
        <v>0</v>
      </c>
      <c r="P1240" s="491">
        <f t="shared" si="25"/>
        <v>0</v>
      </c>
    </row>
    <row r="1241" spans="2:16" hidden="1" x14ac:dyDescent="0.3">
      <c r="B1241" s="440">
        <v>281</v>
      </c>
      <c r="C1241" s="584"/>
      <c r="D1241" s="457"/>
      <c r="E1241" s="456"/>
      <c r="F1241" s="453"/>
      <c r="G1241" s="451"/>
      <c r="H1241" s="453"/>
      <c r="I1241" s="451"/>
      <c r="J1241" s="453"/>
      <c r="K1241" s="451"/>
      <c r="L1241" s="440"/>
      <c r="M1241" s="440"/>
      <c r="N1241" s="454"/>
      <c r="O1241" s="118">
        <v>0</v>
      </c>
      <c r="P1241" s="491">
        <f t="shared" si="25"/>
        <v>0</v>
      </c>
    </row>
    <row r="1242" spans="2:16" hidden="1" x14ac:dyDescent="0.3">
      <c r="B1242" s="440">
        <v>282</v>
      </c>
      <c r="C1242" s="584"/>
      <c r="D1242" s="457"/>
      <c r="E1242" s="456"/>
      <c r="F1242" s="453"/>
      <c r="G1242" s="451"/>
      <c r="H1242" s="453"/>
      <c r="I1242" s="451"/>
      <c r="J1242" s="453"/>
      <c r="K1242" s="451"/>
      <c r="L1242" s="440"/>
      <c r="M1242" s="440"/>
      <c r="N1242" s="454"/>
      <c r="O1242" s="118">
        <v>0</v>
      </c>
      <c r="P1242" s="491">
        <f t="shared" si="25"/>
        <v>0</v>
      </c>
    </row>
    <row r="1243" spans="2:16" hidden="1" x14ac:dyDescent="0.3">
      <c r="B1243" s="440">
        <v>283</v>
      </c>
      <c r="C1243" s="584"/>
      <c r="D1243" s="457"/>
      <c r="E1243" s="456"/>
      <c r="F1243" s="453"/>
      <c r="G1243" s="451"/>
      <c r="H1243" s="453"/>
      <c r="I1243" s="451"/>
      <c r="J1243" s="453"/>
      <c r="K1243" s="451"/>
      <c r="L1243" s="440"/>
      <c r="M1243" s="440"/>
      <c r="N1243" s="454"/>
      <c r="O1243" s="118">
        <v>0</v>
      </c>
      <c r="P1243" s="491">
        <f t="shared" si="25"/>
        <v>0</v>
      </c>
    </row>
    <row r="1244" spans="2:16" hidden="1" x14ac:dyDescent="0.3">
      <c r="B1244" s="440">
        <v>284</v>
      </c>
      <c r="C1244" s="584"/>
      <c r="D1244" s="457"/>
      <c r="E1244" s="456"/>
      <c r="F1244" s="453"/>
      <c r="G1244" s="451"/>
      <c r="H1244" s="453"/>
      <c r="I1244" s="451"/>
      <c r="J1244" s="453"/>
      <c r="K1244" s="451"/>
      <c r="L1244" s="440"/>
      <c r="M1244" s="440"/>
      <c r="N1244" s="454"/>
      <c r="O1244" s="118">
        <v>0</v>
      </c>
      <c r="P1244" s="491">
        <f t="shared" si="25"/>
        <v>0</v>
      </c>
    </row>
    <row r="1245" spans="2:16" hidden="1" x14ac:dyDescent="0.3">
      <c r="B1245" s="440">
        <v>285</v>
      </c>
      <c r="C1245" s="584"/>
      <c r="D1245" s="457"/>
      <c r="E1245" s="456"/>
      <c r="F1245" s="453"/>
      <c r="G1245" s="451"/>
      <c r="H1245" s="453"/>
      <c r="I1245" s="451"/>
      <c r="J1245" s="453"/>
      <c r="K1245" s="451"/>
      <c r="L1245" s="440"/>
      <c r="M1245" s="440"/>
      <c r="N1245" s="454"/>
      <c r="O1245" s="118">
        <v>0</v>
      </c>
      <c r="P1245" s="491">
        <f t="shared" si="25"/>
        <v>0</v>
      </c>
    </row>
    <row r="1246" spans="2:16" hidden="1" x14ac:dyDescent="0.3">
      <c r="B1246" s="440">
        <v>286</v>
      </c>
      <c r="C1246" s="584"/>
      <c r="D1246" s="457"/>
      <c r="E1246" s="456"/>
      <c r="F1246" s="453"/>
      <c r="G1246" s="451"/>
      <c r="H1246" s="453"/>
      <c r="I1246" s="451"/>
      <c r="J1246" s="453"/>
      <c r="K1246" s="451"/>
      <c r="L1246" s="440"/>
      <c r="M1246" s="440"/>
      <c r="N1246" s="454"/>
      <c r="O1246" s="118">
        <v>0</v>
      </c>
      <c r="P1246" s="491">
        <f t="shared" si="25"/>
        <v>0</v>
      </c>
    </row>
    <row r="1247" spans="2:16" hidden="1" x14ac:dyDescent="0.3">
      <c r="B1247" s="440">
        <v>287</v>
      </c>
      <c r="C1247" s="584"/>
      <c r="D1247" s="457"/>
      <c r="E1247" s="456"/>
      <c r="F1247" s="453"/>
      <c r="G1247" s="451"/>
      <c r="H1247" s="453"/>
      <c r="I1247" s="451"/>
      <c r="J1247" s="453"/>
      <c r="K1247" s="451"/>
      <c r="L1247" s="440"/>
      <c r="M1247" s="440"/>
      <c r="N1247" s="454"/>
      <c r="O1247" s="118">
        <v>0</v>
      </c>
      <c r="P1247" s="491">
        <f t="shared" si="25"/>
        <v>0</v>
      </c>
    </row>
    <row r="1248" spans="2:16" hidden="1" x14ac:dyDescent="0.3">
      <c r="B1248" s="440">
        <v>288</v>
      </c>
      <c r="C1248" s="584"/>
      <c r="D1248" s="457"/>
      <c r="E1248" s="456"/>
      <c r="F1248" s="453"/>
      <c r="G1248" s="451"/>
      <c r="H1248" s="453"/>
      <c r="I1248" s="451"/>
      <c r="J1248" s="453"/>
      <c r="K1248" s="451"/>
      <c r="L1248" s="440"/>
      <c r="M1248" s="440"/>
      <c r="N1248" s="454"/>
      <c r="O1248" s="118">
        <v>0</v>
      </c>
      <c r="P1248" s="491">
        <f t="shared" si="25"/>
        <v>0</v>
      </c>
    </row>
    <row r="1249" spans="2:16" hidden="1" x14ac:dyDescent="0.3">
      <c r="B1249" s="440">
        <v>289</v>
      </c>
      <c r="C1249" s="584"/>
      <c r="D1249" s="457"/>
      <c r="E1249" s="456"/>
      <c r="F1249" s="453"/>
      <c r="G1249" s="451"/>
      <c r="H1249" s="453"/>
      <c r="I1249" s="451"/>
      <c r="J1249" s="453"/>
      <c r="K1249" s="451"/>
      <c r="L1249" s="440"/>
      <c r="M1249" s="440"/>
      <c r="N1249" s="454"/>
      <c r="O1249" s="118">
        <v>0</v>
      </c>
      <c r="P1249" s="491">
        <f t="shared" si="25"/>
        <v>0</v>
      </c>
    </row>
    <row r="1250" spans="2:16" hidden="1" x14ac:dyDescent="0.3">
      <c r="B1250" s="440">
        <v>290</v>
      </c>
      <c r="C1250" s="584"/>
      <c r="D1250" s="457"/>
      <c r="E1250" s="456"/>
      <c r="F1250" s="453"/>
      <c r="G1250" s="451"/>
      <c r="H1250" s="453"/>
      <c r="I1250" s="451"/>
      <c r="J1250" s="453"/>
      <c r="K1250" s="451"/>
      <c r="L1250" s="440"/>
      <c r="M1250" s="440"/>
      <c r="N1250" s="454"/>
      <c r="O1250" s="118">
        <v>0</v>
      </c>
      <c r="P1250" s="491">
        <f t="shared" si="25"/>
        <v>0</v>
      </c>
    </row>
    <row r="1251" spans="2:16" hidden="1" x14ac:dyDescent="0.3">
      <c r="B1251" s="440">
        <v>291</v>
      </c>
      <c r="C1251" s="584"/>
      <c r="D1251" s="457"/>
      <c r="E1251" s="456"/>
      <c r="F1251" s="453"/>
      <c r="G1251" s="451"/>
      <c r="H1251" s="453"/>
      <c r="I1251" s="451"/>
      <c r="J1251" s="453"/>
      <c r="K1251" s="451"/>
      <c r="L1251" s="440"/>
      <c r="M1251" s="440"/>
      <c r="N1251" s="454"/>
      <c r="O1251" s="118">
        <v>0</v>
      </c>
      <c r="P1251" s="491">
        <f t="shared" si="25"/>
        <v>0</v>
      </c>
    </row>
    <row r="1252" spans="2:16" hidden="1" x14ac:dyDescent="0.3">
      <c r="B1252" s="440">
        <v>292</v>
      </c>
      <c r="C1252" s="584"/>
      <c r="D1252" s="457"/>
      <c r="E1252" s="456"/>
      <c r="F1252" s="453"/>
      <c r="G1252" s="451"/>
      <c r="H1252" s="453"/>
      <c r="I1252" s="451"/>
      <c r="J1252" s="453"/>
      <c r="K1252" s="451"/>
      <c r="L1252" s="440"/>
      <c r="M1252" s="440"/>
      <c r="N1252" s="454"/>
      <c r="O1252" s="118">
        <v>0</v>
      </c>
      <c r="P1252" s="491">
        <f t="shared" si="25"/>
        <v>0</v>
      </c>
    </row>
    <row r="1253" spans="2:16" hidden="1" x14ac:dyDescent="0.3">
      <c r="B1253" s="440">
        <v>293</v>
      </c>
      <c r="C1253" s="584"/>
      <c r="D1253" s="457"/>
      <c r="E1253" s="456"/>
      <c r="F1253" s="453"/>
      <c r="G1253" s="451"/>
      <c r="H1253" s="453"/>
      <c r="I1253" s="451"/>
      <c r="J1253" s="453"/>
      <c r="K1253" s="451"/>
      <c r="L1253" s="440"/>
      <c r="M1253" s="440"/>
      <c r="N1253" s="454"/>
      <c r="O1253" s="118">
        <v>0</v>
      </c>
      <c r="P1253" s="491">
        <f t="shared" si="25"/>
        <v>0</v>
      </c>
    </row>
    <row r="1254" spans="2:16" hidden="1" x14ac:dyDescent="0.3">
      <c r="B1254" s="440">
        <v>294</v>
      </c>
      <c r="C1254" s="584"/>
      <c r="D1254" s="457"/>
      <c r="E1254" s="456"/>
      <c r="F1254" s="453"/>
      <c r="G1254" s="451"/>
      <c r="H1254" s="453"/>
      <c r="I1254" s="451"/>
      <c r="J1254" s="453"/>
      <c r="K1254" s="451"/>
      <c r="L1254" s="440"/>
      <c r="M1254" s="440"/>
      <c r="N1254" s="454"/>
      <c r="O1254" s="118">
        <v>0</v>
      </c>
      <c r="P1254" s="491">
        <f t="shared" si="25"/>
        <v>0</v>
      </c>
    </row>
    <row r="1255" spans="2:16" hidden="1" x14ac:dyDescent="0.3">
      <c r="B1255" s="440">
        <v>295</v>
      </c>
      <c r="C1255" s="584"/>
      <c r="D1255" s="457"/>
      <c r="E1255" s="456"/>
      <c r="F1255" s="453"/>
      <c r="G1255" s="451"/>
      <c r="H1255" s="453"/>
      <c r="I1255" s="451"/>
      <c r="J1255" s="453"/>
      <c r="K1255" s="451"/>
      <c r="L1255" s="440"/>
      <c r="M1255" s="440"/>
      <c r="N1255" s="454"/>
      <c r="O1255" s="118">
        <v>0</v>
      </c>
      <c r="P1255" s="491">
        <f t="shared" si="25"/>
        <v>0</v>
      </c>
    </row>
    <row r="1256" spans="2:16" hidden="1" x14ac:dyDescent="0.3">
      <c r="B1256" s="440">
        <v>296</v>
      </c>
      <c r="C1256" s="584"/>
      <c r="D1256" s="457"/>
      <c r="E1256" s="456"/>
      <c r="F1256" s="453"/>
      <c r="G1256" s="451"/>
      <c r="H1256" s="453"/>
      <c r="I1256" s="451"/>
      <c r="J1256" s="453"/>
      <c r="K1256" s="451"/>
      <c r="L1256" s="440"/>
      <c r="M1256" s="440"/>
      <c r="N1256" s="454"/>
      <c r="O1256" s="118">
        <v>0</v>
      </c>
      <c r="P1256" s="491">
        <f t="shared" si="25"/>
        <v>0</v>
      </c>
    </row>
    <row r="1257" spans="2:16" hidden="1" x14ac:dyDescent="0.3">
      <c r="B1257" s="440">
        <v>297</v>
      </c>
      <c r="C1257" s="584"/>
      <c r="D1257" s="457"/>
      <c r="E1257" s="456"/>
      <c r="F1257" s="453"/>
      <c r="G1257" s="451"/>
      <c r="H1257" s="453"/>
      <c r="I1257" s="451"/>
      <c r="J1257" s="453"/>
      <c r="K1257" s="451"/>
      <c r="L1257" s="440"/>
      <c r="M1257" s="440"/>
      <c r="N1257" s="454"/>
      <c r="O1257" s="118">
        <v>0</v>
      </c>
      <c r="P1257" s="491">
        <f t="shared" si="25"/>
        <v>0</v>
      </c>
    </row>
    <row r="1258" spans="2:16" hidden="1" x14ac:dyDescent="0.3">
      <c r="B1258" s="440">
        <v>298</v>
      </c>
      <c r="C1258" s="584"/>
      <c r="D1258" s="457"/>
      <c r="E1258" s="456"/>
      <c r="F1258" s="453"/>
      <c r="G1258" s="451"/>
      <c r="H1258" s="453"/>
      <c r="I1258" s="451"/>
      <c r="J1258" s="453"/>
      <c r="K1258" s="451"/>
      <c r="L1258" s="440"/>
      <c r="M1258" s="440"/>
      <c r="N1258" s="454"/>
      <c r="O1258" s="118">
        <v>0</v>
      </c>
      <c r="P1258" s="491">
        <f t="shared" si="25"/>
        <v>0</v>
      </c>
    </row>
    <row r="1259" spans="2:16" hidden="1" x14ac:dyDescent="0.3">
      <c r="B1259" s="440">
        <v>299</v>
      </c>
      <c r="C1259" s="584"/>
      <c r="D1259" s="457"/>
      <c r="E1259" s="456"/>
      <c r="F1259" s="453"/>
      <c r="G1259" s="451"/>
      <c r="H1259" s="453"/>
      <c r="I1259" s="451"/>
      <c r="J1259" s="453"/>
      <c r="K1259" s="451"/>
      <c r="L1259" s="440"/>
      <c r="M1259" s="440"/>
      <c r="N1259" s="454"/>
      <c r="O1259" s="118">
        <v>0</v>
      </c>
      <c r="P1259" s="491">
        <f t="shared" si="25"/>
        <v>0</v>
      </c>
    </row>
    <row r="1260" spans="2:16" hidden="1" x14ac:dyDescent="0.3">
      <c r="B1260" s="440">
        <v>300</v>
      </c>
      <c r="C1260" s="584"/>
      <c r="D1260" s="457"/>
      <c r="E1260" s="456"/>
      <c r="F1260" s="453"/>
      <c r="G1260" s="451"/>
      <c r="H1260" s="453"/>
      <c r="I1260" s="451"/>
      <c r="J1260" s="453"/>
      <c r="K1260" s="451"/>
      <c r="L1260" s="440"/>
      <c r="M1260" s="440"/>
      <c r="N1260" s="454"/>
      <c r="O1260" s="118">
        <v>0</v>
      </c>
      <c r="P1260" s="491">
        <f t="shared" si="25"/>
        <v>0</v>
      </c>
    </row>
    <row r="1261" spans="2:16" ht="33" hidden="1" x14ac:dyDescent="0.3">
      <c r="B1261" s="442"/>
      <c r="C1261" s="584"/>
      <c r="D1261" s="606" t="s">
        <v>566</v>
      </c>
      <c r="E1261" s="456"/>
      <c r="F1261" s="453"/>
      <c r="G1261" s="451"/>
      <c r="H1261" s="453"/>
      <c r="I1261" s="451"/>
      <c r="J1261" s="453"/>
      <c r="K1261" s="451"/>
      <c r="L1261" s="440"/>
      <c r="M1261" s="440"/>
      <c r="N1261" s="454"/>
      <c r="O1261" s="118">
        <v>0</v>
      </c>
      <c r="P1261" s="491">
        <f>F1261*O1261</f>
        <v>0</v>
      </c>
    </row>
    <row r="1262" spans="2:16" ht="17.25" hidden="1" x14ac:dyDescent="0.3">
      <c r="B1262" s="82"/>
      <c r="C1262" s="112"/>
      <c r="D1262" s="125"/>
      <c r="E1262" s="85"/>
      <c r="F1262" s="104"/>
      <c r="G1262" s="105"/>
      <c r="H1262" s="104"/>
      <c r="J1262" s="104"/>
      <c r="K1262" s="104"/>
      <c r="L1262" s="82"/>
      <c r="M1262" s="82"/>
      <c r="N1262" s="105"/>
      <c r="O1262" s="123"/>
      <c r="P1262" s="124"/>
    </row>
    <row r="1263" spans="2:16" ht="20.25" hidden="1" x14ac:dyDescent="0.35">
      <c r="B1263" s="82"/>
      <c r="C1263" s="126"/>
      <c r="D1263" s="82"/>
      <c r="E1263" s="86"/>
      <c r="F1263" s="104"/>
      <c r="G1263" s="105"/>
      <c r="H1263" s="105"/>
      <c r="I1263" s="104"/>
      <c r="J1263" s="104"/>
      <c r="K1263" s="82"/>
      <c r="L1263" s="82"/>
      <c r="M1263" s="105"/>
      <c r="N1263" s="82"/>
      <c r="O1263" s="106"/>
      <c r="P1263" s="124"/>
    </row>
    <row r="1264" spans="2:16" ht="20.25" hidden="1" x14ac:dyDescent="0.35">
      <c r="B1264" s="82"/>
      <c r="C1264" s="126"/>
      <c r="D1264" s="82"/>
      <c r="E1264" s="86"/>
      <c r="F1264" s="104"/>
      <c r="G1264" s="105"/>
      <c r="H1264" s="105"/>
      <c r="I1264" s="104"/>
      <c r="J1264" s="104"/>
      <c r="K1264" s="82"/>
      <c r="L1264" s="82"/>
      <c r="M1264" s="105"/>
      <c r="N1264" s="82"/>
      <c r="O1264" s="106"/>
      <c r="P1264" s="124"/>
    </row>
    <row r="1265" spans="2:16" ht="49.5" x14ac:dyDescent="0.3">
      <c r="B1265" s="462"/>
      <c r="C1265" s="569"/>
      <c r="D1265" s="462"/>
      <c r="E1265" s="461"/>
      <c r="F1265" s="461"/>
      <c r="G1265" s="462"/>
      <c r="H1265" s="462"/>
      <c r="I1265" s="461"/>
      <c r="J1265" s="461"/>
      <c r="K1265" s="462"/>
      <c r="L1265" s="462"/>
      <c r="M1265" s="462"/>
      <c r="N1265" s="462"/>
      <c r="O1265" s="463"/>
      <c r="P1265" s="557" t="s">
        <v>1287</v>
      </c>
    </row>
    <row r="1266" spans="2:16" ht="63" customHeight="1" x14ac:dyDescent="0.3">
      <c r="B1266" s="558" t="s">
        <v>1288</v>
      </c>
      <c r="C1266" s="559"/>
      <c r="D1266" s="559"/>
      <c r="E1266" s="559"/>
      <c r="F1266" s="559"/>
      <c r="G1266" s="559"/>
      <c r="H1266" s="559"/>
      <c r="I1266" s="559"/>
      <c r="J1266" s="559"/>
      <c r="K1266" s="559"/>
      <c r="L1266" s="559"/>
      <c r="M1266" s="559"/>
      <c r="N1266" s="559"/>
      <c r="O1266" s="559"/>
      <c r="P1266" s="560">
        <f>P1267+R1372</f>
        <v>255675000</v>
      </c>
    </row>
    <row r="1267" spans="2:16" ht="51.6" customHeight="1" x14ac:dyDescent="0.3">
      <c r="B1267" s="805" t="s">
        <v>515</v>
      </c>
      <c r="C1267" s="805"/>
      <c r="D1267" s="796" t="s">
        <v>1546</v>
      </c>
      <c r="E1267" s="797"/>
      <c r="F1267" s="797"/>
      <c r="G1267" s="797"/>
      <c r="H1267" s="797"/>
      <c r="I1267" s="797"/>
      <c r="J1267" s="797"/>
      <c r="K1267" s="797"/>
      <c r="L1267" s="797"/>
      <c r="M1267" s="797"/>
      <c r="N1267" s="798"/>
      <c r="O1267" s="561"/>
      <c r="P1267" s="562">
        <f>SUM(P1270:P1370)</f>
        <v>254000000</v>
      </c>
    </row>
    <row r="1268" spans="2:16" x14ac:dyDescent="0.3">
      <c r="B1268" s="806" t="s">
        <v>35</v>
      </c>
      <c r="C1268" s="806" t="s">
        <v>42</v>
      </c>
      <c r="D1268" s="806" t="s">
        <v>44</v>
      </c>
      <c r="E1268" s="812" t="s">
        <v>472</v>
      </c>
      <c r="F1268" s="812" t="s">
        <v>49</v>
      </c>
      <c r="G1268" s="812" t="s">
        <v>559</v>
      </c>
      <c r="H1268" s="812" t="s">
        <v>100</v>
      </c>
      <c r="I1268" s="812" t="s">
        <v>1289</v>
      </c>
      <c r="J1268" s="812" t="s">
        <v>1290</v>
      </c>
      <c r="K1268" s="814" t="s">
        <v>1291</v>
      </c>
      <c r="L1268" s="815" t="s">
        <v>45</v>
      </c>
      <c r="M1268" s="816"/>
      <c r="N1268" s="812" t="s">
        <v>97</v>
      </c>
      <c r="O1268" s="563" t="s">
        <v>51</v>
      </c>
      <c r="P1268" s="812" t="s">
        <v>1292</v>
      </c>
    </row>
    <row r="1269" spans="2:16" ht="54.95" customHeight="1" x14ac:dyDescent="0.3">
      <c r="B1269" s="806"/>
      <c r="C1269" s="806"/>
      <c r="D1269" s="806"/>
      <c r="E1269" s="813"/>
      <c r="F1269" s="813"/>
      <c r="G1269" s="813"/>
      <c r="H1269" s="813"/>
      <c r="I1269" s="813"/>
      <c r="J1269" s="813"/>
      <c r="K1269" s="814"/>
      <c r="L1269" s="564" t="s">
        <v>172</v>
      </c>
      <c r="M1269" s="564" t="s">
        <v>101</v>
      </c>
      <c r="N1269" s="813"/>
      <c r="O1269" s="565"/>
      <c r="P1269" s="813"/>
    </row>
    <row r="1270" spans="2:16" ht="66" x14ac:dyDescent="0.3">
      <c r="B1270" s="454">
        <v>1</v>
      </c>
      <c r="C1270" s="570" t="s">
        <v>787</v>
      </c>
      <c r="D1270" s="452" t="s">
        <v>836</v>
      </c>
      <c r="E1270" s="571" t="s">
        <v>1546</v>
      </c>
      <c r="F1270" s="509">
        <v>1</v>
      </c>
      <c r="G1270" s="570" t="s">
        <v>716</v>
      </c>
      <c r="H1270" s="572" t="s">
        <v>781</v>
      </c>
      <c r="I1270" s="496" t="s">
        <v>797</v>
      </c>
      <c r="J1270" s="570" t="s">
        <v>1547</v>
      </c>
      <c r="K1270" s="573" t="s">
        <v>728</v>
      </c>
      <c r="L1270" s="453">
        <v>8.2197220000000009</v>
      </c>
      <c r="M1270" s="453">
        <v>8.9052779999999991</v>
      </c>
      <c r="N1270" s="495" t="s">
        <v>813</v>
      </c>
      <c r="O1270" s="566">
        <v>23998915.850000001</v>
      </c>
      <c r="P1270" s="555">
        <f t="shared" ref="P1270:P1333" si="26">F1270*O1270</f>
        <v>23998915.850000001</v>
      </c>
    </row>
    <row r="1271" spans="2:16" ht="66" x14ac:dyDescent="0.3">
      <c r="B1271" s="454">
        <v>2</v>
      </c>
      <c r="C1271" s="570" t="s">
        <v>792</v>
      </c>
      <c r="D1271" s="574" t="s">
        <v>829</v>
      </c>
      <c r="E1271" s="571" t="s">
        <v>1546</v>
      </c>
      <c r="F1271" s="509">
        <v>1</v>
      </c>
      <c r="G1271" s="570" t="s">
        <v>718</v>
      </c>
      <c r="H1271" s="570" t="s">
        <v>806</v>
      </c>
      <c r="I1271" s="570" t="s">
        <v>782</v>
      </c>
      <c r="J1271" s="570" t="s">
        <v>1547</v>
      </c>
      <c r="K1271" s="574" t="s">
        <v>728</v>
      </c>
      <c r="L1271" s="575">
        <v>6.7572219999999996</v>
      </c>
      <c r="M1271" s="542">
        <v>9.0336110000000005</v>
      </c>
      <c r="N1271" s="495" t="s">
        <v>813</v>
      </c>
      <c r="O1271" s="566">
        <v>26801084.149999999</v>
      </c>
      <c r="P1271" s="555">
        <f t="shared" si="26"/>
        <v>26801084.149999999</v>
      </c>
    </row>
    <row r="1272" spans="2:16" ht="66" x14ac:dyDescent="0.3">
      <c r="B1272" s="454">
        <v>3</v>
      </c>
      <c r="C1272" s="570" t="s">
        <v>795</v>
      </c>
      <c r="D1272" s="574" t="s">
        <v>840</v>
      </c>
      <c r="E1272" s="571" t="s">
        <v>1546</v>
      </c>
      <c r="F1272" s="509">
        <v>1</v>
      </c>
      <c r="G1272" s="570" t="s">
        <v>716</v>
      </c>
      <c r="H1272" s="572" t="s">
        <v>825</v>
      </c>
      <c r="I1272" s="570" t="s">
        <v>797</v>
      </c>
      <c r="J1272" s="570" t="s">
        <v>1547</v>
      </c>
      <c r="K1272" s="576" t="s">
        <v>728</v>
      </c>
      <c r="L1272" s="577">
        <v>7.2138400000000003</v>
      </c>
      <c r="M1272" s="577">
        <v>9.0230999999999995</v>
      </c>
      <c r="N1272" s="495" t="s">
        <v>813</v>
      </c>
      <c r="O1272" s="566">
        <v>23998915.850000001</v>
      </c>
      <c r="P1272" s="555">
        <f t="shared" si="26"/>
        <v>23998915.850000001</v>
      </c>
    </row>
    <row r="1273" spans="2:16" ht="66" x14ac:dyDescent="0.3">
      <c r="B1273" s="454">
        <v>4</v>
      </c>
      <c r="C1273" s="570" t="s">
        <v>798</v>
      </c>
      <c r="D1273" s="578" t="s">
        <v>841</v>
      </c>
      <c r="E1273" s="571" t="s">
        <v>1546</v>
      </c>
      <c r="F1273" s="509">
        <v>1</v>
      </c>
      <c r="G1273" s="570" t="s">
        <v>718</v>
      </c>
      <c r="H1273" s="572" t="s">
        <v>781</v>
      </c>
      <c r="I1273" s="570" t="s">
        <v>797</v>
      </c>
      <c r="J1273" s="570" t="s">
        <v>1547</v>
      </c>
      <c r="K1273" s="574" t="s">
        <v>728</v>
      </c>
      <c r="L1273" s="538">
        <v>8.2091670000000008</v>
      </c>
      <c r="M1273" s="509">
        <v>8.9438890000000004</v>
      </c>
      <c r="N1273" s="495" t="s">
        <v>813</v>
      </c>
      <c r="O1273" s="566">
        <v>23998915.850000001</v>
      </c>
      <c r="P1273" s="555">
        <f t="shared" si="26"/>
        <v>23998915.850000001</v>
      </c>
    </row>
    <row r="1274" spans="2:16" ht="66" x14ac:dyDescent="0.3">
      <c r="B1274" s="454">
        <v>5</v>
      </c>
      <c r="C1274" s="570" t="s">
        <v>799</v>
      </c>
      <c r="D1274" s="452" t="s">
        <v>842</v>
      </c>
      <c r="E1274" s="571" t="s">
        <v>1546</v>
      </c>
      <c r="F1274" s="509">
        <v>1</v>
      </c>
      <c r="G1274" s="570" t="s">
        <v>716</v>
      </c>
      <c r="H1274" s="509" t="s">
        <v>806</v>
      </c>
      <c r="I1274" s="570" t="s">
        <v>782</v>
      </c>
      <c r="J1274" s="570" t="s">
        <v>1547</v>
      </c>
      <c r="K1274" s="574" t="s">
        <v>728</v>
      </c>
      <c r="L1274" s="577">
        <v>6.7865310000000001</v>
      </c>
      <c r="M1274" s="577">
        <v>9.0632210000000004</v>
      </c>
      <c r="N1274" s="495" t="s">
        <v>813</v>
      </c>
      <c r="O1274" s="566">
        <v>26801084.149999999</v>
      </c>
      <c r="P1274" s="555">
        <f t="shared" si="26"/>
        <v>26801084.149999999</v>
      </c>
    </row>
    <row r="1275" spans="2:16" ht="66" x14ac:dyDescent="0.3">
      <c r="B1275" s="454">
        <v>6</v>
      </c>
      <c r="C1275" s="570" t="s">
        <v>802</v>
      </c>
      <c r="D1275" s="568" t="s">
        <v>831</v>
      </c>
      <c r="E1275" s="571" t="s">
        <v>1546</v>
      </c>
      <c r="F1275" s="509">
        <v>1</v>
      </c>
      <c r="G1275" s="570" t="s">
        <v>718</v>
      </c>
      <c r="H1275" s="509" t="s">
        <v>832</v>
      </c>
      <c r="I1275" s="570" t="s">
        <v>782</v>
      </c>
      <c r="J1275" s="570" t="s">
        <v>1547</v>
      </c>
      <c r="K1275" s="574" t="s">
        <v>728</v>
      </c>
      <c r="L1275" s="579">
        <v>7.3119440000000004</v>
      </c>
      <c r="M1275" s="509">
        <v>8.7675000000000001</v>
      </c>
      <c r="N1275" s="495" t="s">
        <v>813</v>
      </c>
      <c r="O1275" s="566">
        <v>26801084.149999999</v>
      </c>
      <c r="P1275" s="555">
        <f t="shared" si="26"/>
        <v>26801084.149999999</v>
      </c>
    </row>
    <row r="1276" spans="2:16" ht="66" x14ac:dyDescent="0.3">
      <c r="B1276" s="454">
        <v>7</v>
      </c>
      <c r="C1276" s="570" t="s">
        <v>1188</v>
      </c>
      <c r="D1276" s="574" t="s">
        <v>843</v>
      </c>
      <c r="E1276" s="571" t="s">
        <v>1546</v>
      </c>
      <c r="F1276" s="509">
        <v>1</v>
      </c>
      <c r="G1276" s="570" t="s">
        <v>717</v>
      </c>
      <c r="H1276" s="509" t="s">
        <v>844</v>
      </c>
      <c r="I1276" s="570" t="s">
        <v>782</v>
      </c>
      <c r="J1276" s="570" t="s">
        <v>1547</v>
      </c>
      <c r="K1276" s="574" t="s">
        <v>728</v>
      </c>
      <c r="L1276" s="577">
        <v>7.3331</v>
      </c>
      <c r="M1276" s="577">
        <v>8.5737299999999994</v>
      </c>
      <c r="N1276" s="495" t="s">
        <v>813</v>
      </c>
      <c r="O1276" s="566">
        <v>26801084.149999999</v>
      </c>
      <c r="P1276" s="555">
        <f t="shared" si="26"/>
        <v>26801084.149999999</v>
      </c>
    </row>
    <row r="1277" spans="2:16" ht="66" x14ac:dyDescent="0.3">
      <c r="B1277" s="454">
        <v>8</v>
      </c>
      <c r="C1277" s="570" t="s">
        <v>1189</v>
      </c>
      <c r="D1277" s="574" t="s">
        <v>845</v>
      </c>
      <c r="E1277" s="571" t="s">
        <v>1546</v>
      </c>
      <c r="F1277" s="509">
        <v>1</v>
      </c>
      <c r="G1277" s="570" t="s">
        <v>716</v>
      </c>
      <c r="H1277" s="509" t="s">
        <v>846</v>
      </c>
      <c r="I1277" s="570" t="s">
        <v>782</v>
      </c>
      <c r="J1277" s="570" t="s">
        <v>1547</v>
      </c>
      <c r="K1277" s="574" t="s">
        <v>728</v>
      </c>
      <c r="L1277" s="575">
        <v>7.4987500000000002</v>
      </c>
      <c r="M1277" s="575">
        <v>9.6113769999999992</v>
      </c>
      <c r="N1277" s="495" t="s">
        <v>813</v>
      </c>
      <c r="O1277" s="566">
        <v>26801084.149999999</v>
      </c>
      <c r="P1277" s="555">
        <f t="shared" si="26"/>
        <v>26801084.149999999</v>
      </c>
    </row>
    <row r="1278" spans="2:16" ht="66" x14ac:dyDescent="0.3">
      <c r="B1278" s="454">
        <v>9</v>
      </c>
      <c r="C1278" s="570" t="s">
        <v>1248</v>
      </c>
      <c r="D1278" s="568" t="s">
        <v>784</v>
      </c>
      <c r="E1278" s="571" t="s">
        <v>1546</v>
      </c>
      <c r="F1278" s="453">
        <v>1</v>
      </c>
      <c r="G1278" s="570" t="s">
        <v>717</v>
      </c>
      <c r="H1278" s="509" t="s">
        <v>785</v>
      </c>
      <c r="I1278" s="570" t="s">
        <v>782</v>
      </c>
      <c r="J1278" s="570" t="s">
        <v>1547</v>
      </c>
      <c r="K1278" s="574" t="s">
        <v>728</v>
      </c>
      <c r="L1278" s="575">
        <v>7.5011729999999996</v>
      </c>
      <c r="M1278" s="575">
        <v>8.4424430000000008</v>
      </c>
      <c r="N1278" s="495" t="s">
        <v>813</v>
      </c>
      <c r="O1278" s="566">
        <v>23998915.850000001</v>
      </c>
      <c r="P1278" s="555">
        <f t="shared" si="26"/>
        <v>23998915.850000001</v>
      </c>
    </row>
    <row r="1279" spans="2:16" ht="66" x14ac:dyDescent="0.3">
      <c r="B1279" s="454">
        <v>10</v>
      </c>
      <c r="C1279" s="570" t="s">
        <v>1249</v>
      </c>
      <c r="D1279" s="574" t="s">
        <v>855</v>
      </c>
      <c r="E1279" s="571" t="s">
        <v>1546</v>
      </c>
      <c r="F1279" s="509">
        <v>1</v>
      </c>
      <c r="G1279" s="570" t="s">
        <v>718</v>
      </c>
      <c r="H1279" s="509" t="s">
        <v>781</v>
      </c>
      <c r="I1279" s="570" t="s">
        <v>797</v>
      </c>
      <c r="J1279" s="570" t="s">
        <v>1547</v>
      </c>
      <c r="K1279" s="574" t="s">
        <v>728</v>
      </c>
      <c r="L1279" s="509">
        <v>7.0188800000000002</v>
      </c>
      <c r="M1279" s="509">
        <v>8.2477199999999993</v>
      </c>
      <c r="N1279" s="495" t="s">
        <v>813</v>
      </c>
      <c r="O1279" s="566">
        <v>23998915.850000001</v>
      </c>
      <c r="P1279" s="555">
        <f t="shared" si="26"/>
        <v>23998915.850000001</v>
      </c>
    </row>
    <row r="1280" spans="2:16" ht="16.5" hidden="1" customHeight="1" x14ac:dyDescent="0.3">
      <c r="B1280" s="454">
        <v>11</v>
      </c>
      <c r="C1280" s="570"/>
      <c r="D1280" s="573"/>
      <c r="E1280" s="572"/>
      <c r="F1280" s="453"/>
      <c r="G1280" s="570"/>
      <c r="H1280" s="453"/>
      <c r="I1280" s="570"/>
      <c r="J1280" s="453"/>
      <c r="K1280" s="570"/>
      <c r="L1280" s="454"/>
      <c r="M1280" s="454"/>
      <c r="N1280" s="454"/>
      <c r="O1280" s="556">
        <v>0</v>
      </c>
      <c r="P1280" s="491">
        <f t="shared" si="26"/>
        <v>0</v>
      </c>
    </row>
    <row r="1281" spans="2:16" ht="16.5" hidden="1" customHeight="1" x14ac:dyDescent="0.3">
      <c r="B1281" s="454">
        <v>12</v>
      </c>
      <c r="C1281" s="570"/>
      <c r="D1281" s="573"/>
      <c r="E1281" s="572"/>
      <c r="F1281" s="453"/>
      <c r="G1281" s="570"/>
      <c r="H1281" s="453"/>
      <c r="I1281" s="570"/>
      <c r="J1281" s="453"/>
      <c r="K1281" s="570"/>
      <c r="L1281" s="454"/>
      <c r="M1281" s="454"/>
      <c r="N1281" s="454"/>
      <c r="O1281" s="118">
        <v>0</v>
      </c>
      <c r="P1281" s="491">
        <f t="shared" si="26"/>
        <v>0</v>
      </c>
    </row>
    <row r="1282" spans="2:16" ht="16.5" hidden="1" customHeight="1" x14ac:dyDescent="0.3">
      <c r="B1282" s="454">
        <v>13</v>
      </c>
      <c r="C1282" s="570"/>
      <c r="D1282" s="573"/>
      <c r="E1282" s="572"/>
      <c r="F1282" s="453"/>
      <c r="G1282" s="570"/>
      <c r="H1282" s="453"/>
      <c r="I1282" s="570"/>
      <c r="J1282" s="453"/>
      <c r="K1282" s="570"/>
      <c r="L1282" s="454"/>
      <c r="M1282" s="454"/>
      <c r="N1282" s="454"/>
      <c r="O1282" s="118">
        <v>0</v>
      </c>
      <c r="P1282" s="491">
        <f t="shared" si="26"/>
        <v>0</v>
      </c>
    </row>
    <row r="1283" spans="2:16" ht="16.5" hidden="1" customHeight="1" x14ac:dyDescent="0.3">
      <c r="B1283" s="454">
        <v>14</v>
      </c>
      <c r="C1283" s="570"/>
      <c r="D1283" s="573"/>
      <c r="E1283" s="572"/>
      <c r="F1283" s="453"/>
      <c r="G1283" s="570"/>
      <c r="H1283" s="453"/>
      <c r="I1283" s="570"/>
      <c r="J1283" s="453"/>
      <c r="K1283" s="570"/>
      <c r="L1283" s="454"/>
      <c r="M1283" s="454"/>
      <c r="N1283" s="454"/>
      <c r="O1283" s="118">
        <v>0</v>
      </c>
      <c r="P1283" s="491">
        <f t="shared" si="26"/>
        <v>0</v>
      </c>
    </row>
    <row r="1284" spans="2:16" ht="16.5" hidden="1" customHeight="1" x14ac:dyDescent="0.3">
      <c r="B1284" s="454">
        <v>15</v>
      </c>
      <c r="C1284" s="570"/>
      <c r="D1284" s="573"/>
      <c r="E1284" s="572"/>
      <c r="F1284" s="453"/>
      <c r="G1284" s="570"/>
      <c r="H1284" s="453"/>
      <c r="I1284" s="570"/>
      <c r="J1284" s="453"/>
      <c r="K1284" s="570"/>
      <c r="L1284" s="454"/>
      <c r="M1284" s="454"/>
      <c r="N1284" s="454"/>
      <c r="O1284" s="118">
        <v>0</v>
      </c>
      <c r="P1284" s="491">
        <f t="shared" si="26"/>
        <v>0</v>
      </c>
    </row>
    <row r="1285" spans="2:16" ht="16.5" hidden="1" customHeight="1" x14ac:dyDescent="0.3">
      <c r="B1285" s="454">
        <v>16</v>
      </c>
      <c r="C1285" s="570"/>
      <c r="D1285" s="573"/>
      <c r="E1285" s="572"/>
      <c r="F1285" s="453"/>
      <c r="G1285" s="570"/>
      <c r="H1285" s="453"/>
      <c r="I1285" s="570"/>
      <c r="J1285" s="453"/>
      <c r="K1285" s="570"/>
      <c r="L1285" s="454"/>
      <c r="M1285" s="454"/>
      <c r="N1285" s="454"/>
      <c r="O1285" s="118">
        <v>0</v>
      </c>
      <c r="P1285" s="491">
        <f t="shared" si="26"/>
        <v>0</v>
      </c>
    </row>
    <row r="1286" spans="2:16" ht="16.5" hidden="1" customHeight="1" x14ac:dyDescent="0.3">
      <c r="B1286" s="454">
        <v>17</v>
      </c>
      <c r="C1286" s="570"/>
      <c r="D1286" s="573"/>
      <c r="E1286" s="572"/>
      <c r="F1286" s="453"/>
      <c r="G1286" s="570"/>
      <c r="H1286" s="453"/>
      <c r="I1286" s="570"/>
      <c r="J1286" s="453"/>
      <c r="K1286" s="570"/>
      <c r="L1286" s="454"/>
      <c r="M1286" s="454"/>
      <c r="N1286" s="454"/>
      <c r="O1286" s="118">
        <v>0</v>
      </c>
      <c r="P1286" s="491">
        <f t="shared" si="26"/>
        <v>0</v>
      </c>
    </row>
    <row r="1287" spans="2:16" ht="16.5" hidden="1" customHeight="1" x14ac:dyDescent="0.3">
      <c r="B1287" s="454">
        <v>18</v>
      </c>
      <c r="C1287" s="570"/>
      <c r="D1287" s="573"/>
      <c r="E1287" s="572"/>
      <c r="F1287" s="453"/>
      <c r="G1287" s="570"/>
      <c r="H1287" s="453"/>
      <c r="I1287" s="570"/>
      <c r="J1287" s="453"/>
      <c r="K1287" s="570"/>
      <c r="L1287" s="454"/>
      <c r="M1287" s="454"/>
      <c r="N1287" s="454"/>
      <c r="O1287" s="118">
        <v>0</v>
      </c>
      <c r="P1287" s="491">
        <f t="shared" si="26"/>
        <v>0</v>
      </c>
    </row>
    <row r="1288" spans="2:16" ht="16.5" hidden="1" customHeight="1" x14ac:dyDescent="0.3">
      <c r="B1288" s="454">
        <v>19</v>
      </c>
      <c r="C1288" s="570"/>
      <c r="D1288" s="573"/>
      <c r="E1288" s="572"/>
      <c r="F1288" s="453"/>
      <c r="G1288" s="570"/>
      <c r="H1288" s="453"/>
      <c r="I1288" s="570"/>
      <c r="J1288" s="453"/>
      <c r="K1288" s="570"/>
      <c r="L1288" s="454"/>
      <c r="M1288" s="454"/>
      <c r="N1288" s="454"/>
      <c r="O1288" s="118">
        <v>0</v>
      </c>
      <c r="P1288" s="491">
        <f t="shared" si="26"/>
        <v>0</v>
      </c>
    </row>
    <row r="1289" spans="2:16" ht="16.5" hidden="1" customHeight="1" x14ac:dyDescent="0.3">
      <c r="B1289" s="454">
        <v>20</v>
      </c>
      <c r="C1289" s="570"/>
      <c r="D1289" s="573"/>
      <c r="E1289" s="572"/>
      <c r="F1289" s="453"/>
      <c r="G1289" s="570"/>
      <c r="H1289" s="453"/>
      <c r="I1289" s="570"/>
      <c r="J1289" s="453"/>
      <c r="K1289" s="570"/>
      <c r="L1289" s="454"/>
      <c r="M1289" s="454"/>
      <c r="N1289" s="454"/>
      <c r="O1289" s="118">
        <v>0</v>
      </c>
      <c r="P1289" s="491">
        <f t="shared" si="26"/>
        <v>0</v>
      </c>
    </row>
    <row r="1290" spans="2:16" ht="16.5" hidden="1" customHeight="1" x14ac:dyDescent="0.3">
      <c r="B1290" s="454">
        <v>21</v>
      </c>
      <c r="C1290" s="570"/>
      <c r="D1290" s="573"/>
      <c r="E1290" s="572"/>
      <c r="F1290" s="453"/>
      <c r="G1290" s="570"/>
      <c r="H1290" s="453"/>
      <c r="I1290" s="570"/>
      <c r="J1290" s="453"/>
      <c r="K1290" s="570"/>
      <c r="L1290" s="454"/>
      <c r="M1290" s="454"/>
      <c r="N1290" s="454"/>
      <c r="O1290" s="118">
        <v>0</v>
      </c>
      <c r="P1290" s="491">
        <f t="shared" si="26"/>
        <v>0</v>
      </c>
    </row>
    <row r="1291" spans="2:16" ht="16.5" hidden="1" customHeight="1" x14ac:dyDescent="0.3">
      <c r="B1291" s="454">
        <v>22</v>
      </c>
      <c r="C1291" s="570"/>
      <c r="D1291" s="573"/>
      <c r="E1291" s="572"/>
      <c r="F1291" s="453"/>
      <c r="G1291" s="570"/>
      <c r="H1291" s="453"/>
      <c r="I1291" s="570"/>
      <c r="J1291" s="453"/>
      <c r="K1291" s="570"/>
      <c r="L1291" s="454"/>
      <c r="M1291" s="454"/>
      <c r="N1291" s="454"/>
      <c r="O1291" s="118">
        <v>0</v>
      </c>
      <c r="P1291" s="491">
        <f t="shared" si="26"/>
        <v>0</v>
      </c>
    </row>
    <row r="1292" spans="2:16" ht="16.5" hidden="1" customHeight="1" x14ac:dyDescent="0.3">
      <c r="B1292" s="454">
        <v>23</v>
      </c>
      <c r="C1292" s="570"/>
      <c r="D1292" s="573"/>
      <c r="E1292" s="572"/>
      <c r="F1292" s="453"/>
      <c r="G1292" s="570"/>
      <c r="H1292" s="453"/>
      <c r="I1292" s="570"/>
      <c r="J1292" s="453"/>
      <c r="K1292" s="570"/>
      <c r="L1292" s="454"/>
      <c r="M1292" s="454"/>
      <c r="N1292" s="454"/>
      <c r="O1292" s="118">
        <v>0</v>
      </c>
      <c r="P1292" s="491">
        <f t="shared" si="26"/>
        <v>0</v>
      </c>
    </row>
    <row r="1293" spans="2:16" ht="16.5" hidden="1" customHeight="1" x14ac:dyDescent="0.3">
      <c r="B1293" s="454">
        <v>24</v>
      </c>
      <c r="C1293" s="570"/>
      <c r="D1293" s="573"/>
      <c r="E1293" s="572"/>
      <c r="F1293" s="453"/>
      <c r="G1293" s="570"/>
      <c r="H1293" s="453"/>
      <c r="I1293" s="570"/>
      <c r="J1293" s="453"/>
      <c r="K1293" s="570"/>
      <c r="L1293" s="454"/>
      <c r="M1293" s="454"/>
      <c r="N1293" s="454"/>
      <c r="O1293" s="118">
        <v>0</v>
      </c>
      <c r="P1293" s="491">
        <f t="shared" si="26"/>
        <v>0</v>
      </c>
    </row>
    <row r="1294" spans="2:16" ht="16.5" hidden="1" customHeight="1" x14ac:dyDescent="0.3">
      <c r="B1294" s="454">
        <v>25</v>
      </c>
      <c r="C1294" s="570"/>
      <c r="D1294" s="573"/>
      <c r="E1294" s="572"/>
      <c r="F1294" s="453"/>
      <c r="G1294" s="570"/>
      <c r="H1294" s="453"/>
      <c r="I1294" s="570"/>
      <c r="J1294" s="453"/>
      <c r="K1294" s="570"/>
      <c r="L1294" s="454"/>
      <c r="M1294" s="454"/>
      <c r="N1294" s="454"/>
      <c r="O1294" s="118">
        <v>0</v>
      </c>
      <c r="P1294" s="491">
        <f t="shared" si="26"/>
        <v>0</v>
      </c>
    </row>
    <row r="1295" spans="2:16" ht="16.5" hidden="1" customHeight="1" x14ac:dyDescent="0.3">
      <c r="B1295" s="454">
        <v>26</v>
      </c>
      <c r="C1295" s="570"/>
      <c r="D1295" s="573"/>
      <c r="E1295" s="572"/>
      <c r="F1295" s="453"/>
      <c r="G1295" s="570"/>
      <c r="H1295" s="453"/>
      <c r="I1295" s="570"/>
      <c r="J1295" s="453"/>
      <c r="K1295" s="570"/>
      <c r="L1295" s="454"/>
      <c r="M1295" s="454"/>
      <c r="N1295" s="454"/>
      <c r="O1295" s="118">
        <v>0</v>
      </c>
      <c r="P1295" s="491">
        <f t="shared" si="26"/>
        <v>0</v>
      </c>
    </row>
    <row r="1296" spans="2:16" ht="16.5" hidden="1" customHeight="1" x14ac:dyDescent="0.3">
      <c r="B1296" s="454">
        <v>27</v>
      </c>
      <c r="C1296" s="570"/>
      <c r="D1296" s="573"/>
      <c r="E1296" s="572"/>
      <c r="F1296" s="453"/>
      <c r="G1296" s="570"/>
      <c r="H1296" s="453"/>
      <c r="I1296" s="570"/>
      <c r="J1296" s="453"/>
      <c r="K1296" s="570"/>
      <c r="L1296" s="454"/>
      <c r="M1296" s="454"/>
      <c r="N1296" s="454"/>
      <c r="O1296" s="118">
        <v>0</v>
      </c>
      <c r="P1296" s="491">
        <f t="shared" si="26"/>
        <v>0</v>
      </c>
    </row>
    <row r="1297" spans="2:16" ht="16.5" hidden="1" customHeight="1" x14ac:dyDescent="0.3">
      <c r="B1297" s="454">
        <v>28</v>
      </c>
      <c r="C1297" s="570"/>
      <c r="D1297" s="573"/>
      <c r="E1297" s="572"/>
      <c r="F1297" s="453"/>
      <c r="G1297" s="570"/>
      <c r="H1297" s="453"/>
      <c r="I1297" s="570"/>
      <c r="J1297" s="453"/>
      <c r="K1297" s="570"/>
      <c r="L1297" s="454"/>
      <c r="M1297" s="454"/>
      <c r="N1297" s="454"/>
      <c r="O1297" s="118">
        <v>0</v>
      </c>
      <c r="P1297" s="491">
        <f t="shared" si="26"/>
        <v>0</v>
      </c>
    </row>
    <row r="1298" spans="2:16" ht="16.5" hidden="1" customHeight="1" x14ac:dyDescent="0.3">
      <c r="B1298" s="454">
        <v>29</v>
      </c>
      <c r="C1298" s="570"/>
      <c r="D1298" s="573"/>
      <c r="E1298" s="572"/>
      <c r="F1298" s="453"/>
      <c r="G1298" s="570"/>
      <c r="H1298" s="453"/>
      <c r="I1298" s="570"/>
      <c r="J1298" s="453"/>
      <c r="K1298" s="570"/>
      <c r="L1298" s="454"/>
      <c r="M1298" s="454"/>
      <c r="N1298" s="454"/>
      <c r="O1298" s="118">
        <v>0</v>
      </c>
      <c r="P1298" s="491">
        <f t="shared" si="26"/>
        <v>0</v>
      </c>
    </row>
    <row r="1299" spans="2:16" ht="16.5" hidden="1" customHeight="1" x14ac:dyDescent="0.3">
      <c r="B1299" s="454">
        <v>30</v>
      </c>
      <c r="C1299" s="570"/>
      <c r="D1299" s="573"/>
      <c r="E1299" s="572"/>
      <c r="F1299" s="453"/>
      <c r="G1299" s="570"/>
      <c r="H1299" s="453"/>
      <c r="I1299" s="570"/>
      <c r="J1299" s="453"/>
      <c r="K1299" s="570"/>
      <c r="L1299" s="454"/>
      <c r="M1299" s="454"/>
      <c r="N1299" s="454"/>
      <c r="O1299" s="118">
        <v>0</v>
      </c>
      <c r="P1299" s="491">
        <f t="shared" si="26"/>
        <v>0</v>
      </c>
    </row>
    <row r="1300" spans="2:16" ht="16.5" hidden="1" customHeight="1" x14ac:dyDescent="0.3">
      <c r="B1300" s="454">
        <v>31</v>
      </c>
      <c r="C1300" s="570"/>
      <c r="D1300" s="574"/>
      <c r="E1300" s="572"/>
      <c r="F1300" s="453"/>
      <c r="G1300" s="570"/>
      <c r="H1300" s="453"/>
      <c r="I1300" s="570"/>
      <c r="J1300" s="453"/>
      <c r="K1300" s="570"/>
      <c r="L1300" s="454"/>
      <c r="M1300" s="454"/>
      <c r="N1300" s="454"/>
      <c r="O1300" s="118">
        <v>0</v>
      </c>
      <c r="P1300" s="491">
        <f t="shared" si="26"/>
        <v>0</v>
      </c>
    </row>
    <row r="1301" spans="2:16" ht="16.5" hidden="1" customHeight="1" x14ac:dyDescent="0.3">
      <c r="B1301" s="454">
        <v>32</v>
      </c>
      <c r="C1301" s="570"/>
      <c r="D1301" s="574"/>
      <c r="E1301" s="572"/>
      <c r="F1301" s="453"/>
      <c r="G1301" s="570"/>
      <c r="H1301" s="453"/>
      <c r="I1301" s="570"/>
      <c r="J1301" s="453"/>
      <c r="K1301" s="570"/>
      <c r="L1301" s="454"/>
      <c r="M1301" s="454"/>
      <c r="N1301" s="454"/>
      <c r="O1301" s="118">
        <v>0</v>
      </c>
      <c r="P1301" s="491">
        <f t="shared" si="26"/>
        <v>0</v>
      </c>
    </row>
    <row r="1302" spans="2:16" ht="16.5" hidden="1" customHeight="1" x14ac:dyDescent="0.3">
      <c r="B1302" s="454">
        <v>33</v>
      </c>
      <c r="C1302" s="570"/>
      <c r="D1302" s="574"/>
      <c r="E1302" s="572"/>
      <c r="F1302" s="453"/>
      <c r="G1302" s="570"/>
      <c r="H1302" s="453"/>
      <c r="I1302" s="570"/>
      <c r="J1302" s="453"/>
      <c r="K1302" s="570"/>
      <c r="L1302" s="454"/>
      <c r="M1302" s="454"/>
      <c r="N1302" s="454"/>
      <c r="O1302" s="118">
        <v>0</v>
      </c>
      <c r="P1302" s="491">
        <f t="shared" si="26"/>
        <v>0</v>
      </c>
    </row>
    <row r="1303" spans="2:16" ht="16.5" hidden="1" customHeight="1" x14ac:dyDescent="0.3">
      <c r="B1303" s="454">
        <v>34</v>
      </c>
      <c r="C1303" s="570"/>
      <c r="D1303" s="574"/>
      <c r="E1303" s="572"/>
      <c r="F1303" s="453"/>
      <c r="G1303" s="570"/>
      <c r="H1303" s="453"/>
      <c r="I1303" s="570"/>
      <c r="J1303" s="453"/>
      <c r="K1303" s="570"/>
      <c r="L1303" s="454"/>
      <c r="M1303" s="454"/>
      <c r="N1303" s="454"/>
      <c r="O1303" s="118">
        <v>0</v>
      </c>
      <c r="P1303" s="491">
        <f t="shared" si="26"/>
        <v>0</v>
      </c>
    </row>
    <row r="1304" spans="2:16" ht="16.5" hidden="1" customHeight="1" x14ac:dyDescent="0.3">
      <c r="B1304" s="454">
        <v>35</v>
      </c>
      <c r="C1304" s="570"/>
      <c r="D1304" s="573"/>
      <c r="E1304" s="572"/>
      <c r="F1304" s="453"/>
      <c r="G1304" s="570"/>
      <c r="H1304" s="453"/>
      <c r="I1304" s="570"/>
      <c r="J1304" s="453"/>
      <c r="K1304" s="570"/>
      <c r="L1304" s="454"/>
      <c r="M1304" s="454"/>
      <c r="N1304" s="454"/>
      <c r="O1304" s="118">
        <v>0</v>
      </c>
      <c r="P1304" s="491">
        <f t="shared" si="26"/>
        <v>0</v>
      </c>
    </row>
    <row r="1305" spans="2:16" ht="16.5" hidden="1" customHeight="1" x14ac:dyDescent="0.3">
      <c r="B1305" s="454">
        <v>36</v>
      </c>
      <c r="C1305" s="570"/>
      <c r="D1305" s="573"/>
      <c r="E1305" s="572"/>
      <c r="F1305" s="453"/>
      <c r="G1305" s="570"/>
      <c r="H1305" s="453"/>
      <c r="I1305" s="570"/>
      <c r="J1305" s="453"/>
      <c r="K1305" s="570"/>
      <c r="L1305" s="454"/>
      <c r="M1305" s="454"/>
      <c r="N1305" s="454"/>
      <c r="O1305" s="118">
        <v>0</v>
      </c>
      <c r="P1305" s="491">
        <f t="shared" si="26"/>
        <v>0</v>
      </c>
    </row>
    <row r="1306" spans="2:16" ht="16.5" hidden="1" customHeight="1" x14ac:dyDescent="0.3">
      <c r="B1306" s="454">
        <v>37</v>
      </c>
      <c r="C1306" s="570"/>
      <c r="D1306" s="573"/>
      <c r="E1306" s="572"/>
      <c r="F1306" s="453"/>
      <c r="G1306" s="570"/>
      <c r="H1306" s="453"/>
      <c r="I1306" s="570"/>
      <c r="J1306" s="453"/>
      <c r="K1306" s="570"/>
      <c r="L1306" s="454"/>
      <c r="M1306" s="454"/>
      <c r="N1306" s="454"/>
      <c r="O1306" s="118">
        <v>0</v>
      </c>
      <c r="P1306" s="491">
        <f t="shared" si="26"/>
        <v>0</v>
      </c>
    </row>
    <row r="1307" spans="2:16" ht="16.5" hidden="1" customHeight="1" x14ac:dyDescent="0.3">
      <c r="B1307" s="454">
        <v>38</v>
      </c>
      <c r="C1307" s="570"/>
      <c r="D1307" s="573"/>
      <c r="E1307" s="572"/>
      <c r="F1307" s="453"/>
      <c r="G1307" s="570"/>
      <c r="H1307" s="453"/>
      <c r="I1307" s="570"/>
      <c r="J1307" s="453"/>
      <c r="K1307" s="570"/>
      <c r="L1307" s="454"/>
      <c r="M1307" s="454"/>
      <c r="N1307" s="454"/>
      <c r="O1307" s="118">
        <v>0</v>
      </c>
      <c r="P1307" s="491">
        <f t="shared" si="26"/>
        <v>0</v>
      </c>
    </row>
    <row r="1308" spans="2:16" ht="16.5" hidden="1" customHeight="1" x14ac:dyDescent="0.3">
      <c r="B1308" s="454">
        <v>39</v>
      </c>
      <c r="C1308" s="570"/>
      <c r="D1308" s="573"/>
      <c r="E1308" s="572"/>
      <c r="F1308" s="453"/>
      <c r="G1308" s="570"/>
      <c r="H1308" s="453"/>
      <c r="I1308" s="570"/>
      <c r="J1308" s="453"/>
      <c r="K1308" s="570"/>
      <c r="L1308" s="454"/>
      <c r="M1308" s="454"/>
      <c r="N1308" s="454"/>
      <c r="O1308" s="118">
        <v>0</v>
      </c>
      <c r="P1308" s="491">
        <f t="shared" si="26"/>
        <v>0</v>
      </c>
    </row>
    <row r="1309" spans="2:16" ht="16.5" hidden="1" customHeight="1" x14ac:dyDescent="0.3">
      <c r="B1309" s="454">
        <v>40</v>
      </c>
      <c r="C1309" s="570"/>
      <c r="D1309" s="573"/>
      <c r="E1309" s="572"/>
      <c r="F1309" s="453"/>
      <c r="G1309" s="570"/>
      <c r="H1309" s="453"/>
      <c r="I1309" s="570"/>
      <c r="J1309" s="453"/>
      <c r="K1309" s="570"/>
      <c r="L1309" s="454"/>
      <c r="M1309" s="454"/>
      <c r="N1309" s="454"/>
      <c r="O1309" s="118">
        <v>0</v>
      </c>
      <c r="P1309" s="491">
        <f t="shared" si="26"/>
        <v>0</v>
      </c>
    </row>
    <row r="1310" spans="2:16" ht="16.5" hidden="1" customHeight="1" x14ac:dyDescent="0.3">
      <c r="B1310" s="454">
        <v>41</v>
      </c>
      <c r="C1310" s="570"/>
      <c r="D1310" s="573"/>
      <c r="E1310" s="572"/>
      <c r="F1310" s="453"/>
      <c r="G1310" s="570"/>
      <c r="H1310" s="453"/>
      <c r="I1310" s="570"/>
      <c r="J1310" s="453"/>
      <c r="K1310" s="570"/>
      <c r="L1310" s="454"/>
      <c r="M1310" s="454"/>
      <c r="N1310" s="454"/>
      <c r="O1310" s="118">
        <v>0</v>
      </c>
      <c r="P1310" s="491">
        <f t="shared" si="26"/>
        <v>0</v>
      </c>
    </row>
    <row r="1311" spans="2:16" ht="16.5" hidden="1" customHeight="1" x14ac:dyDescent="0.3">
      <c r="B1311" s="454">
        <v>42</v>
      </c>
      <c r="C1311" s="570"/>
      <c r="D1311" s="573"/>
      <c r="E1311" s="572"/>
      <c r="F1311" s="453"/>
      <c r="G1311" s="570"/>
      <c r="H1311" s="453"/>
      <c r="I1311" s="570"/>
      <c r="J1311" s="453"/>
      <c r="K1311" s="570"/>
      <c r="L1311" s="454"/>
      <c r="M1311" s="454"/>
      <c r="N1311" s="454"/>
      <c r="O1311" s="118">
        <v>0</v>
      </c>
      <c r="P1311" s="491">
        <f t="shared" si="26"/>
        <v>0</v>
      </c>
    </row>
    <row r="1312" spans="2:16" ht="16.5" hidden="1" customHeight="1" x14ac:dyDescent="0.3">
      <c r="B1312" s="454">
        <v>43</v>
      </c>
      <c r="C1312" s="570"/>
      <c r="D1312" s="573"/>
      <c r="E1312" s="572"/>
      <c r="F1312" s="453"/>
      <c r="G1312" s="570"/>
      <c r="H1312" s="453"/>
      <c r="I1312" s="570"/>
      <c r="J1312" s="453"/>
      <c r="K1312" s="570"/>
      <c r="L1312" s="454"/>
      <c r="M1312" s="454"/>
      <c r="N1312" s="454"/>
      <c r="O1312" s="118">
        <v>0</v>
      </c>
      <c r="P1312" s="491">
        <f t="shared" si="26"/>
        <v>0</v>
      </c>
    </row>
    <row r="1313" spans="2:16" ht="16.5" hidden="1" customHeight="1" x14ac:dyDescent="0.3">
      <c r="B1313" s="454">
        <v>44</v>
      </c>
      <c r="C1313" s="570"/>
      <c r="D1313" s="573"/>
      <c r="E1313" s="572"/>
      <c r="F1313" s="453"/>
      <c r="G1313" s="570"/>
      <c r="H1313" s="453"/>
      <c r="I1313" s="570"/>
      <c r="J1313" s="453"/>
      <c r="K1313" s="570"/>
      <c r="L1313" s="454"/>
      <c r="M1313" s="454"/>
      <c r="N1313" s="454"/>
      <c r="O1313" s="118">
        <v>0</v>
      </c>
      <c r="P1313" s="491">
        <f t="shared" si="26"/>
        <v>0</v>
      </c>
    </row>
    <row r="1314" spans="2:16" ht="16.5" hidden="1" customHeight="1" x14ac:dyDescent="0.3">
      <c r="B1314" s="454">
        <v>45</v>
      </c>
      <c r="C1314" s="570"/>
      <c r="D1314" s="573"/>
      <c r="E1314" s="572"/>
      <c r="F1314" s="453"/>
      <c r="G1314" s="570"/>
      <c r="H1314" s="453"/>
      <c r="I1314" s="570"/>
      <c r="J1314" s="453"/>
      <c r="K1314" s="570"/>
      <c r="L1314" s="454"/>
      <c r="M1314" s="454"/>
      <c r="N1314" s="454"/>
      <c r="O1314" s="118">
        <v>0</v>
      </c>
      <c r="P1314" s="491">
        <f t="shared" si="26"/>
        <v>0</v>
      </c>
    </row>
    <row r="1315" spans="2:16" ht="16.5" hidden="1" customHeight="1" x14ac:dyDescent="0.3">
      <c r="B1315" s="454">
        <v>46</v>
      </c>
      <c r="C1315" s="570"/>
      <c r="D1315" s="573"/>
      <c r="E1315" s="572"/>
      <c r="F1315" s="453"/>
      <c r="G1315" s="570"/>
      <c r="H1315" s="453"/>
      <c r="I1315" s="570"/>
      <c r="J1315" s="453"/>
      <c r="K1315" s="570"/>
      <c r="L1315" s="454"/>
      <c r="M1315" s="454"/>
      <c r="N1315" s="454"/>
      <c r="O1315" s="118">
        <v>0</v>
      </c>
      <c r="P1315" s="491">
        <f t="shared" si="26"/>
        <v>0</v>
      </c>
    </row>
    <row r="1316" spans="2:16" ht="16.5" hidden="1" customHeight="1" x14ac:dyDescent="0.3">
      <c r="B1316" s="454">
        <v>47</v>
      </c>
      <c r="C1316" s="570"/>
      <c r="D1316" s="573"/>
      <c r="E1316" s="572"/>
      <c r="F1316" s="453"/>
      <c r="G1316" s="570"/>
      <c r="H1316" s="453"/>
      <c r="I1316" s="570"/>
      <c r="J1316" s="453"/>
      <c r="K1316" s="570"/>
      <c r="L1316" s="454"/>
      <c r="M1316" s="454"/>
      <c r="N1316" s="454"/>
      <c r="O1316" s="118">
        <v>0</v>
      </c>
      <c r="P1316" s="491">
        <f t="shared" si="26"/>
        <v>0</v>
      </c>
    </row>
    <row r="1317" spans="2:16" ht="16.5" hidden="1" customHeight="1" x14ac:dyDescent="0.3">
      <c r="B1317" s="454">
        <v>48</v>
      </c>
      <c r="C1317" s="570"/>
      <c r="D1317" s="573"/>
      <c r="E1317" s="572"/>
      <c r="F1317" s="453"/>
      <c r="G1317" s="570"/>
      <c r="H1317" s="453"/>
      <c r="I1317" s="570"/>
      <c r="J1317" s="453"/>
      <c r="K1317" s="570"/>
      <c r="L1317" s="454"/>
      <c r="M1317" s="454"/>
      <c r="N1317" s="454"/>
      <c r="O1317" s="118">
        <v>0</v>
      </c>
      <c r="P1317" s="491">
        <f t="shared" si="26"/>
        <v>0</v>
      </c>
    </row>
    <row r="1318" spans="2:16" ht="16.5" hidden="1" customHeight="1" x14ac:dyDescent="0.3">
      <c r="B1318" s="454">
        <v>49</v>
      </c>
      <c r="C1318" s="570"/>
      <c r="D1318" s="573"/>
      <c r="E1318" s="572"/>
      <c r="F1318" s="453"/>
      <c r="G1318" s="570"/>
      <c r="H1318" s="453"/>
      <c r="I1318" s="570"/>
      <c r="J1318" s="453"/>
      <c r="K1318" s="570"/>
      <c r="L1318" s="454"/>
      <c r="M1318" s="454"/>
      <c r="N1318" s="454"/>
      <c r="O1318" s="118">
        <v>0</v>
      </c>
      <c r="P1318" s="491">
        <f t="shared" si="26"/>
        <v>0</v>
      </c>
    </row>
    <row r="1319" spans="2:16" ht="16.5" hidden="1" customHeight="1" x14ac:dyDescent="0.3">
      <c r="B1319" s="454">
        <v>50</v>
      </c>
      <c r="C1319" s="570"/>
      <c r="D1319" s="573"/>
      <c r="E1319" s="572"/>
      <c r="F1319" s="453"/>
      <c r="G1319" s="570"/>
      <c r="H1319" s="453"/>
      <c r="I1319" s="570"/>
      <c r="J1319" s="453"/>
      <c r="K1319" s="570"/>
      <c r="L1319" s="454"/>
      <c r="M1319" s="454"/>
      <c r="N1319" s="454"/>
      <c r="O1319" s="118">
        <v>0</v>
      </c>
      <c r="P1319" s="491">
        <f t="shared" si="26"/>
        <v>0</v>
      </c>
    </row>
    <row r="1320" spans="2:16" ht="16.5" hidden="1" customHeight="1" x14ac:dyDescent="0.3">
      <c r="B1320" s="454">
        <v>51</v>
      </c>
      <c r="C1320" s="570"/>
      <c r="D1320" s="573"/>
      <c r="E1320" s="572"/>
      <c r="F1320" s="453"/>
      <c r="G1320" s="570"/>
      <c r="H1320" s="453"/>
      <c r="I1320" s="570"/>
      <c r="J1320" s="453"/>
      <c r="K1320" s="570"/>
      <c r="L1320" s="454"/>
      <c r="M1320" s="454"/>
      <c r="N1320" s="454"/>
      <c r="O1320" s="118">
        <v>0</v>
      </c>
      <c r="P1320" s="491">
        <f t="shared" si="26"/>
        <v>0</v>
      </c>
    </row>
    <row r="1321" spans="2:16" hidden="1" x14ac:dyDescent="0.3">
      <c r="B1321" s="454">
        <v>52</v>
      </c>
      <c r="C1321" s="570"/>
      <c r="D1321" s="573"/>
      <c r="E1321" s="572"/>
      <c r="F1321" s="453"/>
      <c r="G1321" s="570"/>
      <c r="H1321" s="453"/>
      <c r="I1321" s="570"/>
      <c r="J1321" s="453"/>
      <c r="K1321" s="570"/>
      <c r="L1321" s="454"/>
      <c r="M1321" s="454"/>
      <c r="N1321" s="454"/>
      <c r="O1321" s="118">
        <v>0</v>
      </c>
      <c r="P1321" s="491">
        <f t="shared" si="26"/>
        <v>0</v>
      </c>
    </row>
    <row r="1322" spans="2:16" hidden="1" x14ac:dyDescent="0.3">
      <c r="B1322" s="454">
        <v>53</v>
      </c>
      <c r="C1322" s="570"/>
      <c r="D1322" s="573"/>
      <c r="E1322" s="572"/>
      <c r="F1322" s="453"/>
      <c r="G1322" s="570"/>
      <c r="H1322" s="453"/>
      <c r="I1322" s="570"/>
      <c r="J1322" s="453"/>
      <c r="K1322" s="570"/>
      <c r="L1322" s="454"/>
      <c r="M1322" s="454"/>
      <c r="N1322" s="454"/>
      <c r="O1322" s="118">
        <v>0</v>
      </c>
      <c r="P1322" s="491">
        <f t="shared" si="26"/>
        <v>0</v>
      </c>
    </row>
    <row r="1323" spans="2:16" hidden="1" x14ac:dyDescent="0.3">
      <c r="B1323" s="454">
        <v>54</v>
      </c>
      <c r="C1323" s="570"/>
      <c r="D1323" s="573"/>
      <c r="E1323" s="572"/>
      <c r="F1323" s="453"/>
      <c r="G1323" s="570"/>
      <c r="H1323" s="453"/>
      <c r="I1323" s="570"/>
      <c r="J1323" s="453"/>
      <c r="K1323" s="570"/>
      <c r="L1323" s="454"/>
      <c r="M1323" s="454"/>
      <c r="N1323" s="454"/>
      <c r="O1323" s="118">
        <v>0</v>
      </c>
      <c r="P1323" s="491">
        <f t="shared" si="26"/>
        <v>0</v>
      </c>
    </row>
    <row r="1324" spans="2:16" hidden="1" x14ac:dyDescent="0.3">
      <c r="B1324" s="454">
        <v>55</v>
      </c>
      <c r="C1324" s="570"/>
      <c r="D1324" s="573"/>
      <c r="E1324" s="572"/>
      <c r="F1324" s="453"/>
      <c r="G1324" s="570"/>
      <c r="H1324" s="453"/>
      <c r="I1324" s="570"/>
      <c r="J1324" s="453"/>
      <c r="K1324" s="570"/>
      <c r="L1324" s="454"/>
      <c r="M1324" s="454"/>
      <c r="N1324" s="454"/>
      <c r="O1324" s="118">
        <v>0</v>
      </c>
      <c r="P1324" s="491">
        <f t="shared" si="26"/>
        <v>0</v>
      </c>
    </row>
    <row r="1325" spans="2:16" hidden="1" x14ac:dyDescent="0.3">
      <c r="B1325" s="454">
        <v>56</v>
      </c>
      <c r="C1325" s="570"/>
      <c r="D1325" s="573"/>
      <c r="E1325" s="572"/>
      <c r="F1325" s="453"/>
      <c r="G1325" s="570"/>
      <c r="H1325" s="453"/>
      <c r="I1325" s="570"/>
      <c r="J1325" s="453"/>
      <c r="K1325" s="570"/>
      <c r="L1325" s="454"/>
      <c r="M1325" s="454"/>
      <c r="N1325" s="454"/>
      <c r="O1325" s="118">
        <v>0</v>
      </c>
      <c r="P1325" s="491">
        <f t="shared" si="26"/>
        <v>0</v>
      </c>
    </row>
    <row r="1326" spans="2:16" hidden="1" x14ac:dyDescent="0.3">
      <c r="B1326" s="454">
        <v>57</v>
      </c>
      <c r="C1326" s="570"/>
      <c r="D1326" s="573"/>
      <c r="E1326" s="572"/>
      <c r="F1326" s="453"/>
      <c r="G1326" s="570"/>
      <c r="H1326" s="453"/>
      <c r="I1326" s="570"/>
      <c r="J1326" s="453"/>
      <c r="K1326" s="570"/>
      <c r="L1326" s="454"/>
      <c r="M1326" s="454"/>
      <c r="N1326" s="454"/>
      <c r="O1326" s="118">
        <v>0</v>
      </c>
      <c r="P1326" s="491">
        <f t="shared" si="26"/>
        <v>0</v>
      </c>
    </row>
    <row r="1327" spans="2:16" hidden="1" x14ac:dyDescent="0.3">
      <c r="B1327" s="454">
        <v>58</v>
      </c>
      <c r="C1327" s="570"/>
      <c r="D1327" s="573"/>
      <c r="E1327" s="572"/>
      <c r="F1327" s="453"/>
      <c r="G1327" s="570"/>
      <c r="H1327" s="453"/>
      <c r="I1327" s="570"/>
      <c r="J1327" s="453"/>
      <c r="K1327" s="570"/>
      <c r="L1327" s="454"/>
      <c r="M1327" s="454"/>
      <c r="N1327" s="454"/>
      <c r="O1327" s="118">
        <v>0</v>
      </c>
      <c r="P1327" s="491">
        <f t="shared" si="26"/>
        <v>0</v>
      </c>
    </row>
    <row r="1328" spans="2:16" hidden="1" x14ac:dyDescent="0.3">
      <c r="B1328" s="454">
        <v>59</v>
      </c>
      <c r="C1328" s="570"/>
      <c r="D1328" s="573"/>
      <c r="E1328" s="572"/>
      <c r="F1328" s="453"/>
      <c r="G1328" s="570"/>
      <c r="H1328" s="453"/>
      <c r="I1328" s="570"/>
      <c r="J1328" s="453"/>
      <c r="K1328" s="570"/>
      <c r="L1328" s="454"/>
      <c r="M1328" s="454"/>
      <c r="N1328" s="454"/>
      <c r="O1328" s="118">
        <v>0</v>
      </c>
      <c r="P1328" s="491">
        <f t="shared" si="26"/>
        <v>0</v>
      </c>
    </row>
    <row r="1329" spans="2:16" hidden="1" x14ac:dyDescent="0.3">
      <c r="B1329" s="454">
        <v>60</v>
      </c>
      <c r="C1329" s="570"/>
      <c r="D1329" s="573"/>
      <c r="E1329" s="572"/>
      <c r="F1329" s="453"/>
      <c r="G1329" s="570"/>
      <c r="H1329" s="453"/>
      <c r="I1329" s="570"/>
      <c r="J1329" s="453"/>
      <c r="K1329" s="570"/>
      <c r="L1329" s="454"/>
      <c r="M1329" s="454"/>
      <c r="N1329" s="454"/>
      <c r="O1329" s="118">
        <v>0</v>
      </c>
      <c r="P1329" s="491">
        <f t="shared" si="26"/>
        <v>0</v>
      </c>
    </row>
    <row r="1330" spans="2:16" hidden="1" x14ac:dyDescent="0.3">
      <c r="B1330" s="454">
        <v>61</v>
      </c>
      <c r="C1330" s="570"/>
      <c r="D1330" s="573"/>
      <c r="E1330" s="572"/>
      <c r="F1330" s="453"/>
      <c r="G1330" s="570"/>
      <c r="H1330" s="453"/>
      <c r="I1330" s="570"/>
      <c r="J1330" s="453"/>
      <c r="K1330" s="570"/>
      <c r="L1330" s="454"/>
      <c r="M1330" s="454"/>
      <c r="N1330" s="454"/>
      <c r="O1330" s="118">
        <v>0</v>
      </c>
      <c r="P1330" s="491">
        <f t="shared" si="26"/>
        <v>0</v>
      </c>
    </row>
    <row r="1331" spans="2:16" hidden="1" x14ac:dyDescent="0.3">
      <c r="B1331" s="454">
        <v>62</v>
      </c>
      <c r="C1331" s="570"/>
      <c r="D1331" s="573"/>
      <c r="E1331" s="572"/>
      <c r="F1331" s="453"/>
      <c r="G1331" s="570"/>
      <c r="H1331" s="453"/>
      <c r="I1331" s="570"/>
      <c r="J1331" s="453"/>
      <c r="K1331" s="570"/>
      <c r="L1331" s="454"/>
      <c r="M1331" s="454"/>
      <c r="N1331" s="454"/>
      <c r="O1331" s="118">
        <v>0</v>
      </c>
      <c r="P1331" s="491">
        <f t="shared" si="26"/>
        <v>0</v>
      </c>
    </row>
    <row r="1332" spans="2:16" hidden="1" x14ac:dyDescent="0.3">
      <c r="B1332" s="454">
        <v>63</v>
      </c>
      <c r="C1332" s="570"/>
      <c r="D1332" s="573"/>
      <c r="E1332" s="572"/>
      <c r="F1332" s="453"/>
      <c r="G1332" s="570"/>
      <c r="H1332" s="453"/>
      <c r="I1332" s="570"/>
      <c r="J1332" s="453"/>
      <c r="K1332" s="570"/>
      <c r="L1332" s="454"/>
      <c r="M1332" s="454"/>
      <c r="N1332" s="454"/>
      <c r="O1332" s="118">
        <v>0</v>
      </c>
      <c r="P1332" s="491">
        <f t="shared" si="26"/>
        <v>0</v>
      </c>
    </row>
    <row r="1333" spans="2:16" hidden="1" x14ac:dyDescent="0.3">
      <c r="B1333" s="454">
        <v>64</v>
      </c>
      <c r="C1333" s="570"/>
      <c r="D1333" s="573"/>
      <c r="E1333" s="572"/>
      <c r="F1333" s="453"/>
      <c r="G1333" s="570"/>
      <c r="H1333" s="453"/>
      <c r="I1333" s="570"/>
      <c r="J1333" s="453"/>
      <c r="K1333" s="570"/>
      <c r="L1333" s="454"/>
      <c r="M1333" s="454"/>
      <c r="N1333" s="454"/>
      <c r="O1333" s="118">
        <v>0</v>
      </c>
      <c r="P1333" s="491">
        <f t="shared" si="26"/>
        <v>0</v>
      </c>
    </row>
    <row r="1334" spans="2:16" hidden="1" x14ac:dyDescent="0.3">
      <c r="B1334" s="454">
        <v>65</v>
      </c>
      <c r="C1334" s="570"/>
      <c r="D1334" s="573"/>
      <c r="E1334" s="572"/>
      <c r="F1334" s="453"/>
      <c r="G1334" s="570"/>
      <c r="H1334" s="453"/>
      <c r="I1334" s="570"/>
      <c r="J1334" s="453"/>
      <c r="K1334" s="570"/>
      <c r="L1334" s="454"/>
      <c r="M1334" s="454"/>
      <c r="N1334" s="454"/>
      <c r="O1334" s="118">
        <v>0</v>
      </c>
      <c r="P1334" s="491">
        <f t="shared" ref="P1334:P1370" si="27">F1334*O1334</f>
        <v>0</v>
      </c>
    </row>
    <row r="1335" spans="2:16" hidden="1" x14ac:dyDescent="0.3">
      <c r="B1335" s="454">
        <v>66</v>
      </c>
      <c r="C1335" s="570"/>
      <c r="D1335" s="573"/>
      <c r="E1335" s="572"/>
      <c r="F1335" s="453"/>
      <c r="G1335" s="570"/>
      <c r="H1335" s="453"/>
      <c r="I1335" s="570"/>
      <c r="J1335" s="453"/>
      <c r="K1335" s="570"/>
      <c r="L1335" s="454"/>
      <c r="M1335" s="454"/>
      <c r="N1335" s="454"/>
      <c r="O1335" s="118">
        <v>0</v>
      </c>
      <c r="P1335" s="491">
        <f t="shared" si="27"/>
        <v>0</v>
      </c>
    </row>
    <row r="1336" spans="2:16" hidden="1" x14ac:dyDescent="0.3">
      <c r="B1336" s="454">
        <v>67</v>
      </c>
      <c r="C1336" s="570"/>
      <c r="D1336" s="573"/>
      <c r="E1336" s="572"/>
      <c r="F1336" s="453"/>
      <c r="G1336" s="570"/>
      <c r="H1336" s="453"/>
      <c r="I1336" s="570"/>
      <c r="J1336" s="453"/>
      <c r="K1336" s="570"/>
      <c r="L1336" s="454"/>
      <c r="M1336" s="454"/>
      <c r="N1336" s="454"/>
      <c r="O1336" s="118">
        <v>0</v>
      </c>
      <c r="P1336" s="491">
        <f t="shared" si="27"/>
        <v>0</v>
      </c>
    </row>
    <row r="1337" spans="2:16" hidden="1" x14ac:dyDescent="0.3">
      <c r="B1337" s="454">
        <v>68</v>
      </c>
      <c r="C1337" s="570"/>
      <c r="D1337" s="573"/>
      <c r="E1337" s="572"/>
      <c r="F1337" s="453"/>
      <c r="G1337" s="570"/>
      <c r="H1337" s="453"/>
      <c r="I1337" s="570"/>
      <c r="J1337" s="453"/>
      <c r="K1337" s="570"/>
      <c r="L1337" s="454"/>
      <c r="M1337" s="454"/>
      <c r="N1337" s="454"/>
      <c r="O1337" s="118">
        <v>0</v>
      </c>
      <c r="P1337" s="491">
        <f t="shared" si="27"/>
        <v>0</v>
      </c>
    </row>
    <row r="1338" spans="2:16" hidden="1" x14ac:dyDescent="0.3">
      <c r="B1338" s="454">
        <v>69</v>
      </c>
      <c r="C1338" s="570"/>
      <c r="D1338" s="573"/>
      <c r="E1338" s="572"/>
      <c r="F1338" s="453"/>
      <c r="G1338" s="570"/>
      <c r="H1338" s="453"/>
      <c r="I1338" s="570"/>
      <c r="J1338" s="453"/>
      <c r="K1338" s="570"/>
      <c r="L1338" s="454"/>
      <c r="M1338" s="454"/>
      <c r="N1338" s="454"/>
      <c r="O1338" s="118">
        <v>0</v>
      </c>
      <c r="P1338" s="491">
        <f t="shared" si="27"/>
        <v>0</v>
      </c>
    </row>
    <row r="1339" spans="2:16" hidden="1" x14ac:dyDescent="0.3">
      <c r="B1339" s="454">
        <v>70</v>
      </c>
      <c r="C1339" s="570"/>
      <c r="D1339" s="573"/>
      <c r="E1339" s="572"/>
      <c r="F1339" s="453"/>
      <c r="G1339" s="570"/>
      <c r="H1339" s="453"/>
      <c r="I1339" s="570"/>
      <c r="J1339" s="453"/>
      <c r="K1339" s="570"/>
      <c r="L1339" s="454"/>
      <c r="M1339" s="454"/>
      <c r="N1339" s="454"/>
      <c r="O1339" s="118">
        <v>0</v>
      </c>
      <c r="P1339" s="491">
        <f t="shared" si="27"/>
        <v>0</v>
      </c>
    </row>
    <row r="1340" spans="2:16" hidden="1" x14ac:dyDescent="0.3">
      <c r="B1340" s="454">
        <v>71</v>
      </c>
      <c r="C1340" s="570"/>
      <c r="D1340" s="573"/>
      <c r="E1340" s="572"/>
      <c r="F1340" s="453"/>
      <c r="G1340" s="570"/>
      <c r="H1340" s="453"/>
      <c r="I1340" s="570"/>
      <c r="J1340" s="453"/>
      <c r="K1340" s="570"/>
      <c r="L1340" s="454"/>
      <c r="M1340" s="454"/>
      <c r="N1340" s="454"/>
      <c r="O1340" s="118">
        <v>0</v>
      </c>
      <c r="P1340" s="491">
        <f t="shared" si="27"/>
        <v>0</v>
      </c>
    </row>
    <row r="1341" spans="2:16" hidden="1" x14ac:dyDescent="0.3">
      <c r="B1341" s="454">
        <v>72</v>
      </c>
      <c r="C1341" s="570"/>
      <c r="D1341" s="573"/>
      <c r="E1341" s="572"/>
      <c r="F1341" s="453"/>
      <c r="G1341" s="570"/>
      <c r="H1341" s="453"/>
      <c r="I1341" s="570"/>
      <c r="J1341" s="453"/>
      <c r="K1341" s="570"/>
      <c r="L1341" s="454"/>
      <c r="M1341" s="454"/>
      <c r="N1341" s="454"/>
      <c r="O1341" s="118">
        <v>0</v>
      </c>
      <c r="P1341" s="491">
        <f t="shared" si="27"/>
        <v>0</v>
      </c>
    </row>
    <row r="1342" spans="2:16" hidden="1" x14ac:dyDescent="0.3">
      <c r="B1342" s="454">
        <v>73</v>
      </c>
      <c r="C1342" s="570"/>
      <c r="D1342" s="573"/>
      <c r="E1342" s="572"/>
      <c r="F1342" s="453"/>
      <c r="G1342" s="570"/>
      <c r="H1342" s="453"/>
      <c r="I1342" s="570"/>
      <c r="J1342" s="453"/>
      <c r="K1342" s="570"/>
      <c r="L1342" s="454"/>
      <c r="M1342" s="454"/>
      <c r="N1342" s="454"/>
      <c r="O1342" s="118">
        <v>0</v>
      </c>
      <c r="P1342" s="491">
        <f t="shared" si="27"/>
        <v>0</v>
      </c>
    </row>
    <row r="1343" spans="2:16" hidden="1" x14ac:dyDescent="0.3">
      <c r="B1343" s="454">
        <v>74</v>
      </c>
      <c r="C1343" s="570"/>
      <c r="D1343" s="573"/>
      <c r="E1343" s="572"/>
      <c r="F1343" s="453"/>
      <c r="G1343" s="570"/>
      <c r="H1343" s="453"/>
      <c r="I1343" s="570"/>
      <c r="J1343" s="453"/>
      <c r="K1343" s="570"/>
      <c r="L1343" s="454"/>
      <c r="M1343" s="454"/>
      <c r="N1343" s="454"/>
      <c r="O1343" s="118">
        <v>0</v>
      </c>
      <c r="P1343" s="491">
        <f t="shared" si="27"/>
        <v>0</v>
      </c>
    </row>
    <row r="1344" spans="2:16" hidden="1" x14ac:dyDescent="0.3">
      <c r="B1344" s="454">
        <v>75</v>
      </c>
      <c r="C1344" s="570"/>
      <c r="D1344" s="573"/>
      <c r="E1344" s="572"/>
      <c r="F1344" s="453"/>
      <c r="G1344" s="570"/>
      <c r="H1344" s="453"/>
      <c r="I1344" s="570"/>
      <c r="J1344" s="453"/>
      <c r="K1344" s="570"/>
      <c r="L1344" s="454"/>
      <c r="M1344" s="454"/>
      <c r="N1344" s="454"/>
      <c r="O1344" s="118">
        <v>0</v>
      </c>
      <c r="P1344" s="491">
        <f t="shared" si="27"/>
        <v>0</v>
      </c>
    </row>
    <row r="1345" spans="2:16" hidden="1" x14ac:dyDescent="0.3">
      <c r="B1345" s="454">
        <v>76</v>
      </c>
      <c r="C1345" s="570"/>
      <c r="D1345" s="573"/>
      <c r="E1345" s="572"/>
      <c r="F1345" s="453"/>
      <c r="G1345" s="570"/>
      <c r="H1345" s="453"/>
      <c r="I1345" s="570"/>
      <c r="J1345" s="453"/>
      <c r="K1345" s="570"/>
      <c r="L1345" s="454"/>
      <c r="M1345" s="454"/>
      <c r="N1345" s="454"/>
      <c r="O1345" s="118">
        <v>0</v>
      </c>
      <c r="P1345" s="491">
        <f t="shared" si="27"/>
        <v>0</v>
      </c>
    </row>
    <row r="1346" spans="2:16" hidden="1" x14ac:dyDescent="0.3">
      <c r="B1346" s="454">
        <v>77</v>
      </c>
      <c r="C1346" s="570"/>
      <c r="D1346" s="573"/>
      <c r="E1346" s="572"/>
      <c r="F1346" s="453"/>
      <c r="G1346" s="570"/>
      <c r="H1346" s="453"/>
      <c r="I1346" s="570"/>
      <c r="J1346" s="453"/>
      <c r="K1346" s="570"/>
      <c r="L1346" s="454"/>
      <c r="M1346" s="454"/>
      <c r="N1346" s="454"/>
      <c r="O1346" s="118">
        <v>0</v>
      </c>
      <c r="P1346" s="491">
        <f t="shared" si="27"/>
        <v>0</v>
      </c>
    </row>
    <row r="1347" spans="2:16" hidden="1" x14ac:dyDescent="0.3">
      <c r="B1347" s="454">
        <v>78</v>
      </c>
      <c r="C1347" s="570"/>
      <c r="D1347" s="573"/>
      <c r="E1347" s="572"/>
      <c r="F1347" s="453"/>
      <c r="G1347" s="570"/>
      <c r="H1347" s="453"/>
      <c r="I1347" s="570"/>
      <c r="J1347" s="453"/>
      <c r="K1347" s="570"/>
      <c r="L1347" s="454"/>
      <c r="M1347" s="454"/>
      <c r="N1347" s="454"/>
      <c r="O1347" s="118">
        <v>0</v>
      </c>
      <c r="P1347" s="491">
        <f t="shared" si="27"/>
        <v>0</v>
      </c>
    </row>
    <row r="1348" spans="2:16" hidden="1" x14ac:dyDescent="0.3">
      <c r="B1348" s="454">
        <v>79</v>
      </c>
      <c r="C1348" s="570"/>
      <c r="D1348" s="573"/>
      <c r="E1348" s="572"/>
      <c r="F1348" s="453"/>
      <c r="G1348" s="570"/>
      <c r="H1348" s="453"/>
      <c r="I1348" s="570"/>
      <c r="J1348" s="453"/>
      <c r="K1348" s="570"/>
      <c r="L1348" s="454"/>
      <c r="M1348" s="454"/>
      <c r="N1348" s="454"/>
      <c r="O1348" s="118">
        <v>0</v>
      </c>
      <c r="P1348" s="491">
        <f t="shared" si="27"/>
        <v>0</v>
      </c>
    </row>
    <row r="1349" spans="2:16" hidden="1" x14ac:dyDescent="0.3">
      <c r="B1349" s="454">
        <v>80</v>
      </c>
      <c r="C1349" s="570"/>
      <c r="D1349" s="573"/>
      <c r="E1349" s="572"/>
      <c r="F1349" s="453"/>
      <c r="G1349" s="570"/>
      <c r="H1349" s="453"/>
      <c r="I1349" s="570"/>
      <c r="J1349" s="453"/>
      <c r="K1349" s="570"/>
      <c r="L1349" s="454"/>
      <c r="M1349" s="454"/>
      <c r="N1349" s="454"/>
      <c r="O1349" s="118">
        <v>0</v>
      </c>
      <c r="P1349" s="491">
        <f t="shared" si="27"/>
        <v>0</v>
      </c>
    </row>
    <row r="1350" spans="2:16" hidden="1" x14ac:dyDescent="0.3">
      <c r="B1350" s="454">
        <v>81</v>
      </c>
      <c r="C1350" s="570"/>
      <c r="D1350" s="573"/>
      <c r="E1350" s="572"/>
      <c r="F1350" s="453"/>
      <c r="G1350" s="570"/>
      <c r="H1350" s="453"/>
      <c r="I1350" s="570"/>
      <c r="J1350" s="453"/>
      <c r="K1350" s="570"/>
      <c r="L1350" s="454"/>
      <c r="M1350" s="454"/>
      <c r="N1350" s="454"/>
      <c r="O1350" s="118">
        <v>0</v>
      </c>
      <c r="P1350" s="491">
        <f t="shared" si="27"/>
        <v>0</v>
      </c>
    </row>
    <row r="1351" spans="2:16" hidden="1" x14ac:dyDescent="0.3">
      <c r="B1351" s="454">
        <v>82</v>
      </c>
      <c r="C1351" s="570"/>
      <c r="D1351" s="573"/>
      <c r="E1351" s="572"/>
      <c r="F1351" s="453"/>
      <c r="G1351" s="570"/>
      <c r="H1351" s="453"/>
      <c r="I1351" s="570"/>
      <c r="J1351" s="453"/>
      <c r="K1351" s="570"/>
      <c r="L1351" s="454"/>
      <c r="M1351" s="454"/>
      <c r="N1351" s="454"/>
      <c r="O1351" s="118">
        <v>0</v>
      </c>
      <c r="P1351" s="491">
        <f t="shared" si="27"/>
        <v>0</v>
      </c>
    </row>
    <row r="1352" spans="2:16" hidden="1" x14ac:dyDescent="0.3">
      <c r="B1352" s="454">
        <v>83</v>
      </c>
      <c r="C1352" s="570"/>
      <c r="D1352" s="573"/>
      <c r="E1352" s="572"/>
      <c r="F1352" s="453"/>
      <c r="G1352" s="570"/>
      <c r="H1352" s="453"/>
      <c r="I1352" s="570"/>
      <c r="J1352" s="453"/>
      <c r="K1352" s="570"/>
      <c r="L1352" s="454"/>
      <c r="M1352" s="454"/>
      <c r="N1352" s="454"/>
      <c r="O1352" s="118">
        <v>0</v>
      </c>
      <c r="P1352" s="491">
        <f t="shared" si="27"/>
        <v>0</v>
      </c>
    </row>
    <row r="1353" spans="2:16" hidden="1" x14ac:dyDescent="0.3">
      <c r="B1353" s="454">
        <v>84</v>
      </c>
      <c r="C1353" s="570"/>
      <c r="D1353" s="573"/>
      <c r="E1353" s="572"/>
      <c r="F1353" s="453"/>
      <c r="G1353" s="570"/>
      <c r="H1353" s="453"/>
      <c r="I1353" s="570"/>
      <c r="J1353" s="453"/>
      <c r="K1353" s="570"/>
      <c r="L1353" s="454"/>
      <c r="M1353" s="454"/>
      <c r="N1353" s="454"/>
      <c r="O1353" s="118">
        <v>0</v>
      </c>
      <c r="P1353" s="491">
        <f t="shared" si="27"/>
        <v>0</v>
      </c>
    </row>
    <row r="1354" spans="2:16" hidden="1" x14ac:dyDescent="0.3">
      <c r="B1354" s="454">
        <v>85</v>
      </c>
      <c r="C1354" s="570"/>
      <c r="D1354" s="573"/>
      <c r="E1354" s="572"/>
      <c r="F1354" s="453"/>
      <c r="G1354" s="570"/>
      <c r="H1354" s="453"/>
      <c r="I1354" s="570"/>
      <c r="J1354" s="453"/>
      <c r="K1354" s="570"/>
      <c r="L1354" s="454"/>
      <c r="M1354" s="454"/>
      <c r="N1354" s="454"/>
      <c r="O1354" s="118">
        <v>0</v>
      </c>
      <c r="P1354" s="491">
        <f t="shared" si="27"/>
        <v>0</v>
      </c>
    </row>
    <row r="1355" spans="2:16" hidden="1" x14ac:dyDescent="0.3">
      <c r="B1355" s="454">
        <v>86</v>
      </c>
      <c r="C1355" s="570"/>
      <c r="D1355" s="573"/>
      <c r="E1355" s="572"/>
      <c r="F1355" s="453"/>
      <c r="G1355" s="570"/>
      <c r="H1355" s="453"/>
      <c r="I1355" s="570"/>
      <c r="J1355" s="453"/>
      <c r="K1355" s="570"/>
      <c r="L1355" s="454"/>
      <c r="M1355" s="454"/>
      <c r="N1355" s="454"/>
      <c r="O1355" s="118">
        <v>0</v>
      </c>
      <c r="P1355" s="491">
        <f t="shared" si="27"/>
        <v>0</v>
      </c>
    </row>
    <row r="1356" spans="2:16" hidden="1" x14ac:dyDescent="0.3">
      <c r="B1356" s="454">
        <v>87</v>
      </c>
      <c r="C1356" s="570"/>
      <c r="D1356" s="573"/>
      <c r="E1356" s="572"/>
      <c r="F1356" s="453"/>
      <c r="G1356" s="570"/>
      <c r="H1356" s="453"/>
      <c r="I1356" s="570"/>
      <c r="J1356" s="453"/>
      <c r="K1356" s="570"/>
      <c r="L1356" s="454"/>
      <c r="M1356" s="454"/>
      <c r="N1356" s="454"/>
      <c r="O1356" s="118">
        <v>0</v>
      </c>
      <c r="P1356" s="491">
        <f t="shared" si="27"/>
        <v>0</v>
      </c>
    </row>
    <row r="1357" spans="2:16" hidden="1" x14ac:dyDescent="0.3">
      <c r="B1357" s="454">
        <v>88</v>
      </c>
      <c r="C1357" s="570"/>
      <c r="D1357" s="573"/>
      <c r="E1357" s="572"/>
      <c r="F1357" s="453"/>
      <c r="G1357" s="570"/>
      <c r="H1357" s="453"/>
      <c r="I1357" s="570"/>
      <c r="J1357" s="453"/>
      <c r="K1357" s="570"/>
      <c r="L1357" s="454"/>
      <c r="M1357" s="454"/>
      <c r="N1357" s="454"/>
      <c r="O1357" s="118">
        <v>0</v>
      </c>
      <c r="P1357" s="491">
        <f t="shared" si="27"/>
        <v>0</v>
      </c>
    </row>
    <row r="1358" spans="2:16" hidden="1" x14ac:dyDescent="0.3">
      <c r="B1358" s="454">
        <v>89</v>
      </c>
      <c r="C1358" s="570"/>
      <c r="D1358" s="573"/>
      <c r="E1358" s="572"/>
      <c r="F1358" s="453"/>
      <c r="G1358" s="570"/>
      <c r="H1358" s="453"/>
      <c r="I1358" s="570"/>
      <c r="J1358" s="453"/>
      <c r="K1358" s="570"/>
      <c r="L1358" s="454"/>
      <c r="M1358" s="454"/>
      <c r="N1358" s="454"/>
      <c r="O1358" s="118">
        <v>0</v>
      </c>
      <c r="P1358" s="491">
        <f t="shared" si="27"/>
        <v>0</v>
      </c>
    </row>
    <row r="1359" spans="2:16" hidden="1" x14ac:dyDescent="0.3">
      <c r="B1359" s="454">
        <v>90</v>
      </c>
      <c r="C1359" s="570"/>
      <c r="D1359" s="573"/>
      <c r="E1359" s="572"/>
      <c r="F1359" s="453"/>
      <c r="G1359" s="570"/>
      <c r="H1359" s="453"/>
      <c r="I1359" s="570"/>
      <c r="J1359" s="453"/>
      <c r="K1359" s="570"/>
      <c r="L1359" s="454"/>
      <c r="M1359" s="454"/>
      <c r="N1359" s="454"/>
      <c r="O1359" s="118">
        <v>0</v>
      </c>
      <c r="P1359" s="491">
        <f t="shared" si="27"/>
        <v>0</v>
      </c>
    </row>
    <row r="1360" spans="2:16" hidden="1" x14ac:dyDescent="0.3">
      <c r="B1360" s="454">
        <v>91</v>
      </c>
      <c r="C1360" s="570"/>
      <c r="D1360" s="573"/>
      <c r="E1360" s="572"/>
      <c r="F1360" s="453"/>
      <c r="G1360" s="570"/>
      <c r="H1360" s="453"/>
      <c r="I1360" s="570"/>
      <c r="J1360" s="453"/>
      <c r="K1360" s="570"/>
      <c r="L1360" s="454"/>
      <c r="M1360" s="454"/>
      <c r="N1360" s="454"/>
      <c r="O1360" s="118">
        <v>0</v>
      </c>
      <c r="P1360" s="491">
        <f t="shared" si="27"/>
        <v>0</v>
      </c>
    </row>
    <row r="1361" spans="2:18" hidden="1" x14ac:dyDescent="0.3">
      <c r="B1361" s="454">
        <v>92</v>
      </c>
      <c r="C1361" s="570"/>
      <c r="D1361" s="573"/>
      <c r="E1361" s="572"/>
      <c r="F1361" s="453"/>
      <c r="G1361" s="570"/>
      <c r="H1361" s="453"/>
      <c r="I1361" s="570"/>
      <c r="J1361" s="453"/>
      <c r="K1361" s="570"/>
      <c r="L1361" s="454"/>
      <c r="M1361" s="454"/>
      <c r="N1361" s="454"/>
      <c r="O1361" s="118">
        <v>0</v>
      </c>
      <c r="P1361" s="491">
        <f t="shared" si="27"/>
        <v>0</v>
      </c>
    </row>
    <row r="1362" spans="2:18" hidden="1" x14ac:dyDescent="0.3">
      <c r="B1362" s="454">
        <v>93</v>
      </c>
      <c r="C1362" s="570"/>
      <c r="D1362" s="573"/>
      <c r="E1362" s="572"/>
      <c r="F1362" s="453"/>
      <c r="G1362" s="570"/>
      <c r="H1362" s="453"/>
      <c r="I1362" s="570"/>
      <c r="J1362" s="453"/>
      <c r="K1362" s="570"/>
      <c r="L1362" s="454"/>
      <c r="M1362" s="454"/>
      <c r="N1362" s="454"/>
      <c r="O1362" s="118">
        <v>0</v>
      </c>
      <c r="P1362" s="491">
        <f t="shared" si="27"/>
        <v>0</v>
      </c>
    </row>
    <row r="1363" spans="2:18" hidden="1" x14ac:dyDescent="0.3">
      <c r="B1363" s="454">
        <v>94</v>
      </c>
      <c r="C1363" s="570"/>
      <c r="D1363" s="573"/>
      <c r="E1363" s="572"/>
      <c r="F1363" s="453"/>
      <c r="G1363" s="570"/>
      <c r="H1363" s="453"/>
      <c r="I1363" s="570"/>
      <c r="J1363" s="453"/>
      <c r="K1363" s="570"/>
      <c r="L1363" s="454"/>
      <c r="M1363" s="454"/>
      <c r="N1363" s="454"/>
      <c r="O1363" s="118">
        <v>0</v>
      </c>
      <c r="P1363" s="491">
        <f t="shared" si="27"/>
        <v>0</v>
      </c>
    </row>
    <row r="1364" spans="2:18" hidden="1" x14ac:dyDescent="0.3">
      <c r="B1364" s="454">
        <v>95</v>
      </c>
      <c r="C1364" s="567"/>
      <c r="D1364" s="567"/>
      <c r="E1364" s="509"/>
      <c r="F1364" s="509"/>
      <c r="G1364" s="570"/>
      <c r="H1364" s="567"/>
      <c r="I1364" s="570"/>
      <c r="J1364" s="509"/>
      <c r="K1364" s="570"/>
      <c r="L1364" s="567"/>
      <c r="M1364" s="567"/>
      <c r="N1364" s="567"/>
      <c r="O1364" s="118">
        <v>0</v>
      </c>
      <c r="P1364" s="491">
        <f t="shared" si="27"/>
        <v>0</v>
      </c>
    </row>
    <row r="1365" spans="2:18" hidden="1" x14ac:dyDescent="0.3">
      <c r="B1365" s="454">
        <v>96</v>
      </c>
      <c r="C1365" s="570"/>
      <c r="D1365" s="573"/>
      <c r="E1365" s="572"/>
      <c r="F1365" s="453"/>
      <c r="G1365" s="570"/>
      <c r="H1365" s="453"/>
      <c r="I1365" s="570"/>
      <c r="J1365" s="453"/>
      <c r="K1365" s="570"/>
      <c r="L1365" s="454"/>
      <c r="M1365" s="454"/>
      <c r="N1365" s="454"/>
      <c r="O1365" s="118">
        <v>0</v>
      </c>
      <c r="P1365" s="491">
        <f t="shared" si="27"/>
        <v>0</v>
      </c>
    </row>
    <row r="1366" spans="2:18" hidden="1" x14ac:dyDescent="0.3">
      <c r="B1366" s="454">
        <v>97</v>
      </c>
      <c r="C1366" s="570"/>
      <c r="D1366" s="573"/>
      <c r="E1366" s="572"/>
      <c r="F1366" s="453"/>
      <c r="G1366" s="570"/>
      <c r="H1366" s="453"/>
      <c r="I1366" s="570"/>
      <c r="J1366" s="453"/>
      <c r="K1366" s="570"/>
      <c r="L1366" s="454"/>
      <c r="M1366" s="454"/>
      <c r="N1366" s="454"/>
      <c r="O1366" s="118">
        <v>0</v>
      </c>
      <c r="P1366" s="491">
        <f t="shared" si="27"/>
        <v>0</v>
      </c>
    </row>
    <row r="1367" spans="2:18" hidden="1" x14ac:dyDescent="0.3">
      <c r="B1367" s="454">
        <v>98</v>
      </c>
      <c r="C1367" s="570"/>
      <c r="D1367" s="573"/>
      <c r="E1367" s="572"/>
      <c r="F1367" s="453"/>
      <c r="G1367" s="570"/>
      <c r="H1367" s="453"/>
      <c r="I1367" s="570"/>
      <c r="J1367" s="453"/>
      <c r="K1367" s="570"/>
      <c r="L1367" s="454"/>
      <c r="M1367" s="454"/>
      <c r="N1367" s="454"/>
      <c r="O1367" s="118">
        <v>0</v>
      </c>
      <c r="P1367" s="491">
        <f t="shared" si="27"/>
        <v>0</v>
      </c>
    </row>
    <row r="1368" spans="2:18" hidden="1" x14ac:dyDescent="0.3">
      <c r="B1368" s="454">
        <v>99</v>
      </c>
      <c r="C1368" s="570"/>
      <c r="D1368" s="573"/>
      <c r="E1368" s="572"/>
      <c r="F1368" s="453"/>
      <c r="G1368" s="570"/>
      <c r="H1368" s="453"/>
      <c r="I1368" s="570"/>
      <c r="J1368" s="453"/>
      <c r="K1368" s="570"/>
      <c r="L1368" s="454"/>
      <c r="M1368" s="454"/>
      <c r="N1368" s="454"/>
      <c r="O1368" s="118">
        <v>0</v>
      </c>
      <c r="P1368" s="491">
        <f t="shared" si="27"/>
        <v>0</v>
      </c>
    </row>
    <row r="1369" spans="2:18" hidden="1" x14ac:dyDescent="0.3">
      <c r="B1369" s="454">
        <v>100</v>
      </c>
      <c r="C1369" s="570"/>
      <c r="D1369" s="573"/>
      <c r="E1369" s="572"/>
      <c r="F1369" s="453"/>
      <c r="G1369" s="570"/>
      <c r="H1369" s="453"/>
      <c r="I1369" s="570"/>
      <c r="J1369" s="453"/>
      <c r="K1369" s="570"/>
      <c r="L1369" s="454"/>
      <c r="M1369" s="454"/>
      <c r="N1369" s="454"/>
      <c r="O1369" s="118">
        <v>0</v>
      </c>
      <c r="P1369" s="491">
        <f t="shared" si="27"/>
        <v>0</v>
      </c>
    </row>
    <row r="1370" spans="2:18" ht="33" hidden="1" x14ac:dyDescent="0.3">
      <c r="B1370" s="568"/>
      <c r="C1370" s="570"/>
      <c r="D1370" s="580" t="s">
        <v>566</v>
      </c>
      <c r="E1370" s="572"/>
      <c r="F1370" s="453"/>
      <c r="G1370" s="570"/>
      <c r="H1370" s="453"/>
      <c r="I1370" s="570"/>
      <c r="J1370" s="453"/>
      <c r="K1370" s="570"/>
      <c r="L1370" s="454"/>
      <c r="M1370" s="454"/>
      <c r="N1370" s="454"/>
      <c r="O1370" s="118">
        <v>0</v>
      </c>
      <c r="P1370" s="491">
        <f t="shared" si="27"/>
        <v>0</v>
      </c>
    </row>
    <row r="1372" spans="2:18" ht="35.450000000000003" customHeight="1" x14ac:dyDescent="0.3">
      <c r="B1372" s="809" t="s">
        <v>513</v>
      </c>
      <c r="C1372" s="810"/>
      <c r="D1372" s="810"/>
      <c r="E1372" s="810"/>
      <c r="F1372" s="810"/>
      <c r="G1372" s="810"/>
      <c r="H1372" s="810"/>
      <c r="I1372" s="810"/>
      <c r="J1372" s="810"/>
      <c r="K1372" s="810"/>
      <c r="L1372" s="810"/>
      <c r="M1372" s="810"/>
      <c r="N1372" s="811"/>
      <c r="O1372" s="339"/>
      <c r="P1372" s="128"/>
      <c r="Q1372" s="128"/>
      <c r="R1372" s="355">
        <f>SUM(R1375:R1414)</f>
        <v>1675000</v>
      </c>
    </row>
    <row r="1373" spans="2:18" ht="16.5" customHeight="1" x14ac:dyDescent="0.3">
      <c r="B1373" s="789" t="s">
        <v>35</v>
      </c>
      <c r="C1373" s="789" t="s">
        <v>42</v>
      </c>
      <c r="D1373" s="789" t="s">
        <v>44</v>
      </c>
      <c r="E1373" s="766" t="s">
        <v>100</v>
      </c>
      <c r="F1373" s="769" t="s">
        <v>559</v>
      </c>
      <c r="G1373" s="807" t="s">
        <v>509</v>
      </c>
      <c r="H1373" s="766" t="s">
        <v>506</v>
      </c>
      <c r="I1373" s="766"/>
      <c r="J1373" s="766" t="s">
        <v>510</v>
      </c>
      <c r="K1373" s="766" t="s">
        <v>45</v>
      </c>
      <c r="L1373" s="766"/>
      <c r="M1373" s="789" t="s">
        <v>511</v>
      </c>
      <c r="N1373" s="769" t="s">
        <v>512</v>
      </c>
      <c r="O1373" s="817" t="s">
        <v>49</v>
      </c>
      <c r="P1373" s="766" t="s">
        <v>424</v>
      </c>
      <c r="Q1373" s="793" t="s">
        <v>51</v>
      </c>
      <c r="R1373" s="337" t="s">
        <v>422</v>
      </c>
    </row>
    <row r="1374" spans="2:18" ht="54.75" customHeight="1" x14ac:dyDescent="0.3">
      <c r="B1374" s="789"/>
      <c r="C1374" s="789"/>
      <c r="D1374" s="789"/>
      <c r="E1374" s="766"/>
      <c r="F1374" s="770"/>
      <c r="G1374" s="808"/>
      <c r="H1374" s="32" t="s">
        <v>507</v>
      </c>
      <c r="I1374" s="32" t="s">
        <v>508</v>
      </c>
      <c r="J1374" s="766"/>
      <c r="K1374" s="132" t="s">
        <v>172</v>
      </c>
      <c r="L1374" s="132" t="s">
        <v>101</v>
      </c>
      <c r="M1374" s="789"/>
      <c r="N1374" s="770"/>
      <c r="O1374" s="818"/>
      <c r="P1374" s="766"/>
      <c r="Q1374" s="794"/>
      <c r="R1374" s="32"/>
    </row>
    <row r="1375" spans="2:18" ht="34.5" x14ac:dyDescent="0.3">
      <c r="B1375" s="16">
        <v>1</v>
      </c>
      <c r="C1375" s="467" t="s">
        <v>787</v>
      </c>
      <c r="D1375" s="71" t="s">
        <v>836</v>
      </c>
      <c r="E1375" s="572" t="s">
        <v>781</v>
      </c>
      <c r="F1375" s="68" t="s">
        <v>716</v>
      </c>
      <c r="G1375" s="17">
        <v>1</v>
      </c>
      <c r="H1375" s="654">
        <v>150</v>
      </c>
      <c r="I1375" s="93"/>
      <c r="J1375" s="539" t="s">
        <v>1479</v>
      </c>
      <c r="K1375" s="453">
        <v>8.2197220000000009</v>
      </c>
      <c r="L1375" s="453">
        <v>8.9052779999999991</v>
      </c>
      <c r="M1375" s="539" t="s">
        <v>1477</v>
      </c>
      <c r="N1375" s="664" t="s">
        <v>1478</v>
      </c>
      <c r="O1375" s="638">
        <v>1</v>
      </c>
      <c r="P1375" s="68" t="s">
        <v>728</v>
      </c>
      <c r="Q1375" s="344">
        <v>167500</v>
      </c>
      <c r="R1375" s="356">
        <f t="shared" ref="R1375:R1414" si="28">O1375*Q1375</f>
        <v>167500</v>
      </c>
    </row>
    <row r="1376" spans="2:18" ht="34.5" x14ac:dyDescent="0.3">
      <c r="B1376" s="16">
        <v>2</v>
      </c>
      <c r="C1376" s="467" t="s">
        <v>792</v>
      </c>
      <c r="D1376" s="76" t="s">
        <v>829</v>
      </c>
      <c r="E1376" s="570" t="s">
        <v>806</v>
      </c>
      <c r="F1376" s="68" t="s">
        <v>718</v>
      </c>
      <c r="G1376" s="17">
        <v>1</v>
      </c>
      <c r="H1376" s="654">
        <v>160</v>
      </c>
      <c r="I1376" s="131"/>
      <c r="J1376" s="665" t="s">
        <v>1479</v>
      </c>
      <c r="K1376" s="430">
        <v>6.7572219999999996</v>
      </c>
      <c r="L1376" s="429">
        <v>9.0336110000000005</v>
      </c>
      <c r="M1376" s="663" t="s">
        <v>1477</v>
      </c>
      <c r="N1376" s="651" t="s">
        <v>1478</v>
      </c>
      <c r="O1376" s="343">
        <v>1</v>
      </c>
      <c r="P1376" s="68" t="s">
        <v>728</v>
      </c>
      <c r="Q1376" s="344">
        <v>167500</v>
      </c>
      <c r="R1376" s="356">
        <f t="shared" si="28"/>
        <v>167500</v>
      </c>
    </row>
    <row r="1377" spans="2:18" ht="34.5" x14ac:dyDescent="0.3">
      <c r="B1377" s="16">
        <v>3</v>
      </c>
      <c r="C1377" s="467" t="s">
        <v>795</v>
      </c>
      <c r="D1377" s="76" t="s">
        <v>840</v>
      </c>
      <c r="E1377" s="572" t="s">
        <v>825</v>
      </c>
      <c r="F1377" s="68" t="s">
        <v>716</v>
      </c>
      <c r="G1377" s="17">
        <v>1</v>
      </c>
      <c r="H1377" s="654">
        <v>150</v>
      </c>
      <c r="I1377" s="74"/>
      <c r="J1377" s="665" t="s">
        <v>1479</v>
      </c>
      <c r="K1377" s="439">
        <v>7.2138400000000003</v>
      </c>
      <c r="L1377" s="439">
        <v>9.0230999999999995</v>
      </c>
      <c r="M1377" s="663" t="s">
        <v>1477</v>
      </c>
      <c r="N1377" s="651" t="s">
        <v>1478</v>
      </c>
      <c r="O1377" s="343">
        <v>1</v>
      </c>
      <c r="P1377" s="68" t="s">
        <v>728</v>
      </c>
      <c r="Q1377" s="344">
        <v>167500</v>
      </c>
      <c r="R1377" s="356">
        <f t="shared" si="28"/>
        <v>167500</v>
      </c>
    </row>
    <row r="1378" spans="2:18" ht="34.5" x14ac:dyDescent="0.3">
      <c r="B1378" s="16">
        <v>4</v>
      </c>
      <c r="C1378" s="467" t="s">
        <v>798</v>
      </c>
      <c r="D1378" s="125" t="s">
        <v>841</v>
      </c>
      <c r="E1378" s="572" t="s">
        <v>781</v>
      </c>
      <c r="F1378" s="68" t="s">
        <v>718</v>
      </c>
      <c r="G1378" s="17">
        <v>1</v>
      </c>
      <c r="H1378" s="654">
        <v>150</v>
      </c>
      <c r="I1378" s="74"/>
      <c r="J1378" s="666" t="s">
        <v>1479</v>
      </c>
      <c r="K1378" s="668">
        <v>8.2091670000000008</v>
      </c>
      <c r="L1378" s="509">
        <v>8.9438890000000004</v>
      </c>
      <c r="M1378" s="662" t="s">
        <v>1477</v>
      </c>
      <c r="N1378" s="651" t="s">
        <v>1478</v>
      </c>
      <c r="O1378" s="343">
        <v>1</v>
      </c>
      <c r="P1378" s="68" t="s">
        <v>728</v>
      </c>
      <c r="Q1378" s="344">
        <v>167500</v>
      </c>
      <c r="R1378" s="356">
        <f t="shared" si="28"/>
        <v>167500</v>
      </c>
    </row>
    <row r="1379" spans="2:18" ht="34.5" x14ac:dyDescent="0.3">
      <c r="B1379" s="16">
        <v>5</v>
      </c>
      <c r="C1379" s="467" t="s">
        <v>799</v>
      </c>
      <c r="D1379" s="71" t="s">
        <v>842</v>
      </c>
      <c r="E1379" s="654" t="s">
        <v>806</v>
      </c>
      <c r="F1379" s="68" t="s">
        <v>716</v>
      </c>
      <c r="G1379" s="17">
        <v>1</v>
      </c>
      <c r="H1379" s="654">
        <v>160</v>
      </c>
      <c r="I1379" s="74"/>
      <c r="J1379" s="665" t="s">
        <v>1479</v>
      </c>
      <c r="K1379" s="439">
        <v>6.7865310000000001</v>
      </c>
      <c r="L1379" s="439">
        <v>9.0632210000000004</v>
      </c>
      <c r="M1379" s="663" t="s">
        <v>1477</v>
      </c>
      <c r="N1379" s="651" t="s">
        <v>1478</v>
      </c>
      <c r="O1379" s="343">
        <v>1</v>
      </c>
      <c r="P1379" s="68" t="s">
        <v>728</v>
      </c>
      <c r="Q1379" s="344">
        <v>167500</v>
      </c>
      <c r="R1379" s="356">
        <f t="shared" si="28"/>
        <v>167500</v>
      </c>
    </row>
    <row r="1380" spans="2:18" ht="34.5" x14ac:dyDescent="0.3">
      <c r="B1380" s="16">
        <v>6</v>
      </c>
      <c r="C1380" s="467" t="s">
        <v>802</v>
      </c>
      <c r="D1380" s="647" t="s">
        <v>831</v>
      </c>
      <c r="E1380" s="654" t="s">
        <v>832</v>
      </c>
      <c r="F1380" s="68" t="s">
        <v>718</v>
      </c>
      <c r="G1380" s="17">
        <v>1</v>
      </c>
      <c r="H1380" s="654">
        <v>160</v>
      </c>
      <c r="I1380" s="74"/>
      <c r="J1380" s="666" t="s">
        <v>1479</v>
      </c>
      <c r="K1380" s="667">
        <v>7.3119440000000004</v>
      </c>
      <c r="L1380" s="501">
        <v>8.7675000000000001</v>
      </c>
      <c r="M1380" s="662" t="s">
        <v>1477</v>
      </c>
      <c r="N1380" s="651" t="s">
        <v>1478</v>
      </c>
      <c r="O1380" s="343">
        <v>1</v>
      </c>
      <c r="P1380" s="68" t="s">
        <v>728</v>
      </c>
      <c r="Q1380" s="344">
        <v>167500</v>
      </c>
      <c r="R1380" s="356">
        <f t="shared" si="28"/>
        <v>167500</v>
      </c>
    </row>
    <row r="1381" spans="2:18" ht="34.5" x14ac:dyDescent="0.3">
      <c r="B1381" s="16">
        <v>7</v>
      </c>
      <c r="C1381" s="467" t="s">
        <v>1188</v>
      </c>
      <c r="D1381" s="76" t="s">
        <v>843</v>
      </c>
      <c r="E1381" s="654" t="s">
        <v>844</v>
      </c>
      <c r="F1381" s="68" t="s">
        <v>717</v>
      </c>
      <c r="G1381" s="17">
        <v>1</v>
      </c>
      <c r="H1381" s="654">
        <v>160</v>
      </c>
      <c r="I1381" s="74"/>
      <c r="J1381" s="665" t="s">
        <v>1479</v>
      </c>
      <c r="K1381" s="439">
        <v>7.3331</v>
      </c>
      <c r="L1381" s="439">
        <v>8.5737299999999994</v>
      </c>
      <c r="M1381" s="663" t="s">
        <v>1477</v>
      </c>
      <c r="N1381" s="651" t="s">
        <v>1478</v>
      </c>
      <c r="O1381" s="343">
        <v>1</v>
      </c>
      <c r="P1381" s="68" t="s">
        <v>728</v>
      </c>
      <c r="Q1381" s="344">
        <v>167500</v>
      </c>
      <c r="R1381" s="356">
        <f t="shared" si="28"/>
        <v>167500</v>
      </c>
    </row>
    <row r="1382" spans="2:18" ht="34.5" x14ac:dyDescent="0.3">
      <c r="B1382" s="16">
        <v>8</v>
      </c>
      <c r="C1382" s="467" t="s">
        <v>1189</v>
      </c>
      <c r="D1382" s="76" t="s">
        <v>845</v>
      </c>
      <c r="E1382" s="654" t="s">
        <v>846</v>
      </c>
      <c r="F1382" s="68" t="s">
        <v>716</v>
      </c>
      <c r="G1382" s="17">
        <v>1</v>
      </c>
      <c r="H1382" s="654">
        <v>160</v>
      </c>
      <c r="I1382" s="74"/>
      <c r="J1382" s="665" t="s">
        <v>1479</v>
      </c>
      <c r="K1382" s="431">
        <v>7.4987500000000002</v>
      </c>
      <c r="L1382" s="431">
        <v>9.6113769999999992</v>
      </c>
      <c r="M1382" s="663" t="s">
        <v>1477</v>
      </c>
      <c r="N1382" s="651" t="s">
        <v>1478</v>
      </c>
      <c r="O1382" s="343">
        <v>1</v>
      </c>
      <c r="P1382" s="68" t="s">
        <v>728</v>
      </c>
      <c r="Q1382" s="344">
        <v>167500</v>
      </c>
      <c r="R1382" s="356">
        <f t="shared" si="28"/>
        <v>167500</v>
      </c>
    </row>
    <row r="1383" spans="2:18" ht="34.5" x14ac:dyDescent="0.3">
      <c r="B1383" s="16">
        <v>9</v>
      </c>
      <c r="C1383" s="467" t="s">
        <v>1248</v>
      </c>
      <c r="D1383" s="647" t="s">
        <v>784</v>
      </c>
      <c r="E1383" s="654" t="s">
        <v>785</v>
      </c>
      <c r="F1383" s="68" t="s">
        <v>717</v>
      </c>
      <c r="G1383" s="17">
        <v>1</v>
      </c>
      <c r="H1383" s="654">
        <v>150</v>
      </c>
      <c r="I1383" s="74"/>
      <c r="J1383" s="665" t="s">
        <v>1479</v>
      </c>
      <c r="K1383" s="431">
        <v>7.5011729999999996</v>
      </c>
      <c r="L1383" s="431">
        <v>8.4424430000000008</v>
      </c>
      <c r="M1383" s="663" t="s">
        <v>1477</v>
      </c>
      <c r="N1383" s="651" t="s">
        <v>1478</v>
      </c>
      <c r="O1383" s="343">
        <v>1</v>
      </c>
      <c r="P1383" s="68" t="s">
        <v>728</v>
      </c>
      <c r="Q1383" s="344">
        <v>167500</v>
      </c>
      <c r="R1383" s="356">
        <f t="shared" si="28"/>
        <v>167500</v>
      </c>
    </row>
    <row r="1384" spans="2:18" ht="49.5" customHeight="1" x14ac:dyDescent="0.3">
      <c r="B1384" s="16">
        <v>10</v>
      </c>
      <c r="C1384" s="467" t="s">
        <v>1249</v>
      </c>
      <c r="D1384" s="76" t="s">
        <v>855</v>
      </c>
      <c r="E1384" s="654" t="s">
        <v>781</v>
      </c>
      <c r="F1384" s="68" t="s">
        <v>718</v>
      </c>
      <c r="G1384" s="17">
        <v>1</v>
      </c>
      <c r="H1384" s="654">
        <v>150</v>
      </c>
      <c r="I1384" s="74"/>
      <c r="J1384" s="662" t="s">
        <v>1479</v>
      </c>
      <c r="K1384" s="501">
        <v>7.0188800000000002</v>
      </c>
      <c r="L1384" s="501">
        <v>8.2477199999999993</v>
      </c>
      <c r="M1384" s="662" t="s">
        <v>1477</v>
      </c>
      <c r="N1384" s="661" t="s">
        <v>1478</v>
      </c>
      <c r="O1384" s="343">
        <v>1</v>
      </c>
      <c r="P1384" s="68" t="s">
        <v>728</v>
      </c>
      <c r="Q1384" s="344">
        <v>167500</v>
      </c>
      <c r="R1384" s="356">
        <f t="shared" si="28"/>
        <v>167500</v>
      </c>
    </row>
    <row r="1385" spans="2:18" ht="17.25" hidden="1" x14ac:dyDescent="0.3">
      <c r="B1385" s="16">
        <v>11</v>
      </c>
      <c r="C1385" s="16"/>
      <c r="D1385" s="16"/>
      <c r="E1385" s="74"/>
      <c r="F1385" s="68"/>
      <c r="G1385" s="17"/>
      <c r="H1385" s="93"/>
      <c r="I1385" s="74"/>
      <c r="J1385" s="74"/>
      <c r="K1385" s="16"/>
      <c r="L1385" s="16"/>
      <c r="M1385" s="16"/>
      <c r="N1385" s="16"/>
      <c r="O1385" s="343"/>
      <c r="P1385" s="68"/>
      <c r="Q1385" s="344">
        <v>0</v>
      </c>
      <c r="R1385" s="356">
        <f t="shared" si="28"/>
        <v>0</v>
      </c>
    </row>
    <row r="1386" spans="2:18" ht="17.25" hidden="1" x14ac:dyDescent="0.3">
      <c r="B1386" s="16">
        <v>12</v>
      </c>
      <c r="C1386" s="16"/>
      <c r="D1386" s="16"/>
      <c r="E1386" s="74"/>
      <c r="F1386" s="68"/>
      <c r="G1386" s="17"/>
      <c r="H1386" s="93"/>
      <c r="I1386" s="74"/>
      <c r="J1386" s="74"/>
      <c r="K1386" s="16"/>
      <c r="L1386" s="16"/>
      <c r="M1386" s="16"/>
      <c r="N1386" s="16"/>
      <c r="O1386" s="343"/>
      <c r="P1386" s="68"/>
      <c r="Q1386" s="344">
        <v>0</v>
      </c>
      <c r="R1386" s="356">
        <f t="shared" si="28"/>
        <v>0</v>
      </c>
    </row>
    <row r="1387" spans="2:18" ht="17.25" hidden="1" x14ac:dyDescent="0.3">
      <c r="B1387" s="16">
        <v>13</v>
      </c>
      <c r="C1387" s="16"/>
      <c r="D1387" s="16"/>
      <c r="E1387" s="74"/>
      <c r="F1387" s="68"/>
      <c r="G1387" s="17"/>
      <c r="H1387" s="93"/>
      <c r="I1387" s="74"/>
      <c r="J1387" s="74"/>
      <c r="K1387" s="16"/>
      <c r="L1387" s="16"/>
      <c r="M1387" s="16"/>
      <c r="N1387" s="16"/>
      <c r="O1387" s="343"/>
      <c r="P1387" s="68"/>
      <c r="Q1387" s="344">
        <v>0</v>
      </c>
      <c r="R1387" s="356">
        <f t="shared" si="28"/>
        <v>0</v>
      </c>
    </row>
    <row r="1388" spans="2:18" ht="17.25" hidden="1" x14ac:dyDescent="0.3">
      <c r="B1388" s="16">
        <v>14</v>
      </c>
      <c r="C1388" s="16"/>
      <c r="D1388" s="16"/>
      <c r="E1388" s="74"/>
      <c r="F1388" s="68"/>
      <c r="G1388" s="17"/>
      <c r="H1388" s="93"/>
      <c r="I1388" s="74"/>
      <c r="J1388" s="74"/>
      <c r="K1388" s="16"/>
      <c r="L1388" s="16"/>
      <c r="M1388" s="16"/>
      <c r="N1388" s="16"/>
      <c r="O1388" s="343"/>
      <c r="P1388" s="68"/>
      <c r="Q1388" s="344">
        <v>0</v>
      </c>
      <c r="R1388" s="356">
        <f t="shared" si="28"/>
        <v>0</v>
      </c>
    </row>
    <row r="1389" spans="2:18" ht="17.25" hidden="1" x14ac:dyDescent="0.3">
      <c r="B1389" s="16">
        <v>15</v>
      </c>
      <c r="C1389" s="16"/>
      <c r="D1389" s="16"/>
      <c r="E1389" s="74"/>
      <c r="F1389" s="68"/>
      <c r="G1389" s="17"/>
      <c r="H1389" s="93"/>
      <c r="I1389" s="74"/>
      <c r="J1389" s="74"/>
      <c r="K1389" s="16"/>
      <c r="L1389" s="16"/>
      <c r="M1389" s="16"/>
      <c r="N1389" s="16"/>
      <c r="O1389" s="343"/>
      <c r="P1389" s="68"/>
      <c r="Q1389" s="344">
        <v>0</v>
      </c>
      <c r="R1389" s="356">
        <f t="shared" si="28"/>
        <v>0</v>
      </c>
    </row>
    <row r="1390" spans="2:18" ht="17.25" hidden="1" x14ac:dyDescent="0.3">
      <c r="B1390" s="16">
        <v>16</v>
      </c>
      <c r="C1390" s="16"/>
      <c r="D1390" s="16"/>
      <c r="E1390" s="74"/>
      <c r="F1390" s="68"/>
      <c r="G1390" s="17"/>
      <c r="H1390" s="93"/>
      <c r="I1390" s="74"/>
      <c r="J1390" s="74"/>
      <c r="K1390" s="16"/>
      <c r="L1390" s="16"/>
      <c r="M1390" s="16"/>
      <c r="N1390" s="16"/>
      <c r="O1390" s="343"/>
      <c r="P1390" s="68"/>
      <c r="Q1390" s="344">
        <v>0</v>
      </c>
      <c r="R1390" s="356">
        <f t="shared" si="28"/>
        <v>0</v>
      </c>
    </row>
    <row r="1391" spans="2:18" ht="17.25" hidden="1" x14ac:dyDescent="0.3">
      <c r="B1391" s="16">
        <v>17</v>
      </c>
      <c r="C1391" s="16"/>
      <c r="D1391" s="16"/>
      <c r="E1391" s="74"/>
      <c r="F1391" s="68"/>
      <c r="G1391" s="17"/>
      <c r="H1391" s="93"/>
      <c r="I1391" s="74"/>
      <c r="J1391" s="74"/>
      <c r="K1391" s="16"/>
      <c r="L1391" s="16"/>
      <c r="M1391" s="16"/>
      <c r="N1391" s="16"/>
      <c r="O1391" s="343"/>
      <c r="P1391" s="68"/>
      <c r="Q1391" s="344">
        <v>0</v>
      </c>
      <c r="R1391" s="356">
        <f t="shared" si="28"/>
        <v>0</v>
      </c>
    </row>
    <row r="1392" spans="2:18" ht="17.25" hidden="1" x14ac:dyDescent="0.3">
      <c r="B1392" s="16">
        <v>18</v>
      </c>
      <c r="C1392" s="16"/>
      <c r="D1392" s="16"/>
      <c r="E1392" s="74"/>
      <c r="F1392" s="68"/>
      <c r="G1392" s="17"/>
      <c r="H1392" s="93"/>
      <c r="I1392" s="74"/>
      <c r="J1392" s="74"/>
      <c r="K1392" s="16"/>
      <c r="L1392" s="16"/>
      <c r="M1392" s="16"/>
      <c r="N1392" s="16"/>
      <c r="O1392" s="343"/>
      <c r="P1392" s="68"/>
      <c r="Q1392" s="344">
        <v>0</v>
      </c>
      <c r="R1392" s="356">
        <f t="shared" si="28"/>
        <v>0</v>
      </c>
    </row>
    <row r="1393" spans="2:18" ht="17.25" hidden="1" x14ac:dyDescent="0.3">
      <c r="B1393" s="16">
        <v>19</v>
      </c>
      <c r="C1393" s="17"/>
      <c r="D1393" s="17"/>
      <c r="E1393" s="100"/>
      <c r="F1393" s="68"/>
      <c r="G1393" s="17"/>
      <c r="H1393" s="93"/>
      <c r="I1393" s="100"/>
      <c r="J1393" s="100"/>
      <c r="K1393" s="17"/>
      <c r="L1393" s="17"/>
      <c r="M1393" s="17"/>
      <c r="N1393" s="17"/>
      <c r="O1393" s="343"/>
      <c r="P1393" s="68"/>
      <c r="Q1393" s="344">
        <v>0</v>
      </c>
      <c r="R1393" s="356">
        <f t="shared" si="28"/>
        <v>0</v>
      </c>
    </row>
    <row r="1394" spans="2:18" ht="17.25" hidden="1" x14ac:dyDescent="0.3">
      <c r="B1394" s="16">
        <v>20</v>
      </c>
      <c r="C1394" s="17"/>
      <c r="D1394" s="17"/>
      <c r="E1394" s="100"/>
      <c r="F1394" s="68"/>
      <c r="G1394" s="17"/>
      <c r="H1394" s="93"/>
      <c r="I1394" s="100"/>
      <c r="J1394" s="100"/>
      <c r="K1394" s="17"/>
      <c r="L1394" s="17"/>
      <c r="M1394" s="17"/>
      <c r="N1394" s="17"/>
      <c r="O1394" s="343"/>
      <c r="P1394" s="68"/>
      <c r="Q1394" s="344">
        <v>0</v>
      </c>
      <c r="R1394" s="356">
        <f t="shared" si="28"/>
        <v>0</v>
      </c>
    </row>
    <row r="1395" spans="2:18" ht="17.25" hidden="1" x14ac:dyDescent="0.3">
      <c r="B1395" s="16">
        <v>21</v>
      </c>
      <c r="C1395" s="17"/>
      <c r="D1395" s="17"/>
      <c r="E1395" s="100"/>
      <c r="F1395" s="100"/>
      <c r="G1395" s="17"/>
      <c r="H1395" s="93"/>
      <c r="I1395" s="100"/>
      <c r="J1395" s="100"/>
      <c r="K1395" s="17"/>
      <c r="L1395" s="17"/>
      <c r="M1395" s="17"/>
      <c r="N1395" s="17"/>
      <c r="O1395" s="343"/>
      <c r="P1395" s="68"/>
      <c r="Q1395" s="344">
        <v>0</v>
      </c>
      <c r="R1395" s="356">
        <f t="shared" si="28"/>
        <v>0</v>
      </c>
    </row>
    <row r="1396" spans="2:18" ht="17.25" hidden="1" x14ac:dyDescent="0.3">
      <c r="B1396" s="16">
        <v>22</v>
      </c>
      <c r="C1396" s="17"/>
      <c r="D1396" s="17"/>
      <c r="E1396" s="100"/>
      <c r="F1396" s="100"/>
      <c r="G1396" s="17"/>
      <c r="H1396" s="93"/>
      <c r="I1396" s="100"/>
      <c r="J1396" s="100"/>
      <c r="K1396" s="17"/>
      <c r="L1396" s="17"/>
      <c r="M1396" s="17"/>
      <c r="N1396" s="17"/>
      <c r="O1396" s="343"/>
      <c r="P1396" s="68"/>
      <c r="Q1396" s="344">
        <v>0</v>
      </c>
      <c r="R1396" s="356">
        <f t="shared" si="28"/>
        <v>0</v>
      </c>
    </row>
    <row r="1397" spans="2:18" ht="17.25" hidden="1" x14ac:dyDescent="0.3">
      <c r="B1397" s="16">
        <v>23</v>
      </c>
      <c r="C1397" s="17"/>
      <c r="D1397" s="17"/>
      <c r="E1397" s="100"/>
      <c r="F1397" s="100"/>
      <c r="G1397" s="17"/>
      <c r="H1397" s="93"/>
      <c r="I1397" s="100"/>
      <c r="J1397" s="100"/>
      <c r="K1397" s="17"/>
      <c r="L1397" s="17"/>
      <c r="M1397" s="17"/>
      <c r="N1397" s="17"/>
      <c r="O1397" s="343"/>
      <c r="P1397" s="68"/>
      <c r="Q1397" s="344">
        <v>0</v>
      </c>
      <c r="R1397" s="356">
        <f t="shared" si="28"/>
        <v>0</v>
      </c>
    </row>
    <row r="1398" spans="2:18" ht="17.25" hidden="1" x14ac:dyDescent="0.3">
      <c r="B1398" s="16">
        <v>24</v>
      </c>
      <c r="C1398" s="17"/>
      <c r="D1398" s="17"/>
      <c r="E1398" s="100"/>
      <c r="F1398" s="100"/>
      <c r="G1398" s="17"/>
      <c r="H1398" s="93"/>
      <c r="I1398" s="100"/>
      <c r="J1398" s="100"/>
      <c r="K1398" s="17"/>
      <c r="L1398" s="17"/>
      <c r="M1398" s="17"/>
      <c r="N1398" s="17"/>
      <c r="O1398" s="343"/>
      <c r="P1398" s="68"/>
      <c r="Q1398" s="344">
        <v>0</v>
      </c>
      <c r="R1398" s="356">
        <f t="shared" si="28"/>
        <v>0</v>
      </c>
    </row>
    <row r="1399" spans="2:18" ht="17.25" hidden="1" x14ac:dyDescent="0.3">
      <c r="B1399" s="16">
        <v>25</v>
      </c>
      <c r="C1399" s="17"/>
      <c r="D1399" s="17"/>
      <c r="E1399" s="100"/>
      <c r="F1399" s="100"/>
      <c r="G1399" s="17"/>
      <c r="H1399" s="93"/>
      <c r="I1399" s="100"/>
      <c r="J1399" s="100"/>
      <c r="K1399" s="17"/>
      <c r="L1399" s="17"/>
      <c r="M1399" s="17"/>
      <c r="N1399" s="17"/>
      <c r="O1399" s="343"/>
      <c r="P1399" s="68"/>
      <c r="Q1399" s="344">
        <v>0</v>
      </c>
      <c r="R1399" s="356">
        <f t="shared" si="28"/>
        <v>0</v>
      </c>
    </row>
    <row r="1400" spans="2:18" ht="17.25" hidden="1" x14ac:dyDescent="0.3">
      <c r="B1400" s="16">
        <v>26</v>
      </c>
      <c r="C1400" s="17"/>
      <c r="D1400" s="17"/>
      <c r="E1400" s="100"/>
      <c r="F1400" s="100"/>
      <c r="G1400" s="17"/>
      <c r="H1400" s="93"/>
      <c r="I1400" s="100"/>
      <c r="J1400" s="100"/>
      <c r="K1400" s="17"/>
      <c r="L1400" s="17"/>
      <c r="M1400" s="17"/>
      <c r="N1400" s="17"/>
      <c r="O1400" s="343"/>
      <c r="P1400" s="68"/>
      <c r="Q1400" s="344">
        <v>0</v>
      </c>
      <c r="R1400" s="356">
        <f t="shared" si="28"/>
        <v>0</v>
      </c>
    </row>
    <row r="1401" spans="2:18" ht="17.25" hidden="1" x14ac:dyDescent="0.3">
      <c r="B1401" s="16">
        <v>27</v>
      </c>
      <c r="C1401" s="17"/>
      <c r="D1401" s="17"/>
      <c r="E1401" s="100"/>
      <c r="F1401" s="100"/>
      <c r="G1401" s="17"/>
      <c r="H1401" s="93"/>
      <c r="I1401" s="100"/>
      <c r="J1401" s="100"/>
      <c r="K1401" s="17"/>
      <c r="L1401" s="17"/>
      <c r="M1401" s="17"/>
      <c r="N1401" s="17"/>
      <c r="O1401" s="343"/>
      <c r="P1401" s="68"/>
      <c r="Q1401" s="344">
        <v>0</v>
      </c>
      <c r="R1401" s="356">
        <f t="shared" si="28"/>
        <v>0</v>
      </c>
    </row>
    <row r="1402" spans="2:18" ht="17.25" hidden="1" x14ac:dyDescent="0.3">
      <c r="B1402" s="16">
        <v>28</v>
      </c>
      <c r="C1402" s="17"/>
      <c r="D1402" s="17"/>
      <c r="E1402" s="100"/>
      <c r="F1402" s="100"/>
      <c r="G1402" s="17"/>
      <c r="H1402" s="93"/>
      <c r="I1402" s="100"/>
      <c r="J1402" s="100"/>
      <c r="K1402" s="17"/>
      <c r="L1402" s="17"/>
      <c r="M1402" s="17"/>
      <c r="N1402" s="17"/>
      <c r="O1402" s="343"/>
      <c r="P1402" s="68"/>
      <c r="Q1402" s="344">
        <v>0</v>
      </c>
      <c r="R1402" s="356">
        <f t="shared" si="28"/>
        <v>0</v>
      </c>
    </row>
    <row r="1403" spans="2:18" ht="17.25" hidden="1" x14ac:dyDescent="0.3">
      <c r="B1403" s="16">
        <v>29</v>
      </c>
      <c r="C1403" s="17"/>
      <c r="D1403" s="17"/>
      <c r="E1403" s="100"/>
      <c r="F1403" s="100"/>
      <c r="G1403" s="17"/>
      <c r="H1403" s="93"/>
      <c r="I1403" s="100"/>
      <c r="J1403" s="100"/>
      <c r="K1403" s="17"/>
      <c r="L1403" s="17"/>
      <c r="M1403" s="17"/>
      <c r="N1403" s="17"/>
      <c r="O1403" s="343"/>
      <c r="P1403" s="68"/>
      <c r="Q1403" s="344">
        <v>0</v>
      </c>
      <c r="R1403" s="356">
        <f t="shared" si="28"/>
        <v>0</v>
      </c>
    </row>
    <row r="1404" spans="2:18" ht="17.25" hidden="1" x14ac:dyDescent="0.3">
      <c r="B1404" s="16">
        <v>30</v>
      </c>
      <c r="C1404" s="17"/>
      <c r="D1404" s="17"/>
      <c r="E1404" s="100"/>
      <c r="F1404" s="100"/>
      <c r="G1404" s="17"/>
      <c r="H1404" s="93"/>
      <c r="I1404" s="100"/>
      <c r="J1404" s="100"/>
      <c r="K1404" s="17"/>
      <c r="L1404" s="17"/>
      <c r="M1404" s="17"/>
      <c r="N1404" s="17"/>
      <c r="O1404" s="343"/>
      <c r="P1404" s="68"/>
      <c r="Q1404" s="344">
        <v>0</v>
      </c>
      <c r="R1404" s="356">
        <f t="shared" si="28"/>
        <v>0</v>
      </c>
    </row>
    <row r="1405" spans="2:18" ht="17.25" hidden="1" x14ac:dyDescent="0.3">
      <c r="B1405" s="16">
        <v>31</v>
      </c>
      <c r="C1405" s="17"/>
      <c r="D1405" s="17"/>
      <c r="E1405" s="100"/>
      <c r="F1405" s="100"/>
      <c r="G1405" s="17"/>
      <c r="H1405" s="93"/>
      <c r="I1405" s="100"/>
      <c r="J1405" s="100"/>
      <c r="K1405" s="17"/>
      <c r="L1405" s="17"/>
      <c r="M1405" s="17"/>
      <c r="N1405" s="17"/>
      <c r="O1405" s="343"/>
      <c r="P1405" s="68"/>
      <c r="Q1405" s="344">
        <v>0</v>
      </c>
      <c r="R1405" s="356">
        <f t="shared" si="28"/>
        <v>0</v>
      </c>
    </row>
    <row r="1406" spans="2:18" ht="17.25" hidden="1" x14ac:dyDescent="0.3">
      <c r="B1406" s="16">
        <v>32</v>
      </c>
      <c r="C1406" s="17"/>
      <c r="D1406" s="17"/>
      <c r="E1406" s="100"/>
      <c r="F1406" s="100"/>
      <c r="G1406" s="17"/>
      <c r="H1406" s="93"/>
      <c r="I1406" s="100"/>
      <c r="J1406" s="100"/>
      <c r="K1406" s="17"/>
      <c r="L1406" s="17"/>
      <c r="M1406" s="17"/>
      <c r="N1406" s="17"/>
      <c r="O1406" s="343"/>
      <c r="P1406" s="68"/>
      <c r="Q1406" s="344">
        <v>0</v>
      </c>
      <c r="R1406" s="356">
        <f t="shared" si="28"/>
        <v>0</v>
      </c>
    </row>
    <row r="1407" spans="2:18" ht="17.25" hidden="1" x14ac:dyDescent="0.3">
      <c r="B1407" s="16">
        <v>33</v>
      </c>
      <c r="C1407" s="17"/>
      <c r="D1407" s="17"/>
      <c r="E1407" s="100"/>
      <c r="F1407" s="100"/>
      <c r="G1407" s="17"/>
      <c r="H1407" s="93"/>
      <c r="I1407" s="100"/>
      <c r="J1407" s="100"/>
      <c r="K1407" s="17"/>
      <c r="L1407" s="17"/>
      <c r="M1407" s="17"/>
      <c r="N1407" s="17"/>
      <c r="O1407" s="343"/>
      <c r="P1407" s="68"/>
      <c r="Q1407" s="344">
        <v>0</v>
      </c>
      <c r="R1407" s="356">
        <f t="shared" si="28"/>
        <v>0</v>
      </c>
    </row>
    <row r="1408" spans="2:18" ht="17.25" hidden="1" x14ac:dyDescent="0.3">
      <c r="B1408" s="16">
        <v>34</v>
      </c>
      <c r="C1408" s="17"/>
      <c r="D1408" s="17"/>
      <c r="E1408" s="100"/>
      <c r="F1408" s="100"/>
      <c r="G1408" s="17"/>
      <c r="H1408" s="93"/>
      <c r="I1408" s="100"/>
      <c r="J1408" s="100"/>
      <c r="K1408" s="17"/>
      <c r="L1408" s="17"/>
      <c r="M1408" s="17"/>
      <c r="N1408" s="17"/>
      <c r="O1408" s="343"/>
      <c r="P1408" s="68"/>
      <c r="Q1408" s="344">
        <v>0</v>
      </c>
      <c r="R1408" s="356">
        <f t="shared" si="28"/>
        <v>0</v>
      </c>
    </row>
    <row r="1409" spans="2:18" ht="17.25" hidden="1" x14ac:dyDescent="0.3">
      <c r="B1409" s="16">
        <v>35</v>
      </c>
      <c r="C1409" s="17"/>
      <c r="D1409" s="17"/>
      <c r="E1409" s="100"/>
      <c r="F1409" s="100"/>
      <c r="G1409" s="17"/>
      <c r="H1409" s="93"/>
      <c r="I1409" s="100"/>
      <c r="J1409" s="100"/>
      <c r="K1409" s="17"/>
      <c r="L1409" s="17"/>
      <c r="M1409" s="17"/>
      <c r="N1409" s="17"/>
      <c r="O1409" s="343"/>
      <c r="P1409" s="68"/>
      <c r="Q1409" s="344">
        <v>0</v>
      </c>
      <c r="R1409" s="356">
        <f t="shared" si="28"/>
        <v>0</v>
      </c>
    </row>
    <row r="1410" spans="2:18" ht="17.25" hidden="1" x14ac:dyDescent="0.3">
      <c r="B1410" s="16">
        <v>36</v>
      </c>
      <c r="C1410" s="17"/>
      <c r="D1410" s="17"/>
      <c r="E1410" s="100"/>
      <c r="F1410" s="100"/>
      <c r="G1410" s="17"/>
      <c r="H1410" s="93"/>
      <c r="I1410" s="100"/>
      <c r="J1410" s="100"/>
      <c r="K1410" s="17"/>
      <c r="L1410" s="17"/>
      <c r="M1410" s="17"/>
      <c r="N1410" s="17"/>
      <c r="O1410" s="343"/>
      <c r="P1410" s="68"/>
      <c r="Q1410" s="344">
        <v>0</v>
      </c>
      <c r="R1410" s="356">
        <f t="shared" si="28"/>
        <v>0</v>
      </c>
    </row>
    <row r="1411" spans="2:18" ht="17.25" hidden="1" x14ac:dyDescent="0.3">
      <c r="B1411" s="16">
        <v>37</v>
      </c>
      <c r="C1411" s="17"/>
      <c r="D1411" s="17"/>
      <c r="E1411" s="100"/>
      <c r="F1411" s="100"/>
      <c r="G1411" s="17"/>
      <c r="H1411" s="93"/>
      <c r="I1411" s="100"/>
      <c r="J1411" s="100"/>
      <c r="K1411" s="17"/>
      <c r="L1411" s="17"/>
      <c r="M1411" s="17"/>
      <c r="N1411" s="17"/>
      <c r="O1411" s="343"/>
      <c r="P1411" s="68"/>
      <c r="Q1411" s="344">
        <v>0</v>
      </c>
      <c r="R1411" s="356">
        <f t="shared" si="28"/>
        <v>0</v>
      </c>
    </row>
    <row r="1412" spans="2:18" ht="17.25" hidden="1" x14ac:dyDescent="0.3">
      <c r="B1412" s="16">
        <v>38</v>
      </c>
      <c r="C1412" s="17"/>
      <c r="D1412" s="17"/>
      <c r="E1412" s="100"/>
      <c r="F1412" s="100"/>
      <c r="G1412" s="17"/>
      <c r="H1412" s="93"/>
      <c r="I1412" s="100"/>
      <c r="J1412" s="100"/>
      <c r="K1412" s="17"/>
      <c r="L1412" s="17"/>
      <c r="M1412" s="17"/>
      <c r="N1412" s="17"/>
      <c r="O1412" s="343"/>
      <c r="P1412" s="68"/>
      <c r="Q1412" s="344">
        <v>0</v>
      </c>
      <c r="R1412" s="356">
        <f t="shared" si="28"/>
        <v>0</v>
      </c>
    </row>
    <row r="1413" spans="2:18" ht="17.25" hidden="1" x14ac:dyDescent="0.3">
      <c r="B1413" s="16">
        <v>39</v>
      </c>
      <c r="C1413" s="17"/>
      <c r="D1413" s="17"/>
      <c r="E1413" s="100"/>
      <c r="F1413" s="100"/>
      <c r="G1413" s="17"/>
      <c r="H1413" s="93"/>
      <c r="I1413" s="100"/>
      <c r="J1413" s="100"/>
      <c r="K1413" s="17"/>
      <c r="L1413" s="17"/>
      <c r="M1413" s="17"/>
      <c r="N1413" s="17"/>
      <c r="O1413" s="343"/>
      <c r="P1413" s="68"/>
      <c r="Q1413" s="344">
        <v>0</v>
      </c>
      <c r="R1413" s="356">
        <f t="shared" si="28"/>
        <v>0</v>
      </c>
    </row>
    <row r="1414" spans="2:18" ht="17.25" hidden="1" x14ac:dyDescent="0.3">
      <c r="B1414" s="16">
        <v>40</v>
      </c>
      <c r="C1414" s="17"/>
      <c r="D1414" s="17"/>
      <c r="E1414" s="100"/>
      <c r="F1414" s="100"/>
      <c r="G1414" s="17"/>
      <c r="H1414" s="17"/>
      <c r="I1414" s="100"/>
      <c r="J1414" s="100"/>
      <c r="K1414" s="17"/>
      <c r="L1414" s="17"/>
      <c r="M1414" s="17"/>
      <c r="N1414" s="17"/>
      <c r="O1414" s="343"/>
      <c r="P1414" s="68"/>
      <c r="Q1414" s="344">
        <v>0</v>
      </c>
      <c r="R1414" s="356">
        <f t="shared" si="28"/>
        <v>0</v>
      </c>
    </row>
    <row r="1420" spans="2:18" ht="33" x14ac:dyDescent="0.35">
      <c r="B1420" s="82"/>
      <c r="C1420" s="126"/>
      <c r="D1420" s="82"/>
      <c r="E1420" s="86"/>
      <c r="F1420" s="104"/>
      <c r="G1420" s="105"/>
      <c r="H1420" s="105"/>
      <c r="I1420" s="104"/>
      <c r="J1420" s="104"/>
      <c r="K1420" s="82"/>
      <c r="L1420" s="82"/>
      <c r="M1420" s="105"/>
      <c r="N1420" s="82"/>
      <c r="O1420" s="106"/>
      <c r="P1420" s="66" t="s">
        <v>685</v>
      </c>
    </row>
    <row r="1421" spans="2:18" x14ac:dyDescent="0.3">
      <c r="B1421" s="127" t="s">
        <v>683</v>
      </c>
      <c r="C1421" s="117"/>
      <c r="D1421" s="117"/>
      <c r="E1421" s="117"/>
      <c r="F1421" s="117"/>
      <c r="G1421" s="117"/>
      <c r="H1421" s="117"/>
      <c r="I1421" s="117"/>
      <c r="J1421" s="117"/>
      <c r="K1421" s="117"/>
      <c r="L1421" s="117"/>
      <c r="M1421" s="117"/>
      <c r="N1421" s="117"/>
      <c r="O1421" s="117"/>
      <c r="P1421" s="354">
        <f>P1422</f>
        <v>721626000</v>
      </c>
    </row>
    <row r="1422" spans="2:18" x14ac:dyDescent="0.3">
      <c r="B1422" s="792" t="s">
        <v>684</v>
      </c>
      <c r="C1422" s="792"/>
      <c r="D1422" s="763" t="s">
        <v>847</v>
      </c>
      <c r="E1422" s="764"/>
      <c r="F1422" s="764"/>
      <c r="G1422" s="764"/>
      <c r="H1422" s="764"/>
      <c r="I1422" s="764"/>
      <c r="J1422" s="764"/>
      <c r="K1422" s="764"/>
      <c r="L1422" s="764"/>
      <c r="M1422" s="764"/>
      <c r="N1422" s="765"/>
      <c r="O1422" s="128"/>
      <c r="P1422" s="353">
        <f>SUM(P1425:P1725)</f>
        <v>721626000</v>
      </c>
    </row>
    <row r="1423" spans="2:18" x14ac:dyDescent="0.3">
      <c r="B1423" s="789" t="s">
        <v>35</v>
      </c>
      <c r="C1423" s="789" t="s">
        <v>42</v>
      </c>
      <c r="D1423" s="789" t="s">
        <v>44</v>
      </c>
      <c r="E1423" s="769" t="s">
        <v>472</v>
      </c>
      <c r="F1423" s="769" t="s">
        <v>49</v>
      </c>
      <c r="G1423" s="769" t="s">
        <v>559</v>
      </c>
      <c r="H1423" s="769" t="s">
        <v>100</v>
      </c>
      <c r="I1423" s="769" t="s">
        <v>468</v>
      </c>
      <c r="J1423" s="769" t="s">
        <v>469</v>
      </c>
      <c r="K1423" s="766" t="s">
        <v>424</v>
      </c>
      <c r="L1423" s="767" t="s">
        <v>45</v>
      </c>
      <c r="M1423" s="768"/>
      <c r="N1423" s="132" t="s">
        <v>97</v>
      </c>
      <c r="O1423" s="237" t="s">
        <v>51</v>
      </c>
      <c r="P1423" s="769" t="s">
        <v>422</v>
      </c>
    </row>
    <row r="1424" spans="2:18" ht="54" customHeight="1" x14ac:dyDescent="0.3">
      <c r="B1424" s="789"/>
      <c r="C1424" s="789"/>
      <c r="D1424" s="789"/>
      <c r="E1424" s="770"/>
      <c r="F1424" s="770"/>
      <c r="G1424" s="770"/>
      <c r="H1424" s="770"/>
      <c r="I1424" s="770"/>
      <c r="J1424" s="770"/>
      <c r="K1424" s="766"/>
      <c r="L1424" s="132" t="s">
        <v>172</v>
      </c>
      <c r="M1424" s="132" t="s">
        <v>101</v>
      </c>
      <c r="N1424" s="132"/>
      <c r="O1424" s="238"/>
      <c r="P1424" s="770"/>
    </row>
    <row r="1425" spans="1:16" ht="60.75" x14ac:dyDescent="0.3">
      <c r="B1425" s="16">
        <v>1</v>
      </c>
      <c r="C1425" s="646" t="s">
        <v>1586</v>
      </c>
      <c r="D1425" s="722" t="s">
        <v>1293</v>
      </c>
      <c r="E1425" s="653" t="s">
        <v>1550</v>
      </c>
      <c r="F1425" s="93">
        <v>531</v>
      </c>
      <c r="G1425" s="68" t="s">
        <v>717</v>
      </c>
      <c r="H1425" s="625" t="s">
        <v>1424</v>
      </c>
      <c r="I1425" s="68" t="s">
        <v>782</v>
      </c>
      <c r="J1425" s="652" t="s">
        <v>1551</v>
      </c>
      <c r="K1425" s="68" t="s">
        <v>728</v>
      </c>
      <c r="L1425" s="633" t="s">
        <v>1426</v>
      </c>
      <c r="M1425" s="633" t="s">
        <v>1427</v>
      </c>
      <c r="N1425" s="94" t="s">
        <v>1468</v>
      </c>
      <c r="O1425" s="118">
        <v>34400</v>
      </c>
      <c r="P1425" s="351">
        <f t="shared" ref="P1425:P1488" si="29">F1425*O1425</f>
        <v>18266400</v>
      </c>
    </row>
    <row r="1426" spans="1:16" ht="60.75" customHeight="1" x14ac:dyDescent="0.3">
      <c r="B1426" s="16">
        <v>2</v>
      </c>
      <c r="C1426" s="646" t="s">
        <v>1587</v>
      </c>
      <c r="D1426" s="614" t="s">
        <v>1294</v>
      </c>
      <c r="E1426" s="653" t="s">
        <v>1549</v>
      </c>
      <c r="F1426" s="93">
        <v>71</v>
      </c>
      <c r="G1426" s="68" t="s">
        <v>717</v>
      </c>
      <c r="H1426" s="625" t="s">
        <v>1424</v>
      </c>
      <c r="I1426" s="639" t="s">
        <v>782</v>
      </c>
      <c r="J1426" s="652" t="s">
        <v>1551</v>
      </c>
      <c r="K1426" s="639" t="s">
        <v>728</v>
      </c>
      <c r="L1426" s="633" t="s">
        <v>1428</v>
      </c>
      <c r="M1426" s="633" t="s">
        <v>1429</v>
      </c>
      <c r="N1426" s="643" t="s">
        <v>1468</v>
      </c>
      <c r="O1426" s="118">
        <v>34400</v>
      </c>
      <c r="P1426" s="351">
        <f t="shared" si="29"/>
        <v>2442400</v>
      </c>
    </row>
    <row r="1427" spans="1:16" ht="63" customHeight="1" x14ac:dyDescent="0.3">
      <c r="B1427" s="16">
        <v>3</v>
      </c>
      <c r="C1427" s="646" t="s">
        <v>1588</v>
      </c>
      <c r="D1427" s="614" t="s">
        <v>1295</v>
      </c>
      <c r="E1427" s="653" t="s">
        <v>1549</v>
      </c>
      <c r="F1427" s="93">
        <v>61</v>
      </c>
      <c r="G1427" s="68" t="s">
        <v>717</v>
      </c>
      <c r="H1427" s="625" t="s">
        <v>1424</v>
      </c>
      <c r="I1427" s="639" t="s">
        <v>782</v>
      </c>
      <c r="J1427" s="652" t="s">
        <v>1551</v>
      </c>
      <c r="K1427" s="639" t="s">
        <v>728</v>
      </c>
      <c r="L1427" s="633" t="s">
        <v>1430</v>
      </c>
      <c r="M1427" s="633" t="s">
        <v>1431</v>
      </c>
      <c r="N1427" s="643" t="s">
        <v>1468</v>
      </c>
      <c r="O1427" s="118">
        <v>34400</v>
      </c>
      <c r="P1427" s="351">
        <f t="shared" si="29"/>
        <v>2098400</v>
      </c>
    </row>
    <row r="1428" spans="1:16" ht="58.5" customHeight="1" x14ac:dyDescent="0.3">
      <c r="B1428" s="16">
        <v>4</v>
      </c>
      <c r="C1428" s="646" t="s">
        <v>1589</v>
      </c>
      <c r="D1428" s="614" t="s">
        <v>1296</v>
      </c>
      <c r="E1428" s="653" t="s">
        <v>1549</v>
      </c>
      <c r="F1428" s="93">
        <v>69</v>
      </c>
      <c r="G1428" s="68" t="s">
        <v>717</v>
      </c>
      <c r="H1428" s="625" t="s">
        <v>1424</v>
      </c>
      <c r="I1428" s="639" t="s">
        <v>782</v>
      </c>
      <c r="J1428" s="652" t="s">
        <v>1551</v>
      </c>
      <c r="K1428" s="639" t="s">
        <v>728</v>
      </c>
      <c r="L1428" s="633" t="s">
        <v>1432</v>
      </c>
      <c r="M1428" s="633" t="s">
        <v>1433</v>
      </c>
      <c r="N1428" s="643" t="s">
        <v>1468</v>
      </c>
      <c r="O1428" s="118">
        <v>34400</v>
      </c>
      <c r="P1428" s="351">
        <f t="shared" si="29"/>
        <v>2373600</v>
      </c>
    </row>
    <row r="1429" spans="1:16" ht="51.75" x14ac:dyDescent="0.3">
      <c r="B1429" s="16">
        <v>5</v>
      </c>
      <c r="C1429" s="646" t="s">
        <v>1590</v>
      </c>
      <c r="D1429" s="614" t="s">
        <v>1297</v>
      </c>
      <c r="E1429" s="653" t="s">
        <v>1549</v>
      </c>
      <c r="F1429" s="93">
        <v>192</v>
      </c>
      <c r="G1429" s="639" t="s">
        <v>717</v>
      </c>
      <c r="H1429" s="625" t="s">
        <v>1424</v>
      </c>
      <c r="I1429" s="639" t="s">
        <v>782</v>
      </c>
      <c r="J1429" s="652" t="s">
        <v>1551</v>
      </c>
      <c r="K1429" s="639" t="s">
        <v>728</v>
      </c>
      <c r="L1429" s="633" t="s">
        <v>1434</v>
      </c>
      <c r="M1429" s="633" t="s">
        <v>1435</v>
      </c>
      <c r="N1429" s="643" t="s">
        <v>1468</v>
      </c>
      <c r="O1429" s="118">
        <v>34400</v>
      </c>
      <c r="P1429" s="351">
        <f t="shared" si="29"/>
        <v>6604800</v>
      </c>
    </row>
    <row r="1430" spans="1:16" s="620" customFormat="1" ht="61.5" customHeight="1" x14ac:dyDescent="0.3">
      <c r="A1430" s="489"/>
      <c r="B1430" s="615">
        <v>6</v>
      </c>
      <c r="C1430" s="646" t="s">
        <v>1591</v>
      </c>
      <c r="D1430" s="623" t="s">
        <v>1298</v>
      </c>
      <c r="E1430" s="653" t="s">
        <v>1549</v>
      </c>
      <c r="F1430" s="617">
        <v>108</v>
      </c>
      <c r="G1430" s="639" t="s">
        <v>717</v>
      </c>
      <c r="H1430" s="625" t="s">
        <v>1008</v>
      </c>
      <c r="I1430" s="639" t="s">
        <v>782</v>
      </c>
      <c r="J1430" s="652" t="s">
        <v>1551</v>
      </c>
      <c r="K1430" s="639" t="s">
        <v>728</v>
      </c>
      <c r="L1430" s="680" t="s">
        <v>1436</v>
      </c>
      <c r="M1430" s="680" t="s">
        <v>1437</v>
      </c>
      <c r="N1430" s="643" t="s">
        <v>1468</v>
      </c>
      <c r="O1430" s="618">
        <v>34400</v>
      </c>
      <c r="P1430" s="619">
        <f t="shared" si="29"/>
        <v>3715200</v>
      </c>
    </row>
    <row r="1431" spans="1:16" s="620" customFormat="1" ht="59.25" customHeight="1" x14ac:dyDescent="0.3">
      <c r="A1431" s="489"/>
      <c r="B1431" s="615">
        <v>7</v>
      </c>
      <c r="C1431" s="646" t="s">
        <v>1592</v>
      </c>
      <c r="D1431" s="628" t="s">
        <v>1299</v>
      </c>
      <c r="E1431" s="653" t="s">
        <v>1549</v>
      </c>
      <c r="F1431" s="617">
        <v>114</v>
      </c>
      <c r="G1431" s="639" t="s">
        <v>717</v>
      </c>
      <c r="H1431" s="625" t="s">
        <v>1008</v>
      </c>
      <c r="I1431" s="639" t="s">
        <v>782</v>
      </c>
      <c r="J1431" s="652" t="s">
        <v>1551</v>
      </c>
      <c r="K1431" s="639" t="s">
        <v>728</v>
      </c>
      <c r="L1431" s="636">
        <v>6.5728799999999996</v>
      </c>
      <c r="M1431" s="657">
        <v>8.4640599999999999</v>
      </c>
      <c r="N1431" s="643" t="s">
        <v>1468</v>
      </c>
      <c r="O1431" s="618">
        <v>34400</v>
      </c>
      <c r="P1431" s="619">
        <f t="shared" si="29"/>
        <v>3921600</v>
      </c>
    </row>
    <row r="1432" spans="1:16" s="620" customFormat="1" ht="59.25" customHeight="1" x14ac:dyDescent="0.3">
      <c r="A1432" s="489"/>
      <c r="B1432" s="615">
        <v>8</v>
      </c>
      <c r="C1432" s="646" t="s">
        <v>1593</v>
      </c>
      <c r="D1432" s="614" t="s">
        <v>1302</v>
      </c>
      <c r="E1432" s="653" t="s">
        <v>1549</v>
      </c>
      <c r="F1432" s="617">
        <v>137</v>
      </c>
      <c r="G1432" s="639" t="s">
        <v>717</v>
      </c>
      <c r="H1432" s="625" t="s">
        <v>1008</v>
      </c>
      <c r="I1432" s="639" t="s">
        <v>782</v>
      </c>
      <c r="J1432" s="652" t="s">
        <v>1551</v>
      </c>
      <c r="K1432" s="639" t="s">
        <v>728</v>
      </c>
      <c r="L1432" s="633" t="s">
        <v>1440</v>
      </c>
      <c r="M1432" s="633" t="s">
        <v>1441</v>
      </c>
      <c r="N1432" s="643" t="s">
        <v>1468</v>
      </c>
      <c r="O1432" s="618">
        <v>34400</v>
      </c>
      <c r="P1432" s="619">
        <f t="shared" si="29"/>
        <v>4712800</v>
      </c>
    </row>
    <row r="1433" spans="1:16" s="620" customFormat="1" ht="66" customHeight="1" x14ac:dyDescent="0.3">
      <c r="A1433" s="489"/>
      <c r="B1433" s="615">
        <v>9</v>
      </c>
      <c r="C1433" s="646" t="s">
        <v>1594</v>
      </c>
      <c r="D1433" s="622" t="s">
        <v>1300</v>
      </c>
      <c r="E1433" s="653" t="s">
        <v>1549</v>
      </c>
      <c r="F1433" s="617">
        <v>174</v>
      </c>
      <c r="G1433" s="639" t="s">
        <v>717</v>
      </c>
      <c r="H1433" s="625" t="s">
        <v>1008</v>
      </c>
      <c r="I1433" s="639" t="s">
        <v>782</v>
      </c>
      <c r="J1433" s="652" t="s">
        <v>1551</v>
      </c>
      <c r="K1433" s="639" t="s">
        <v>728</v>
      </c>
      <c r="L1433" s="634">
        <v>7.2860500000000004</v>
      </c>
      <c r="M1433" s="634">
        <v>8.5421499999999995</v>
      </c>
      <c r="N1433" s="643" t="s">
        <v>1468</v>
      </c>
      <c r="O1433" s="618">
        <v>34400</v>
      </c>
      <c r="P1433" s="619">
        <f t="shared" si="29"/>
        <v>5985600</v>
      </c>
    </row>
    <row r="1434" spans="1:16" s="620" customFormat="1" ht="61.5" customHeight="1" x14ac:dyDescent="0.3">
      <c r="A1434" s="489"/>
      <c r="B1434" s="615">
        <v>10</v>
      </c>
      <c r="C1434" s="646" t="s">
        <v>1595</v>
      </c>
      <c r="D1434" s="622" t="s">
        <v>1301</v>
      </c>
      <c r="E1434" s="653" t="s">
        <v>1549</v>
      </c>
      <c r="F1434" s="617">
        <v>143</v>
      </c>
      <c r="G1434" s="639" t="s">
        <v>717</v>
      </c>
      <c r="H1434" s="625" t="s">
        <v>1008</v>
      </c>
      <c r="I1434" s="639" t="s">
        <v>782</v>
      </c>
      <c r="J1434" s="652" t="s">
        <v>1551</v>
      </c>
      <c r="K1434" s="639" t="s">
        <v>728</v>
      </c>
      <c r="L1434" s="633" t="s">
        <v>1438</v>
      </c>
      <c r="M1434" s="633" t="s">
        <v>1439</v>
      </c>
      <c r="N1434" s="643" t="s">
        <v>1468</v>
      </c>
      <c r="O1434" s="618">
        <v>34400</v>
      </c>
      <c r="P1434" s="619">
        <f t="shared" si="29"/>
        <v>4919200</v>
      </c>
    </row>
    <row r="1435" spans="1:16" s="620" customFormat="1" ht="63" customHeight="1" x14ac:dyDescent="0.3">
      <c r="A1435" s="489"/>
      <c r="B1435" s="615">
        <v>11</v>
      </c>
      <c r="C1435" s="646" t="s">
        <v>1596</v>
      </c>
      <c r="D1435" s="622" t="s">
        <v>1303</v>
      </c>
      <c r="E1435" s="653" t="s">
        <v>1549</v>
      </c>
      <c r="F1435" s="617">
        <v>88</v>
      </c>
      <c r="G1435" s="639" t="s">
        <v>717</v>
      </c>
      <c r="H1435" s="625" t="s">
        <v>904</v>
      </c>
      <c r="I1435" s="639" t="s">
        <v>782</v>
      </c>
      <c r="J1435" s="652" t="s">
        <v>1551</v>
      </c>
      <c r="K1435" s="639" t="s">
        <v>728</v>
      </c>
      <c r="L1435" s="671">
        <v>6.8963190000000001</v>
      </c>
      <c r="M1435" s="671">
        <v>9.2389150000000004</v>
      </c>
      <c r="N1435" s="643" t="s">
        <v>1468</v>
      </c>
      <c r="O1435" s="618">
        <v>34400</v>
      </c>
      <c r="P1435" s="619">
        <f t="shared" si="29"/>
        <v>3027200</v>
      </c>
    </row>
    <row r="1436" spans="1:16" s="620" customFormat="1" ht="63.75" customHeight="1" x14ac:dyDescent="0.3">
      <c r="A1436" s="489"/>
      <c r="B1436" s="615">
        <v>12</v>
      </c>
      <c r="C1436" s="646" t="s">
        <v>1597</v>
      </c>
      <c r="D1436" s="622" t="s">
        <v>1304</v>
      </c>
      <c r="E1436" s="653" t="s">
        <v>1549</v>
      </c>
      <c r="F1436" s="617">
        <v>345</v>
      </c>
      <c r="G1436" s="639" t="s">
        <v>717</v>
      </c>
      <c r="H1436" s="625" t="s">
        <v>904</v>
      </c>
      <c r="I1436" s="639" t="s">
        <v>782</v>
      </c>
      <c r="J1436" s="652" t="s">
        <v>1551</v>
      </c>
      <c r="K1436" s="639" t="s">
        <v>728</v>
      </c>
      <c r="L1436" s="671">
        <v>6.9119729999999997</v>
      </c>
      <c r="M1436" s="671">
        <v>9.4881779999999996</v>
      </c>
      <c r="N1436" s="643" t="s">
        <v>1468</v>
      </c>
      <c r="O1436" s="618">
        <v>34400</v>
      </c>
      <c r="P1436" s="619">
        <f t="shared" si="29"/>
        <v>11868000</v>
      </c>
    </row>
    <row r="1437" spans="1:16" s="620" customFormat="1" ht="61.5" customHeight="1" x14ac:dyDescent="0.3">
      <c r="A1437" s="489"/>
      <c r="B1437" s="615">
        <v>13</v>
      </c>
      <c r="C1437" s="646" t="s">
        <v>1598</v>
      </c>
      <c r="D1437" s="622" t="s">
        <v>1307</v>
      </c>
      <c r="E1437" s="653" t="s">
        <v>1549</v>
      </c>
      <c r="F1437" s="617">
        <v>81</v>
      </c>
      <c r="G1437" s="639" t="s">
        <v>717</v>
      </c>
      <c r="H1437" s="625" t="s">
        <v>904</v>
      </c>
      <c r="I1437" s="639" t="s">
        <v>782</v>
      </c>
      <c r="J1437" s="652" t="s">
        <v>1551</v>
      </c>
      <c r="K1437" s="639" t="s">
        <v>728</v>
      </c>
      <c r="L1437" s="634">
        <v>6.8456900000000003</v>
      </c>
      <c r="M1437" s="634">
        <v>9.2908600000000003</v>
      </c>
      <c r="N1437" s="643" t="s">
        <v>1468</v>
      </c>
      <c r="O1437" s="618">
        <v>34400</v>
      </c>
      <c r="P1437" s="619">
        <f t="shared" si="29"/>
        <v>2786400</v>
      </c>
    </row>
    <row r="1438" spans="1:16" s="620" customFormat="1" ht="63" customHeight="1" x14ac:dyDescent="0.3">
      <c r="A1438" s="489"/>
      <c r="B1438" s="615">
        <v>14</v>
      </c>
      <c r="C1438" s="646" t="s">
        <v>1599</v>
      </c>
      <c r="D1438" s="622" t="s">
        <v>1305</v>
      </c>
      <c r="E1438" s="653" t="s">
        <v>1548</v>
      </c>
      <c r="F1438" s="617">
        <v>455</v>
      </c>
      <c r="G1438" s="639" t="s">
        <v>717</v>
      </c>
      <c r="H1438" s="625" t="s">
        <v>904</v>
      </c>
      <c r="I1438" s="434" t="s">
        <v>797</v>
      </c>
      <c r="J1438" s="652" t="s">
        <v>1551</v>
      </c>
      <c r="K1438" s="639" t="s">
        <v>728</v>
      </c>
      <c r="L1438" s="694" t="s">
        <v>1522</v>
      </c>
      <c r="M1438" s="694" t="s">
        <v>1523</v>
      </c>
      <c r="N1438" s="643" t="s">
        <v>1468</v>
      </c>
      <c r="O1438" s="618">
        <v>34400</v>
      </c>
      <c r="P1438" s="619">
        <f t="shared" si="29"/>
        <v>15652000</v>
      </c>
    </row>
    <row r="1439" spans="1:16" s="620" customFormat="1" ht="63.75" customHeight="1" x14ac:dyDescent="0.3">
      <c r="A1439" s="489"/>
      <c r="B1439" s="615">
        <v>15</v>
      </c>
      <c r="C1439" s="646" t="s">
        <v>1600</v>
      </c>
      <c r="D1439" s="622" t="s">
        <v>1306</v>
      </c>
      <c r="E1439" s="653" t="s">
        <v>1548</v>
      </c>
      <c r="F1439" s="617">
        <v>229</v>
      </c>
      <c r="G1439" s="639" t="s">
        <v>717</v>
      </c>
      <c r="H1439" s="625" t="s">
        <v>904</v>
      </c>
      <c r="I1439" s="639" t="s">
        <v>782</v>
      </c>
      <c r="J1439" s="652" t="s">
        <v>1551</v>
      </c>
      <c r="K1439" s="639" t="s">
        <v>728</v>
      </c>
      <c r="L1439" s="671">
        <v>6.8973050000000002</v>
      </c>
      <c r="M1439" s="671">
        <v>9.4975159999999992</v>
      </c>
      <c r="N1439" s="643" t="s">
        <v>1468</v>
      </c>
      <c r="O1439" s="618">
        <v>34400</v>
      </c>
      <c r="P1439" s="619">
        <f t="shared" si="29"/>
        <v>7877600</v>
      </c>
    </row>
    <row r="1440" spans="1:16" s="620" customFormat="1" ht="58.5" customHeight="1" x14ac:dyDescent="0.3">
      <c r="A1440" s="489"/>
      <c r="B1440" s="615">
        <v>16</v>
      </c>
      <c r="C1440" s="646" t="s">
        <v>1601</v>
      </c>
      <c r="D1440" s="622" t="s">
        <v>1309</v>
      </c>
      <c r="E1440" s="653" t="s">
        <v>1548</v>
      </c>
      <c r="F1440" s="617">
        <v>89</v>
      </c>
      <c r="G1440" s="639" t="s">
        <v>717</v>
      </c>
      <c r="H1440" s="625" t="s">
        <v>906</v>
      </c>
      <c r="I1440" s="639" t="s">
        <v>782</v>
      </c>
      <c r="J1440" s="652" t="s">
        <v>1551</v>
      </c>
      <c r="K1440" s="639" t="s">
        <v>728</v>
      </c>
      <c r="L1440" s="632" t="s">
        <v>1442</v>
      </c>
      <c r="M1440" s="632" t="s">
        <v>1443</v>
      </c>
      <c r="N1440" s="643" t="s">
        <v>1468</v>
      </c>
      <c r="O1440" s="618">
        <v>34400</v>
      </c>
      <c r="P1440" s="619">
        <f t="shared" si="29"/>
        <v>3061600</v>
      </c>
    </row>
    <row r="1441" spans="1:16" s="620" customFormat="1" ht="63.75" customHeight="1" x14ac:dyDescent="0.3">
      <c r="A1441" s="489"/>
      <c r="B1441" s="615">
        <v>17</v>
      </c>
      <c r="C1441" s="646" t="s">
        <v>1602</v>
      </c>
      <c r="D1441" s="622" t="s">
        <v>1310</v>
      </c>
      <c r="E1441" s="653" t="s">
        <v>1548</v>
      </c>
      <c r="F1441" s="617">
        <v>101</v>
      </c>
      <c r="G1441" s="639" t="s">
        <v>717</v>
      </c>
      <c r="H1441" s="625" t="s">
        <v>906</v>
      </c>
      <c r="I1441" s="639" t="s">
        <v>782</v>
      </c>
      <c r="J1441" s="652" t="s">
        <v>1551</v>
      </c>
      <c r="K1441" s="639" t="s">
        <v>728</v>
      </c>
      <c r="L1441" s="632" t="s">
        <v>1444</v>
      </c>
      <c r="M1441" s="632" t="s">
        <v>1445</v>
      </c>
      <c r="N1441" s="643" t="s">
        <v>1468</v>
      </c>
      <c r="O1441" s="618">
        <v>34400</v>
      </c>
      <c r="P1441" s="619">
        <f t="shared" si="29"/>
        <v>3474400</v>
      </c>
    </row>
    <row r="1442" spans="1:16" s="620" customFormat="1" ht="63" customHeight="1" x14ac:dyDescent="0.3">
      <c r="A1442" s="489"/>
      <c r="B1442" s="615">
        <v>18</v>
      </c>
      <c r="C1442" s="646" t="s">
        <v>1603</v>
      </c>
      <c r="D1442" s="622" t="s">
        <v>1308</v>
      </c>
      <c r="E1442" s="653" t="s">
        <v>1548</v>
      </c>
      <c r="F1442" s="617">
        <v>99</v>
      </c>
      <c r="G1442" s="639" t="s">
        <v>717</v>
      </c>
      <c r="H1442" s="625" t="s">
        <v>906</v>
      </c>
      <c r="I1442" s="639" t="s">
        <v>782</v>
      </c>
      <c r="J1442" s="652" t="s">
        <v>1551</v>
      </c>
      <c r="K1442" s="639" t="s">
        <v>728</v>
      </c>
      <c r="L1442" s="633" t="s">
        <v>1446</v>
      </c>
      <c r="M1442" s="633" t="s">
        <v>1447</v>
      </c>
      <c r="N1442" s="643" t="s">
        <v>1468</v>
      </c>
      <c r="O1442" s="618">
        <v>34400</v>
      </c>
      <c r="P1442" s="619">
        <f t="shared" si="29"/>
        <v>3405600</v>
      </c>
    </row>
    <row r="1443" spans="1:16" s="620" customFormat="1" ht="59.25" customHeight="1" x14ac:dyDescent="0.3">
      <c r="A1443" s="489"/>
      <c r="B1443" s="615">
        <v>19</v>
      </c>
      <c r="C1443" s="646" t="s">
        <v>1604</v>
      </c>
      <c r="D1443" s="622" t="s">
        <v>1311</v>
      </c>
      <c r="E1443" s="653" t="s">
        <v>1548</v>
      </c>
      <c r="F1443" s="617">
        <v>89</v>
      </c>
      <c r="G1443" s="639" t="s">
        <v>717</v>
      </c>
      <c r="H1443" s="625" t="s">
        <v>906</v>
      </c>
      <c r="I1443" s="639" t="s">
        <v>782</v>
      </c>
      <c r="J1443" s="652" t="s">
        <v>1551</v>
      </c>
      <c r="K1443" s="639" t="s">
        <v>728</v>
      </c>
      <c r="L1443" s="632" t="s">
        <v>1448</v>
      </c>
      <c r="M1443" s="632" t="s">
        <v>1449</v>
      </c>
      <c r="N1443" s="643" t="s">
        <v>1468</v>
      </c>
      <c r="O1443" s="618">
        <v>34400</v>
      </c>
      <c r="P1443" s="619">
        <f t="shared" si="29"/>
        <v>3061600</v>
      </c>
    </row>
    <row r="1444" spans="1:16" s="620" customFormat="1" ht="68.25" customHeight="1" x14ac:dyDescent="0.3">
      <c r="A1444" s="489"/>
      <c r="B1444" s="615">
        <v>20</v>
      </c>
      <c r="C1444" s="646" t="s">
        <v>1605</v>
      </c>
      <c r="D1444" s="622" t="s">
        <v>1413</v>
      </c>
      <c r="E1444" s="653" t="s">
        <v>1548</v>
      </c>
      <c r="F1444" s="617">
        <v>201</v>
      </c>
      <c r="G1444" s="639" t="s">
        <v>717</v>
      </c>
      <c r="H1444" s="625" t="s">
        <v>906</v>
      </c>
      <c r="I1444" s="639" t="s">
        <v>782</v>
      </c>
      <c r="J1444" s="652" t="s">
        <v>1551</v>
      </c>
      <c r="K1444" s="639" t="s">
        <v>728</v>
      </c>
      <c r="L1444" s="632" t="s">
        <v>1450</v>
      </c>
      <c r="M1444" s="632" t="s">
        <v>1451</v>
      </c>
      <c r="N1444" s="643" t="s">
        <v>1468</v>
      </c>
      <c r="O1444" s="618">
        <v>34400</v>
      </c>
      <c r="P1444" s="619">
        <f t="shared" si="29"/>
        <v>6914400</v>
      </c>
    </row>
    <row r="1445" spans="1:16" s="620" customFormat="1" ht="65.25" customHeight="1" x14ac:dyDescent="0.3">
      <c r="A1445" s="489"/>
      <c r="B1445" s="615">
        <v>21</v>
      </c>
      <c r="C1445" s="646" t="s">
        <v>1606</v>
      </c>
      <c r="D1445" s="622" t="s">
        <v>1312</v>
      </c>
      <c r="E1445" s="653" t="s">
        <v>1548</v>
      </c>
      <c r="F1445" s="617">
        <v>221</v>
      </c>
      <c r="G1445" s="639" t="s">
        <v>717</v>
      </c>
      <c r="H1445" s="625" t="s">
        <v>921</v>
      </c>
      <c r="I1445" s="434" t="s">
        <v>782</v>
      </c>
      <c r="J1445" s="652" t="s">
        <v>1551</v>
      </c>
      <c r="K1445" s="639" t="s">
        <v>728</v>
      </c>
      <c r="L1445" s="658">
        <v>7.4987500000000002</v>
      </c>
      <c r="M1445" s="658">
        <v>9.6113769999999992</v>
      </c>
      <c r="N1445" s="643" t="s">
        <v>1468</v>
      </c>
      <c r="O1445" s="618">
        <v>34400</v>
      </c>
      <c r="P1445" s="619">
        <f t="shared" si="29"/>
        <v>7602400</v>
      </c>
    </row>
    <row r="1446" spans="1:16" s="620" customFormat="1" ht="63" customHeight="1" x14ac:dyDescent="0.3">
      <c r="A1446" s="489"/>
      <c r="B1446" s="615">
        <v>22</v>
      </c>
      <c r="C1446" s="646" t="s">
        <v>1607</v>
      </c>
      <c r="D1446" s="622" t="s">
        <v>1313</v>
      </c>
      <c r="E1446" s="653" t="s">
        <v>1548</v>
      </c>
      <c r="F1446" s="617">
        <v>216</v>
      </c>
      <c r="G1446" s="639" t="s">
        <v>717</v>
      </c>
      <c r="H1446" s="625" t="s">
        <v>921</v>
      </c>
      <c r="I1446" s="639" t="s">
        <v>782</v>
      </c>
      <c r="J1446" s="652" t="s">
        <v>1551</v>
      </c>
      <c r="K1446" s="639" t="s">
        <v>728</v>
      </c>
      <c r="L1446" s="674" t="s">
        <v>1471</v>
      </c>
      <c r="M1446" s="674" t="s">
        <v>1472</v>
      </c>
      <c r="N1446" s="643" t="s">
        <v>1468</v>
      </c>
      <c r="O1446" s="618">
        <v>34400</v>
      </c>
      <c r="P1446" s="619">
        <f t="shared" si="29"/>
        <v>7430400</v>
      </c>
    </row>
    <row r="1447" spans="1:16" s="620" customFormat="1" ht="63.75" customHeight="1" x14ac:dyDescent="0.3">
      <c r="A1447" s="489"/>
      <c r="B1447" s="615">
        <v>23</v>
      </c>
      <c r="C1447" s="646" t="s">
        <v>1608</v>
      </c>
      <c r="D1447" s="629" t="s">
        <v>1317</v>
      </c>
      <c r="E1447" s="653" t="s">
        <v>1548</v>
      </c>
      <c r="F1447" s="617">
        <v>311</v>
      </c>
      <c r="G1447" s="639" t="s">
        <v>717</v>
      </c>
      <c r="H1447" s="625" t="s">
        <v>921</v>
      </c>
      <c r="I1447" s="639" t="s">
        <v>782</v>
      </c>
      <c r="J1447" s="652" t="s">
        <v>1551</v>
      </c>
      <c r="K1447" s="639" t="s">
        <v>728</v>
      </c>
      <c r="L1447" s="659">
        <v>7.5691699999999997</v>
      </c>
      <c r="M1447" s="660">
        <v>9.78139</v>
      </c>
      <c r="N1447" s="643" t="s">
        <v>1468</v>
      </c>
      <c r="O1447" s="618">
        <v>34400</v>
      </c>
      <c r="P1447" s="619">
        <f t="shared" si="29"/>
        <v>10698400</v>
      </c>
    </row>
    <row r="1448" spans="1:16" s="620" customFormat="1" ht="63" customHeight="1" x14ac:dyDescent="0.3">
      <c r="A1448" s="489"/>
      <c r="B1448" s="615">
        <v>24</v>
      </c>
      <c r="C1448" s="646" t="s">
        <v>1609</v>
      </c>
      <c r="D1448" s="622" t="s">
        <v>1314</v>
      </c>
      <c r="E1448" s="653" t="s">
        <v>1548</v>
      </c>
      <c r="F1448" s="617">
        <v>136</v>
      </c>
      <c r="G1448" s="639" t="s">
        <v>717</v>
      </c>
      <c r="H1448" s="625" t="s">
        <v>921</v>
      </c>
      <c r="I1448" s="639" t="s">
        <v>782</v>
      </c>
      <c r="J1448" s="652" t="s">
        <v>1551</v>
      </c>
      <c r="K1448" s="639" t="s">
        <v>728</v>
      </c>
      <c r="L1448" s="674" t="s">
        <v>1473</v>
      </c>
      <c r="M1448" s="674" t="s">
        <v>1474</v>
      </c>
      <c r="N1448" s="643" t="s">
        <v>1468</v>
      </c>
      <c r="O1448" s="618">
        <v>34400</v>
      </c>
      <c r="P1448" s="619">
        <f t="shared" si="29"/>
        <v>4678400</v>
      </c>
    </row>
    <row r="1449" spans="1:16" s="620" customFormat="1" ht="63" customHeight="1" x14ac:dyDescent="0.3">
      <c r="A1449" s="489"/>
      <c r="B1449" s="615">
        <v>25</v>
      </c>
      <c r="C1449" s="646" t="s">
        <v>1610</v>
      </c>
      <c r="D1449" s="622" t="s">
        <v>1315</v>
      </c>
      <c r="E1449" s="653" t="s">
        <v>1548</v>
      </c>
      <c r="F1449" s="617">
        <v>297</v>
      </c>
      <c r="G1449" s="639" t="s">
        <v>717</v>
      </c>
      <c r="H1449" s="625" t="s">
        <v>921</v>
      </c>
      <c r="I1449" s="639" t="s">
        <v>782</v>
      </c>
      <c r="J1449" s="652" t="s">
        <v>1551</v>
      </c>
      <c r="K1449" s="639" t="s">
        <v>728</v>
      </c>
      <c r="L1449" s="674" t="s">
        <v>1475</v>
      </c>
      <c r="M1449" s="674" t="s">
        <v>1476</v>
      </c>
      <c r="N1449" s="643" t="s">
        <v>1468</v>
      </c>
      <c r="O1449" s="618">
        <v>34400</v>
      </c>
      <c r="P1449" s="619">
        <f t="shared" si="29"/>
        <v>10216800</v>
      </c>
    </row>
    <row r="1450" spans="1:16" s="620" customFormat="1" ht="65.25" customHeight="1" x14ac:dyDescent="0.3">
      <c r="A1450" s="489"/>
      <c r="B1450" s="615">
        <v>26</v>
      </c>
      <c r="C1450" s="646" t="s">
        <v>1611</v>
      </c>
      <c r="D1450" s="622" t="s">
        <v>1318</v>
      </c>
      <c r="E1450" s="653" t="s">
        <v>1548</v>
      </c>
      <c r="F1450" s="617">
        <v>337</v>
      </c>
      <c r="G1450" s="639" t="s">
        <v>717</v>
      </c>
      <c r="H1450" s="625" t="s">
        <v>1039</v>
      </c>
      <c r="I1450" s="639" t="s">
        <v>782</v>
      </c>
      <c r="J1450" s="652" t="s">
        <v>1551</v>
      </c>
      <c r="K1450" s="639" t="s">
        <v>728</v>
      </c>
      <c r="L1450" s="681">
        <v>7.0383079999999998</v>
      </c>
      <c r="M1450" s="681">
        <v>9.0375979999999991</v>
      </c>
      <c r="N1450" s="643" t="s">
        <v>1468</v>
      </c>
      <c r="O1450" s="618">
        <v>34400</v>
      </c>
      <c r="P1450" s="619">
        <f t="shared" si="29"/>
        <v>11592800</v>
      </c>
    </row>
    <row r="1451" spans="1:16" s="620" customFormat="1" ht="63" customHeight="1" x14ac:dyDescent="0.3">
      <c r="A1451" s="489"/>
      <c r="B1451" s="615">
        <v>27</v>
      </c>
      <c r="C1451" s="646" t="s">
        <v>1612</v>
      </c>
      <c r="D1451" s="622" t="s">
        <v>1319</v>
      </c>
      <c r="E1451" s="653" t="s">
        <v>1548</v>
      </c>
      <c r="F1451" s="617">
        <v>148</v>
      </c>
      <c r="G1451" s="639" t="s">
        <v>717</v>
      </c>
      <c r="H1451" s="625" t="s">
        <v>1039</v>
      </c>
      <c r="I1451" s="639" t="s">
        <v>782</v>
      </c>
      <c r="J1451" s="652" t="s">
        <v>1551</v>
      </c>
      <c r="K1451" s="639" t="s">
        <v>728</v>
      </c>
      <c r="L1451" s="671">
        <v>7.1093000000000002</v>
      </c>
      <c r="M1451" s="671">
        <v>9.0132999999999992</v>
      </c>
      <c r="N1451" s="643" t="s">
        <v>1468</v>
      </c>
      <c r="O1451" s="618">
        <v>34400</v>
      </c>
      <c r="P1451" s="619">
        <f t="shared" si="29"/>
        <v>5091200</v>
      </c>
    </row>
    <row r="1452" spans="1:16" s="620" customFormat="1" ht="60.75" customHeight="1" x14ac:dyDescent="0.3">
      <c r="A1452" s="489"/>
      <c r="B1452" s="615">
        <v>28</v>
      </c>
      <c r="C1452" s="646" t="s">
        <v>1613</v>
      </c>
      <c r="D1452" s="622" t="s">
        <v>1320</v>
      </c>
      <c r="E1452" s="653" t="s">
        <v>1548</v>
      </c>
      <c r="F1452" s="617">
        <v>86</v>
      </c>
      <c r="G1452" s="639" t="s">
        <v>717</v>
      </c>
      <c r="H1452" s="625" t="s">
        <v>1039</v>
      </c>
      <c r="I1452" s="639" t="s">
        <v>782</v>
      </c>
      <c r="J1452" s="652" t="s">
        <v>1551</v>
      </c>
      <c r="K1452" s="639" t="s">
        <v>728</v>
      </c>
      <c r="L1452" s="671">
        <v>7.1000009999999998</v>
      </c>
      <c r="M1452" s="698">
        <v>9.02257</v>
      </c>
      <c r="N1452" s="643" t="s">
        <v>1468</v>
      </c>
      <c r="O1452" s="618">
        <v>34400</v>
      </c>
      <c r="P1452" s="619">
        <f t="shared" si="29"/>
        <v>2958400</v>
      </c>
    </row>
    <row r="1453" spans="1:16" s="620" customFormat="1" ht="59.25" customHeight="1" x14ac:dyDescent="0.3">
      <c r="A1453" s="489"/>
      <c r="B1453" s="615">
        <v>29</v>
      </c>
      <c r="C1453" s="646" t="s">
        <v>1614</v>
      </c>
      <c r="D1453" s="622" t="s">
        <v>1322</v>
      </c>
      <c r="E1453" s="653" t="s">
        <v>1548</v>
      </c>
      <c r="F1453" s="617">
        <v>118</v>
      </c>
      <c r="G1453" s="639" t="s">
        <v>717</v>
      </c>
      <c r="H1453" s="625" t="s">
        <v>1039</v>
      </c>
      <c r="I1453" s="639" t="s">
        <v>782</v>
      </c>
      <c r="J1453" s="652" t="s">
        <v>1551</v>
      </c>
      <c r="K1453" s="639" t="s">
        <v>728</v>
      </c>
      <c r="L1453" s="640">
        <v>7.0824769999999999</v>
      </c>
      <c r="M1453" s="640">
        <v>9.0179489999999998</v>
      </c>
      <c r="N1453" s="643" t="s">
        <v>1468</v>
      </c>
      <c r="O1453" s="618">
        <v>34400</v>
      </c>
      <c r="P1453" s="619">
        <f t="shared" si="29"/>
        <v>4059200</v>
      </c>
    </row>
    <row r="1454" spans="1:16" s="620" customFormat="1" ht="65.25" customHeight="1" x14ac:dyDescent="0.3">
      <c r="A1454" s="489"/>
      <c r="B1454" s="615">
        <v>30</v>
      </c>
      <c r="C1454" s="646" t="s">
        <v>1615</v>
      </c>
      <c r="D1454" s="630" t="s">
        <v>1321</v>
      </c>
      <c r="E1454" s="653" t="s">
        <v>1548</v>
      </c>
      <c r="F1454" s="617">
        <v>187</v>
      </c>
      <c r="G1454" s="639" t="s">
        <v>717</v>
      </c>
      <c r="H1454" s="625" t="s">
        <v>1039</v>
      </c>
      <c r="I1454" s="639" t="s">
        <v>782</v>
      </c>
      <c r="J1454" s="652" t="s">
        <v>1551</v>
      </c>
      <c r="K1454" s="639" t="s">
        <v>728</v>
      </c>
      <c r="L1454" s="658">
        <v>7.1411759999999997</v>
      </c>
      <c r="M1454" s="658">
        <v>9.0787669999999991</v>
      </c>
      <c r="N1454" s="643" t="s">
        <v>1468</v>
      </c>
      <c r="O1454" s="618">
        <v>34400</v>
      </c>
      <c r="P1454" s="619">
        <f t="shared" si="29"/>
        <v>6432800</v>
      </c>
    </row>
    <row r="1455" spans="1:16" s="620" customFormat="1" ht="67.5" customHeight="1" x14ac:dyDescent="0.3">
      <c r="A1455" s="489"/>
      <c r="B1455" s="615">
        <v>31</v>
      </c>
      <c r="C1455" s="646" t="s">
        <v>1616</v>
      </c>
      <c r="D1455" s="622" t="s">
        <v>1331</v>
      </c>
      <c r="E1455" s="653" t="s">
        <v>1548</v>
      </c>
      <c r="F1455" s="617">
        <v>82</v>
      </c>
      <c r="G1455" s="639" t="s">
        <v>717</v>
      </c>
      <c r="H1455" s="625" t="s">
        <v>925</v>
      </c>
      <c r="I1455" s="639" t="s">
        <v>782</v>
      </c>
      <c r="J1455" s="652" t="s">
        <v>1551</v>
      </c>
      <c r="K1455" s="639" t="s">
        <v>728</v>
      </c>
      <c r="L1455" s="669">
        <v>7.00441</v>
      </c>
      <c r="M1455" s="670">
        <v>9.02257</v>
      </c>
      <c r="N1455" s="643" t="s">
        <v>1468</v>
      </c>
      <c r="O1455" s="618">
        <v>34400</v>
      </c>
      <c r="P1455" s="619">
        <f t="shared" si="29"/>
        <v>2820800</v>
      </c>
    </row>
    <row r="1456" spans="1:16" s="620" customFormat="1" ht="65.25" customHeight="1" x14ac:dyDescent="0.3">
      <c r="A1456" s="489"/>
      <c r="B1456" s="615">
        <v>32</v>
      </c>
      <c r="C1456" s="646" t="s">
        <v>1617</v>
      </c>
      <c r="D1456" s="622" t="s">
        <v>1326</v>
      </c>
      <c r="E1456" s="653" t="s">
        <v>1548</v>
      </c>
      <c r="F1456" s="617">
        <v>97</v>
      </c>
      <c r="G1456" s="639" t="s">
        <v>717</v>
      </c>
      <c r="H1456" s="625" t="s">
        <v>925</v>
      </c>
      <c r="I1456" s="639" t="s">
        <v>782</v>
      </c>
      <c r="J1456" s="652" t="s">
        <v>1551</v>
      </c>
      <c r="K1456" s="639" t="s">
        <v>728</v>
      </c>
      <c r="L1456" s="669">
        <v>6.9416669999999998</v>
      </c>
      <c r="M1456" s="670">
        <v>9.0613889000000007</v>
      </c>
      <c r="N1456" s="643" t="s">
        <v>1468</v>
      </c>
      <c r="O1456" s="618">
        <v>34400</v>
      </c>
      <c r="P1456" s="619">
        <f t="shared" si="29"/>
        <v>3336800</v>
      </c>
    </row>
    <row r="1457" spans="1:16" s="620" customFormat="1" ht="65.25" customHeight="1" x14ac:dyDescent="0.3">
      <c r="A1457" s="489"/>
      <c r="B1457" s="615">
        <v>33</v>
      </c>
      <c r="C1457" s="646" t="s">
        <v>1618</v>
      </c>
      <c r="D1457" s="622" t="s">
        <v>1329</v>
      </c>
      <c r="E1457" s="653" t="s">
        <v>1548</v>
      </c>
      <c r="F1457" s="617">
        <v>388</v>
      </c>
      <c r="G1457" s="639" t="s">
        <v>717</v>
      </c>
      <c r="H1457" s="625" t="s">
        <v>925</v>
      </c>
      <c r="I1457" s="639" t="s">
        <v>782</v>
      </c>
      <c r="J1457" s="652" t="s">
        <v>1551</v>
      </c>
      <c r="K1457" s="639" t="s">
        <v>728</v>
      </c>
      <c r="L1457" s="669">
        <v>6.8022200000000002</v>
      </c>
      <c r="M1457" s="670">
        <v>9.0302769999999999</v>
      </c>
      <c r="N1457" s="643" t="s">
        <v>1468</v>
      </c>
      <c r="O1457" s="618">
        <v>34400</v>
      </c>
      <c r="P1457" s="619">
        <f t="shared" si="29"/>
        <v>13347200</v>
      </c>
    </row>
    <row r="1458" spans="1:16" s="620" customFormat="1" ht="68.25" customHeight="1" x14ac:dyDescent="0.3">
      <c r="A1458" s="489"/>
      <c r="B1458" s="615">
        <v>34</v>
      </c>
      <c r="C1458" s="646" t="s">
        <v>1619</v>
      </c>
      <c r="D1458" s="622" t="s">
        <v>1333</v>
      </c>
      <c r="E1458" s="653" t="s">
        <v>1548</v>
      </c>
      <c r="F1458" s="617">
        <v>73</v>
      </c>
      <c r="G1458" s="639" t="s">
        <v>717</v>
      </c>
      <c r="H1458" s="625" t="s">
        <v>925</v>
      </c>
      <c r="I1458" s="639" t="s">
        <v>782</v>
      </c>
      <c r="J1458" s="652" t="s">
        <v>1551</v>
      </c>
      <c r="K1458" s="639" t="s">
        <v>728</v>
      </c>
      <c r="L1458" s="675" t="s">
        <v>1462</v>
      </c>
      <c r="M1458" s="675" t="s">
        <v>1463</v>
      </c>
      <c r="N1458" s="643" t="s">
        <v>1468</v>
      </c>
      <c r="O1458" s="618">
        <v>34400</v>
      </c>
      <c r="P1458" s="619">
        <f t="shared" si="29"/>
        <v>2511200</v>
      </c>
    </row>
    <row r="1459" spans="1:16" s="620" customFormat="1" ht="63.75" customHeight="1" x14ac:dyDescent="0.3">
      <c r="A1459" s="489"/>
      <c r="B1459" s="615">
        <v>35</v>
      </c>
      <c r="C1459" s="646" t="s">
        <v>1620</v>
      </c>
      <c r="D1459" s="622" t="s">
        <v>1335</v>
      </c>
      <c r="E1459" s="653" t="s">
        <v>1548</v>
      </c>
      <c r="F1459" s="617">
        <v>125</v>
      </c>
      <c r="G1459" s="639" t="s">
        <v>717</v>
      </c>
      <c r="H1459" s="625" t="s">
        <v>925</v>
      </c>
      <c r="I1459" s="639" t="s">
        <v>782</v>
      </c>
      <c r="J1459" s="652" t="s">
        <v>1551</v>
      </c>
      <c r="K1459" s="639" t="s">
        <v>728</v>
      </c>
      <c r="L1459" s="635">
        <v>6.9568000000000003</v>
      </c>
      <c r="M1459" s="635">
        <v>9.0514200000000002</v>
      </c>
      <c r="N1459" s="643" t="s">
        <v>1468</v>
      </c>
      <c r="O1459" s="618">
        <v>34400</v>
      </c>
      <c r="P1459" s="619">
        <f t="shared" si="29"/>
        <v>4300000</v>
      </c>
    </row>
    <row r="1460" spans="1:16" s="620" customFormat="1" ht="63" customHeight="1" x14ac:dyDescent="0.3">
      <c r="A1460" s="489"/>
      <c r="B1460" s="615">
        <v>36</v>
      </c>
      <c r="C1460" s="646" t="s">
        <v>1621</v>
      </c>
      <c r="D1460" s="622" t="s">
        <v>1323</v>
      </c>
      <c r="E1460" s="653" t="s">
        <v>1548</v>
      </c>
      <c r="F1460" s="617">
        <v>55</v>
      </c>
      <c r="G1460" s="639" t="s">
        <v>717</v>
      </c>
      <c r="H1460" s="625" t="s">
        <v>925</v>
      </c>
      <c r="I1460" s="639" t="s">
        <v>782</v>
      </c>
      <c r="J1460" s="652" t="s">
        <v>1551</v>
      </c>
      <c r="K1460" s="639" t="s">
        <v>728</v>
      </c>
      <c r="L1460" s="674" t="s">
        <v>1466</v>
      </c>
      <c r="M1460" s="674" t="s">
        <v>1467</v>
      </c>
      <c r="N1460" s="643" t="s">
        <v>1468</v>
      </c>
      <c r="O1460" s="618">
        <v>34400</v>
      </c>
      <c r="P1460" s="619">
        <f t="shared" si="29"/>
        <v>1892000</v>
      </c>
    </row>
    <row r="1461" spans="1:16" s="620" customFormat="1" ht="58.5" customHeight="1" x14ac:dyDescent="0.3">
      <c r="A1461" s="489"/>
      <c r="B1461" s="615">
        <v>37</v>
      </c>
      <c r="C1461" s="646" t="s">
        <v>1622</v>
      </c>
      <c r="D1461" s="622" t="s">
        <v>1324</v>
      </c>
      <c r="E1461" s="653" t="s">
        <v>1548</v>
      </c>
      <c r="F1461" s="617">
        <v>166</v>
      </c>
      <c r="G1461" s="639" t="s">
        <v>717</v>
      </c>
      <c r="H1461" s="625" t="s">
        <v>925</v>
      </c>
      <c r="I1461" s="639" t="s">
        <v>782</v>
      </c>
      <c r="J1461" s="652" t="s">
        <v>1551</v>
      </c>
      <c r="K1461" s="639" t="s">
        <v>728</v>
      </c>
      <c r="L1461" s="674" t="s">
        <v>1464</v>
      </c>
      <c r="M1461" s="674" t="s">
        <v>1465</v>
      </c>
      <c r="N1461" s="643" t="s">
        <v>1468</v>
      </c>
      <c r="O1461" s="618">
        <v>34400</v>
      </c>
      <c r="P1461" s="619">
        <f t="shared" si="29"/>
        <v>5710400</v>
      </c>
    </row>
    <row r="1462" spans="1:16" s="620" customFormat="1" ht="65.25" customHeight="1" x14ac:dyDescent="0.3">
      <c r="A1462" s="489"/>
      <c r="B1462" s="615">
        <v>38</v>
      </c>
      <c r="C1462" s="646" t="s">
        <v>1623</v>
      </c>
      <c r="D1462" s="622" t="s">
        <v>1325</v>
      </c>
      <c r="E1462" s="653" t="s">
        <v>1548</v>
      </c>
      <c r="F1462" s="617">
        <v>164</v>
      </c>
      <c r="G1462" s="639" t="s">
        <v>717</v>
      </c>
      <c r="H1462" s="625" t="s">
        <v>925</v>
      </c>
      <c r="I1462" s="639" t="s">
        <v>782</v>
      </c>
      <c r="J1462" s="652" t="s">
        <v>1551</v>
      </c>
      <c r="K1462" s="639" t="s">
        <v>728</v>
      </c>
      <c r="L1462" s="634">
        <v>7.068371</v>
      </c>
      <c r="M1462" s="634">
        <v>8.8117319999999992</v>
      </c>
      <c r="N1462" s="643" t="s">
        <v>1468</v>
      </c>
      <c r="O1462" s="618">
        <v>34400</v>
      </c>
      <c r="P1462" s="619">
        <f t="shared" si="29"/>
        <v>5641600</v>
      </c>
    </row>
    <row r="1463" spans="1:16" s="620" customFormat="1" ht="63.75" customHeight="1" x14ac:dyDescent="0.3">
      <c r="A1463" s="489"/>
      <c r="B1463" s="615">
        <v>39</v>
      </c>
      <c r="C1463" s="646" t="s">
        <v>1624</v>
      </c>
      <c r="D1463" s="622" t="s">
        <v>1328</v>
      </c>
      <c r="E1463" s="653" t="s">
        <v>1548</v>
      </c>
      <c r="F1463" s="617">
        <v>76</v>
      </c>
      <c r="G1463" s="639" t="s">
        <v>717</v>
      </c>
      <c r="H1463" s="625" t="s">
        <v>925</v>
      </c>
      <c r="I1463" s="639" t="s">
        <v>782</v>
      </c>
      <c r="J1463" s="652" t="s">
        <v>1551</v>
      </c>
      <c r="K1463" s="639" t="s">
        <v>728</v>
      </c>
      <c r="L1463" s="635">
        <v>6.8174200000000003</v>
      </c>
      <c r="M1463" s="635">
        <v>9.0188100000000002</v>
      </c>
      <c r="N1463" s="643" t="s">
        <v>1468</v>
      </c>
      <c r="O1463" s="618">
        <v>34400</v>
      </c>
      <c r="P1463" s="619">
        <f t="shared" si="29"/>
        <v>2614400</v>
      </c>
    </row>
    <row r="1464" spans="1:16" s="620" customFormat="1" ht="58.5" customHeight="1" x14ac:dyDescent="0.3">
      <c r="A1464" s="489"/>
      <c r="B1464" s="615">
        <v>40</v>
      </c>
      <c r="C1464" s="646" t="s">
        <v>1625</v>
      </c>
      <c r="D1464" s="622" t="s">
        <v>1327</v>
      </c>
      <c r="E1464" s="653" t="s">
        <v>1548</v>
      </c>
      <c r="F1464" s="617">
        <v>51</v>
      </c>
      <c r="G1464" s="639" t="s">
        <v>717</v>
      </c>
      <c r="H1464" s="625" t="s">
        <v>925</v>
      </c>
      <c r="I1464" s="639" t="s">
        <v>782</v>
      </c>
      <c r="J1464" s="652" t="s">
        <v>1551</v>
      </c>
      <c r="K1464" s="639" t="s">
        <v>728</v>
      </c>
      <c r="L1464" s="669">
        <v>6.7572219999999996</v>
      </c>
      <c r="M1464" s="670">
        <v>9.0336110000000005</v>
      </c>
      <c r="N1464" s="643" t="s">
        <v>1468</v>
      </c>
      <c r="O1464" s="618">
        <v>34400</v>
      </c>
      <c r="P1464" s="619">
        <f t="shared" si="29"/>
        <v>1754400</v>
      </c>
    </row>
    <row r="1465" spans="1:16" s="620" customFormat="1" ht="61.5" customHeight="1" x14ac:dyDescent="0.3">
      <c r="A1465" s="489"/>
      <c r="B1465" s="615">
        <v>41</v>
      </c>
      <c r="C1465" s="646" t="s">
        <v>1626</v>
      </c>
      <c r="D1465" s="631" t="s">
        <v>1336</v>
      </c>
      <c r="E1465" s="653" t="s">
        <v>1548</v>
      </c>
      <c r="F1465" s="617">
        <v>85</v>
      </c>
      <c r="G1465" s="639" t="s">
        <v>717</v>
      </c>
      <c r="H1465" s="626" t="s">
        <v>888</v>
      </c>
      <c r="I1465" s="639" t="s">
        <v>782</v>
      </c>
      <c r="J1465" s="652" t="s">
        <v>1551</v>
      </c>
      <c r="K1465" s="639" t="s">
        <v>728</v>
      </c>
      <c r="L1465" s="678">
        <v>7.4572200000000004</v>
      </c>
      <c r="M1465" s="679">
        <v>9.1937499999999996</v>
      </c>
      <c r="N1465" s="643" t="s">
        <v>1468</v>
      </c>
      <c r="O1465" s="618">
        <v>34400</v>
      </c>
      <c r="P1465" s="619">
        <f t="shared" si="29"/>
        <v>2924000</v>
      </c>
    </row>
    <row r="1466" spans="1:16" s="620" customFormat="1" ht="63.75" customHeight="1" x14ac:dyDescent="0.3">
      <c r="A1466" s="489"/>
      <c r="B1466" s="615">
        <v>42</v>
      </c>
      <c r="C1466" s="646" t="s">
        <v>1627</v>
      </c>
      <c r="D1466" s="631" t="s">
        <v>1337</v>
      </c>
      <c r="E1466" s="653" t="s">
        <v>1548</v>
      </c>
      <c r="F1466" s="617">
        <v>30</v>
      </c>
      <c r="G1466" s="639" t="s">
        <v>717</v>
      </c>
      <c r="H1466" s="626" t="s">
        <v>888</v>
      </c>
      <c r="I1466" s="639" t="s">
        <v>782</v>
      </c>
      <c r="J1466" s="652" t="s">
        <v>1551</v>
      </c>
      <c r="K1466" s="639" t="s">
        <v>728</v>
      </c>
      <c r="L1466" s="633" t="s">
        <v>1507</v>
      </c>
      <c r="M1466" s="633" t="s">
        <v>1508</v>
      </c>
      <c r="N1466" s="643" t="s">
        <v>1468</v>
      </c>
      <c r="O1466" s="618">
        <v>34400</v>
      </c>
      <c r="P1466" s="619">
        <f t="shared" si="29"/>
        <v>1032000</v>
      </c>
    </row>
    <row r="1467" spans="1:16" s="620" customFormat="1" ht="63.75" customHeight="1" x14ac:dyDescent="0.3">
      <c r="A1467" s="489"/>
      <c r="B1467" s="615">
        <v>43</v>
      </c>
      <c r="C1467" s="646" t="s">
        <v>1628</v>
      </c>
      <c r="D1467" s="631" t="s">
        <v>1338</v>
      </c>
      <c r="E1467" s="653" t="s">
        <v>1548</v>
      </c>
      <c r="F1467" s="617">
        <v>78</v>
      </c>
      <c r="G1467" s="639" t="s">
        <v>717</v>
      </c>
      <c r="H1467" s="626" t="s">
        <v>888</v>
      </c>
      <c r="I1467" s="639" t="s">
        <v>782</v>
      </c>
      <c r="J1467" s="652" t="s">
        <v>1551</v>
      </c>
      <c r="K1467" s="639" t="s">
        <v>728</v>
      </c>
      <c r="L1467" s="633" t="s">
        <v>1503</v>
      </c>
      <c r="M1467" s="633" t="s">
        <v>1504</v>
      </c>
      <c r="N1467" s="643" t="s">
        <v>1468</v>
      </c>
      <c r="O1467" s="618">
        <v>34400</v>
      </c>
      <c r="P1467" s="619">
        <f t="shared" si="29"/>
        <v>2683200</v>
      </c>
    </row>
    <row r="1468" spans="1:16" s="620" customFormat="1" ht="61.5" customHeight="1" x14ac:dyDescent="0.3">
      <c r="A1468" s="489"/>
      <c r="B1468" s="615">
        <v>44</v>
      </c>
      <c r="C1468" s="646" t="s">
        <v>1629</v>
      </c>
      <c r="D1468" s="673" t="s">
        <v>1502</v>
      </c>
      <c r="E1468" s="653" t="s">
        <v>1548</v>
      </c>
      <c r="F1468" s="617">
        <v>192</v>
      </c>
      <c r="G1468" s="639" t="s">
        <v>717</v>
      </c>
      <c r="H1468" s="626" t="s">
        <v>888</v>
      </c>
      <c r="I1468" s="639" t="s">
        <v>782</v>
      </c>
      <c r="J1468" s="652" t="s">
        <v>1551</v>
      </c>
      <c r="K1468" s="639" t="s">
        <v>728</v>
      </c>
      <c r="L1468" s="675" t="s">
        <v>1500</v>
      </c>
      <c r="M1468" s="675" t="s">
        <v>1501</v>
      </c>
      <c r="N1468" s="643" t="s">
        <v>1468</v>
      </c>
      <c r="O1468" s="618">
        <v>34400</v>
      </c>
      <c r="P1468" s="619">
        <f t="shared" si="29"/>
        <v>6604800</v>
      </c>
    </row>
    <row r="1469" spans="1:16" s="620" customFormat="1" ht="61.5" customHeight="1" x14ac:dyDescent="0.3">
      <c r="A1469" s="489"/>
      <c r="B1469" s="615">
        <v>45</v>
      </c>
      <c r="C1469" s="646" t="s">
        <v>1630</v>
      </c>
      <c r="D1469" s="631" t="s">
        <v>1340</v>
      </c>
      <c r="E1469" s="653" t="s">
        <v>1548</v>
      </c>
      <c r="F1469" s="617">
        <v>79</v>
      </c>
      <c r="G1469" s="639" t="s">
        <v>717</v>
      </c>
      <c r="H1469" s="626" t="s">
        <v>888</v>
      </c>
      <c r="I1469" s="639" t="s">
        <v>782</v>
      </c>
      <c r="J1469" s="652" t="s">
        <v>1551</v>
      </c>
      <c r="K1469" s="639" t="s">
        <v>728</v>
      </c>
      <c r="L1469" s="633" t="s">
        <v>1505</v>
      </c>
      <c r="M1469" s="633" t="s">
        <v>1506</v>
      </c>
      <c r="N1469" s="643" t="s">
        <v>1468</v>
      </c>
      <c r="O1469" s="618">
        <v>34400</v>
      </c>
      <c r="P1469" s="619">
        <f t="shared" si="29"/>
        <v>2717600</v>
      </c>
    </row>
    <row r="1470" spans="1:16" s="620" customFormat="1" ht="63.75" customHeight="1" x14ac:dyDescent="0.3">
      <c r="A1470" s="489"/>
      <c r="B1470" s="615">
        <v>46</v>
      </c>
      <c r="C1470" s="646" t="s">
        <v>1631</v>
      </c>
      <c r="D1470" s="616" t="s">
        <v>1343</v>
      </c>
      <c r="E1470" s="653" t="s">
        <v>1548</v>
      </c>
      <c r="F1470" s="617">
        <v>141</v>
      </c>
      <c r="G1470" s="639" t="s">
        <v>717</v>
      </c>
      <c r="H1470" s="626" t="s">
        <v>892</v>
      </c>
      <c r="I1470" s="639" t="s">
        <v>797</v>
      </c>
      <c r="J1470" s="652" t="s">
        <v>1551</v>
      </c>
      <c r="K1470" s="639" t="s">
        <v>728</v>
      </c>
      <c r="L1470" s="669">
        <v>7.3608719999999996</v>
      </c>
      <c r="M1470" s="670">
        <v>9.0418620000000001</v>
      </c>
      <c r="N1470" s="643" t="s">
        <v>1468</v>
      </c>
      <c r="O1470" s="618">
        <v>34400</v>
      </c>
      <c r="P1470" s="619">
        <f t="shared" si="29"/>
        <v>4850400</v>
      </c>
    </row>
    <row r="1471" spans="1:16" s="620" customFormat="1" ht="51.75" x14ac:dyDescent="0.3">
      <c r="A1471" s="489"/>
      <c r="B1471" s="615">
        <v>47</v>
      </c>
      <c r="C1471" s="646" t="s">
        <v>1632</v>
      </c>
      <c r="D1471" s="616" t="s">
        <v>1341</v>
      </c>
      <c r="E1471" s="653" t="s">
        <v>1548</v>
      </c>
      <c r="F1471" s="617">
        <v>238</v>
      </c>
      <c r="G1471" s="639" t="s">
        <v>717</v>
      </c>
      <c r="H1471" s="626" t="s">
        <v>892</v>
      </c>
      <c r="I1471" s="639" t="s">
        <v>797</v>
      </c>
      <c r="J1471" s="652" t="s">
        <v>1551</v>
      </c>
      <c r="K1471" s="639" t="s">
        <v>728</v>
      </c>
      <c r="L1471" s="671">
        <v>7.3019566999999999</v>
      </c>
      <c r="M1471" s="671">
        <v>8.7816817</v>
      </c>
      <c r="N1471" s="643" t="s">
        <v>1468</v>
      </c>
      <c r="O1471" s="618">
        <v>34400</v>
      </c>
      <c r="P1471" s="619">
        <f t="shared" si="29"/>
        <v>8187200</v>
      </c>
    </row>
    <row r="1472" spans="1:16" s="620" customFormat="1" ht="59.25" customHeight="1" x14ac:dyDescent="0.3">
      <c r="A1472" s="489"/>
      <c r="B1472" s="615">
        <v>48</v>
      </c>
      <c r="C1472" s="646" t="s">
        <v>1633</v>
      </c>
      <c r="D1472" s="616" t="s">
        <v>1414</v>
      </c>
      <c r="E1472" s="653" t="s">
        <v>1548</v>
      </c>
      <c r="F1472" s="617">
        <v>106</v>
      </c>
      <c r="G1472" s="639" t="s">
        <v>717</v>
      </c>
      <c r="H1472" s="626" t="s">
        <v>892</v>
      </c>
      <c r="I1472" s="639" t="s">
        <v>782</v>
      </c>
      <c r="J1472" s="652" t="s">
        <v>1551</v>
      </c>
      <c r="K1472" s="639" t="s">
        <v>728</v>
      </c>
      <c r="L1472" s="671">
        <v>7.4215499999999999</v>
      </c>
      <c r="M1472" s="671">
        <v>8.9688730000000003</v>
      </c>
      <c r="N1472" s="643" t="s">
        <v>1468</v>
      </c>
      <c r="O1472" s="618">
        <v>34400</v>
      </c>
      <c r="P1472" s="619">
        <f t="shared" si="29"/>
        <v>3646400</v>
      </c>
    </row>
    <row r="1473" spans="1:16" s="620" customFormat="1" ht="61.5" customHeight="1" x14ac:dyDescent="0.3">
      <c r="A1473" s="489"/>
      <c r="B1473" s="615">
        <v>49</v>
      </c>
      <c r="C1473" s="646" t="s">
        <v>1634</v>
      </c>
      <c r="D1473" s="616" t="s">
        <v>1342</v>
      </c>
      <c r="E1473" s="653" t="s">
        <v>1548</v>
      </c>
      <c r="F1473" s="617">
        <v>254</v>
      </c>
      <c r="G1473" s="639" t="s">
        <v>717</v>
      </c>
      <c r="H1473" s="626" t="s">
        <v>892</v>
      </c>
      <c r="I1473" s="639" t="s">
        <v>797</v>
      </c>
      <c r="J1473" s="652" t="s">
        <v>1551</v>
      </c>
      <c r="K1473" s="639" t="s">
        <v>728</v>
      </c>
      <c r="L1473" s="669">
        <v>7.3541667000000004</v>
      </c>
      <c r="M1473" s="670">
        <v>8.7857769999999995</v>
      </c>
      <c r="N1473" s="643" t="s">
        <v>1468</v>
      </c>
      <c r="O1473" s="618">
        <v>34400</v>
      </c>
      <c r="P1473" s="619">
        <f t="shared" si="29"/>
        <v>8737600</v>
      </c>
    </row>
    <row r="1474" spans="1:16" s="620" customFormat="1" ht="57" customHeight="1" x14ac:dyDescent="0.3">
      <c r="A1474" s="489"/>
      <c r="B1474" s="615">
        <v>50</v>
      </c>
      <c r="C1474" s="646" t="s">
        <v>1635</v>
      </c>
      <c r="D1474" s="616" t="s">
        <v>1344</v>
      </c>
      <c r="E1474" s="653" t="s">
        <v>1548</v>
      </c>
      <c r="F1474" s="617">
        <v>77</v>
      </c>
      <c r="G1474" s="639" t="s">
        <v>717</v>
      </c>
      <c r="H1474" s="626" t="s">
        <v>892</v>
      </c>
      <c r="I1474" s="639" t="s">
        <v>797</v>
      </c>
      <c r="J1474" s="652" t="s">
        <v>1551</v>
      </c>
      <c r="K1474" s="639" t="s">
        <v>728</v>
      </c>
      <c r="L1474" s="682">
        <v>7.2138400000000003</v>
      </c>
      <c r="M1474" s="682">
        <v>9.0230999999999995</v>
      </c>
      <c r="N1474" s="643" t="s">
        <v>1468</v>
      </c>
      <c r="O1474" s="618">
        <v>34400</v>
      </c>
      <c r="P1474" s="619">
        <f t="shared" si="29"/>
        <v>2648800</v>
      </c>
    </row>
    <row r="1475" spans="1:16" s="620" customFormat="1" ht="63" customHeight="1" x14ac:dyDescent="0.3">
      <c r="A1475" s="489"/>
      <c r="B1475" s="615">
        <v>51</v>
      </c>
      <c r="C1475" s="646" t="s">
        <v>1636</v>
      </c>
      <c r="D1475" s="622" t="s">
        <v>1345</v>
      </c>
      <c r="E1475" s="653" t="s">
        <v>1548</v>
      </c>
      <c r="F1475" s="617">
        <v>93</v>
      </c>
      <c r="G1475" s="639" t="s">
        <v>717</v>
      </c>
      <c r="H1475" s="626" t="s">
        <v>893</v>
      </c>
      <c r="I1475" s="639" t="s">
        <v>782</v>
      </c>
      <c r="J1475" s="652" t="s">
        <v>1551</v>
      </c>
      <c r="K1475" s="639" t="s">
        <v>728</v>
      </c>
      <c r="L1475" s="678">
        <v>7.7506159999999999</v>
      </c>
      <c r="M1475" s="679">
        <v>8.7482539999999993</v>
      </c>
      <c r="N1475" s="643" t="s">
        <v>1468</v>
      </c>
      <c r="O1475" s="618">
        <v>34400</v>
      </c>
      <c r="P1475" s="619">
        <f t="shared" si="29"/>
        <v>3199200</v>
      </c>
    </row>
    <row r="1476" spans="1:16" s="620" customFormat="1" ht="63" customHeight="1" x14ac:dyDescent="0.3">
      <c r="A1476" s="489"/>
      <c r="B1476" s="615">
        <v>52</v>
      </c>
      <c r="C1476" s="646" t="s">
        <v>1637</v>
      </c>
      <c r="D1476" s="622" t="s">
        <v>1346</v>
      </c>
      <c r="E1476" s="653" t="s">
        <v>1548</v>
      </c>
      <c r="F1476" s="617">
        <v>358</v>
      </c>
      <c r="G1476" s="639" t="s">
        <v>717</v>
      </c>
      <c r="H1476" s="626" t="s">
        <v>893</v>
      </c>
      <c r="I1476" s="639" t="s">
        <v>782</v>
      </c>
      <c r="J1476" s="652" t="s">
        <v>1551</v>
      </c>
      <c r="K1476" s="639" t="s">
        <v>728</v>
      </c>
      <c r="L1476" s="671">
        <v>7.82301</v>
      </c>
      <c r="M1476" s="671">
        <v>8.8593100000000007</v>
      </c>
      <c r="N1476" s="643" t="s">
        <v>1468</v>
      </c>
      <c r="O1476" s="618">
        <v>34400</v>
      </c>
      <c r="P1476" s="619">
        <f t="shared" si="29"/>
        <v>12315200</v>
      </c>
    </row>
    <row r="1477" spans="1:16" s="620" customFormat="1" ht="66" customHeight="1" x14ac:dyDescent="0.3">
      <c r="A1477" s="489"/>
      <c r="B1477" s="615">
        <v>53</v>
      </c>
      <c r="C1477" s="646" t="s">
        <v>1638</v>
      </c>
      <c r="D1477" s="622" t="s">
        <v>1349</v>
      </c>
      <c r="E1477" s="653" t="s">
        <v>1548</v>
      </c>
      <c r="F1477" s="617">
        <v>90</v>
      </c>
      <c r="G1477" s="639" t="s">
        <v>717</v>
      </c>
      <c r="H1477" s="626" t="s">
        <v>893</v>
      </c>
      <c r="I1477" s="639" t="s">
        <v>782</v>
      </c>
      <c r="J1477" s="652" t="s">
        <v>1551</v>
      </c>
      <c r="K1477" s="639" t="s">
        <v>728</v>
      </c>
      <c r="L1477" s="635">
        <v>8.0458099999999995</v>
      </c>
      <c r="M1477" s="635">
        <v>8.7782199999999992</v>
      </c>
      <c r="N1477" s="643" t="s">
        <v>1468</v>
      </c>
      <c r="O1477" s="618">
        <v>34400</v>
      </c>
      <c r="P1477" s="619">
        <f t="shared" si="29"/>
        <v>3096000</v>
      </c>
    </row>
    <row r="1478" spans="1:16" s="620" customFormat="1" ht="61.5" customHeight="1" x14ac:dyDescent="0.3">
      <c r="A1478" s="489"/>
      <c r="B1478" s="615">
        <v>54</v>
      </c>
      <c r="C1478" s="646" t="s">
        <v>1639</v>
      </c>
      <c r="D1478" s="622" t="s">
        <v>1347</v>
      </c>
      <c r="E1478" s="653" t="s">
        <v>1548</v>
      </c>
      <c r="F1478" s="617">
        <v>126</v>
      </c>
      <c r="G1478" s="639" t="s">
        <v>717</v>
      </c>
      <c r="H1478" s="626" t="s">
        <v>893</v>
      </c>
      <c r="I1478" s="639" t="s">
        <v>782</v>
      </c>
      <c r="J1478" s="652" t="s">
        <v>1551</v>
      </c>
      <c r="K1478" s="639" t="s">
        <v>728</v>
      </c>
      <c r="L1478" s="658">
        <v>7.9712560000000003</v>
      </c>
      <c r="M1478" s="658">
        <v>8.6346699999999998</v>
      </c>
      <c r="N1478" s="643" t="s">
        <v>1468</v>
      </c>
      <c r="O1478" s="618">
        <v>34400</v>
      </c>
      <c r="P1478" s="619">
        <f t="shared" si="29"/>
        <v>4334400</v>
      </c>
    </row>
    <row r="1479" spans="1:16" s="620" customFormat="1" ht="66" customHeight="1" x14ac:dyDescent="0.3">
      <c r="A1479" s="489"/>
      <c r="B1479" s="615">
        <v>55</v>
      </c>
      <c r="C1479" s="646" t="s">
        <v>1640</v>
      </c>
      <c r="D1479" s="622" t="s">
        <v>1348</v>
      </c>
      <c r="E1479" s="653" t="s">
        <v>1548</v>
      </c>
      <c r="F1479" s="617">
        <v>738</v>
      </c>
      <c r="G1479" s="639" t="s">
        <v>717</v>
      </c>
      <c r="H1479" s="626" t="s">
        <v>893</v>
      </c>
      <c r="I1479" s="639" t="s">
        <v>782</v>
      </c>
      <c r="J1479" s="652" t="s">
        <v>1551</v>
      </c>
      <c r="K1479" s="639" t="s">
        <v>728</v>
      </c>
      <c r="L1479" s="671">
        <v>7.9157099999999998</v>
      </c>
      <c r="M1479" s="671">
        <v>8.5919100000000004</v>
      </c>
      <c r="N1479" s="643" t="s">
        <v>1468</v>
      </c>
      <c r="O1479" s="618">
        <v>34400</v>
      </c>
      <c r="P1479" s="619">
        <f t="shared" si="29"/>
        <v>25387200</v>
      </c>
    </row>
    <row r="1480" spans="1:16" s="620" customFormat="1" ht="59.25" customHeight="1" x14ac:dyDescent="0.3">
      <c r="A1480" s="489"/>
      <c r="B1480" s="615">
        <v>56</v>
      </c>
      <c r="C1480" s="646" t="s">
        <v>1641</v>
      </c>
      <c r="D1480" s="616" t="s">
        <v>1350</v>
      </c>
      <c r="E1480" s="653" t="s">
        <v>1548</v>
      </c>
      <c r="F1480" s="617">
        <v>225</v>
      </c>
      <c r="G1480" s="639" t="s">
        <v>717</v>
      </c>
      <c r="H1480" s="627" t="s">
        <v>895</v>
      </c>
      <c r="I1480" s="639" t="s">
        <v>782</v>
      </c>
      <c r="J1480" s="652" t="s">
        <v>1551</v>
      </c>
      <c r="K1480" s="639" t="s">
        <v>728</v>
      </c>
      <c r="L1480" s="695" t="s">
        <v>1524</v>
      </c>
      <c r="M1480" s="695" t="s">
        <v>1525</v>
      </c>
      <c r="N1480" s="643" t="s">
        <v>1468</v>
      </c>
      <c r="O1480" s="618">
        <v>34400</v>
      </c>
      <c r="P1480" s="619">
        <f t="shared" si="29"/>
        <v>7740000</v>
      </c>
    </row>
    <row r="1481" spans="1:16" s="620" customFormat="1" ht="60.75" customHeight="1" x14ac:dyDescent="0.3">
      <c r="A1481" s="489"/>
      <c r="B1481" s="615">
        <v>57</v>
      </c>
      <c r="C1481" s="646" t="s">
        <v>1642</v>
      </c>
      <c r="D1481" s="616" t="s">
        <v>1423</v>
      </c>
      <c r="E1481" s="653" t="s">
        <v>1548</v>
      </c>
      <c r="F1481" s="617">
        <v>65</v>
      </c>
      <c r="G1481" s="639" t="s">
        <v>717</v>
      </c>
      <c r="H1481" s="627" t="s">
        <v>895</v>
      </c>
      <c r="I1481" s="639" t="s">
        <v>782</v>
      </c>
      <c r="J1481" s="652" t="s">
        <v>1551</v>
      </c>
      <c r="K1481" s="639" t="s">
        <v>728</v>
      </c>
      <c r="L1481" s="658">
        <v>7.5011729999999996</v>
      </c>
      <c r="M1481" s="658">
        <v>8.4424430000000008</v>
      </c>
      <c r="N1481" s="643" t="s">
        <v>1468</v>
      </c>
      <c r="O1481" s="618">
        <v>34400</v>
      </c>
      <c r="P1481" s="619">
        <f t="shared" si="29"/>
        <v>2236000</v>
      </c>
    </row>
    <row r="1482" spans="1:16" s="620" customFormat="1" ht="65.25" customHeight="1" x14ac:dyDescent="0.3">
      <c r="A1482" s="489"/>
      <c r="B1482" s="615">
        <v>58</v>
      </c>
      <c r="C1482" s="646" t="s">
        <v>1643</v>
      </c>
      <c r="D1482" s="616" t="s">
        <v>1351</v>
      </c>
      <c r="E1482" s="653" t="s">
        <v>1548</v>
      </c>
      <c r="F1482" s="617">
        <v>102</v>
      </c>
      <c r="G1482" s="639" t="s">
        <v>717</v>
      </c>
      <c r="H1482" s="627" t="s">
        <v>895</v>
      </c>
      <c r="I1482" s="639" t="s">
        <v>782</v>
      </c>
      <c r="J1482" s="652" t="s">
        <v>1551</v>
      </c>
      <c r="K1482" s="639" t="s">
        <v>728</v>
      </c>
      <c r="L1482" s="695" t="s">
        <v>1526</v>
      </c>
      <c r="M1482" s="695" t="s">
        <v>1527</v>
      </c>
      <c r="N1482" s="643" t="s">
        <v>1468</v>
      </c>
      <c r="O1482" s="618">
        <v>34400</v>
      </c>
      <c r="P1482" s="619">
        <f t="shared" si="29"/>
        <v>3508800</v>
      </c>
    </row>
    <row r="1483" spans="1:16" s="620" customFormat="1" ht="61.5" customHeight="1" x14ac:dyDescent="0.3">
      <c r="A1483" s="489"/>
      <c r="B1483" s="615">
        <v>59</v>
      </c>
      <c r="C1483" s="646" t="s">
        <v>1644</v>
      </c>
      <c r="D1483" s="616" t="s">
        <v>1352</v>
      </c>
      <c r="E1483" s="653" t="s">
        <v>1548</v>
      </c>
      <c r="F1483" s="617">
        <v>97</v>
      </c>
      <c r="G1483" s="639" t="s">
        <v>717</v>
      </c>
      <c r="H1483" s="627" t="s">
        <v>895</v>
      </c>
      <c r="I1483" s="639" t="s">
        <v>782</v>
      </c>
      <c r="J1483" s="652" t="s">
        <v>1551</v>
      </c>
      <c r="K1483" s="639" t="s">
        <v>728</v>
      </c>
      <c r="L1483" s="695" t="s">
        <v>1528</v>
      </c>
      <c r="M1483" s="695" t="s">
        <v>1529</v>
      </c>
      <c r="N1483" s="643" t="s">
        <v>1468</v>
      </c>
      <c r="O1483" s="618">
        <v>34400</v>
      </c>
      <c r="P1483" s="619">
        <f t="shared" si="29"/>
        <v>3336800</v>
      </c>
    </row>
    <row r="1484" spans="1:16" s="620" customFormat="1" ht="61.5" customHeight="1" x14ac:dyDescent="0.3">
      <c r="A1484" s="489"/>
      <c r="B1484" s="615">
        <v>60</v>
      </c>
      <c r="C1484" s="646" t="s">
        <v>1645</v>
      </c>
      <c r="D1484" s="616" t="s">
        <v>1357</v>
      </c>
      <c r="E1484" s="653" t="s">
        <v>1548</v>
      </c>
      <c r="F1484" s="617">
        <v>162</v>
      </c>
      <c r="G1484" s="639" t="s">
        <v>717</v>
      </c>
      <c r="H1484" s="627" t="s">
        <v>895</v>
      </c>
      <c r="I1484" s="639" t="s">
        <v>782</v>
      </c>
      <c r="J1484" s="652" t="s">
        <v>1551</v>
      </c>
      <c r="K1484" s="639" t="s">
        <v>728</v>
      </c>
      <c r="L1484" s="695" t="s">
        <v>1530</v>
      </c>
      <c r="M1484" s="695" t="s">
        <v>1531</v>
      </c>
      <c r="N1484" s="643" t="s">
        <v>1468</v>
      </c>
      <c r="O1484" s="618">
        <v>34400</v>
      </c>
      <c r="P1484" s="619">
        <f t="shared" si="29"/>
        <v>5572800</v>
      </c>
    </row>
    <row r="1485" spans="1:16" s="620" customFormat="1" ht="60.75" customHeight="1" x14ac:dyDescent="0.3">
      <c r="A1485" s="489"/>
      <c r="B1485" s="615">
        <v>61</v>
      </c>
      <c r="C1485" s="646" t="s">
        <v>1646</v>
      </c>
      <c r="D1485" s="631" t="s">
        <v>1353</v>
      </c>
      <c r="E1485" s="653" t="s">
        <v>1548</v>
      </c>
      <c r="F1485" s="617">
        <v>83</v>
      </c>
      <c r="G1485" s="639" t="s">
        <v>717</v>
      </c>
      <c r="H1485" s="625" t="s">
        <v>896</v>
      </c>
      <c r="I1485" s="639" t="s">
        <v>782</v>
      </c>
      <c r="J1485" s="652" t="s">
        <v>1551</v>
      </c>
      <c r="K1485" s="639" t="s">
        <v>728</v>
      </c>
      <c r="L1485" s="683" t="s">
        <v>1517</v>
      </c>
      <c r="M1485" s="633" t="s">
        <v>1518</v>
      </c>
      <c r="N1485" s="643" t="s">
        <v>1468</v>
      </c>
      <c r="O1485" s="618">
        <v>34400</v>
      </c>
      <c r="P1485" s="619">
        <f t="shared" si="29"/>
        <v>2855200</v>
      </c>
    </row>
    <row r="1486" spans="1:16" s="620" customFormat="1" ht="65.25" customHeight="1" x14ac:dyDescent="0.3">
      <c r="A1486" s="489"/>
      <c r="B1486" s="615">
        <v>62</v>
      </c>
      <c r="C1486" s="646" t="s">
        <v>1647</v>
      </c>
      <c r="D1486" s="622" t="s">
        <v>1415</v>
      </c>
      <c r="E1486" s="653" t="s">
        <v>1548</v>
      </c>
      <c r="F1486" s="617">
        <v>172</v>
      </c>
      <c r="G1486" s="639" t="s">
        <v>717</v>
      </c>
      <c r="H1486" s="625" t="s">
        <v>896</v>
      </c>
      <c r="I1486" s="639" t="s">
        <v>782</v>
      </c>
      <c r="J1486" s="652" t="s">
        <v>1551</v>
      </c>
      <c r="K1486" s="639" t="s">
        <v>728</v>
      </c>
      <c r="L1486" s="684">
        <v>7.5761000000000003</v>
      </c>
      <c r="M1486" s="640">
        <v>8.1946999999999992</v>
      </c>
      <c r="N1486" s="643" t="s">
        <v>1468</v>
      </c>
      <c r="O1486" s="618">
        <v>34400</v>
      </c>
      <c r="P1486" s="619">
        <f t="shared" si="29"/>
        <v>5916800</v>
      </c>
    </row>
    <row r="1487" spans="1:16" s="620" customFormat="1" ht="51.75" x14ac:dyDescent="0.3">
      <c r="A1487" s="489"/>
      <c r="B1487" s="615">
        <v>63</v>
      </c>
      <c r="C1487" s="646" t="s">
        <v>1648</v>
      </c>
      <c r="D1487" s="631" t="s">
        <v>1354</v>
      </c>
      <c r="E1487" s="653" t="s">
        <v>1548</v>
      </c>
      <c r="F1487" s="617">
        <v>117</v>
      </c>
      <c r="G1487" s="639" t="s">
        <v>717</v>
      </c>
      <c r="H1487" s="625" t="s">
        <v>896</v>
      </c>
      <c r="I1487" s="639" t="s">
        <v>782</v>
      </c>
      <c r="J1487" s="652" t="s">
        <v>1551</v>
      </c>
      <c r="K1487" s="639" t="s">
        <v>728</v>
      </c>
      <c r="L1487" s="684">
        <v>7.5761000000000003</v>
      </c>
      <c r="M1487" s="640">
        <v>8.1946999999999992</v>
      </c>
      <c r="N1487" s="643" t="s">
        <v>1468</v>
      </c>
      <c r="O1487" s="618">
        <v>34400</v>
      </c>
      <c r="P1487" s="619">
        <f t="shared" si="29"/>
        <v>4024800</v>
      </c>
    </row>
    <row r="1488" spans="1:16" s="620" customFormat="1" ht="61.5" customHeight="1" x14ac:dyDescent="0.3">
      <c r="A1488" s="489"/>
      <c r="B1488" s="615">
        <v>64</v>
      </c>
      <c r="C1488" s="646" t="s">
        <v>1649</v>
      </c>
      <c r="D1488" s="631" t="s">
        <v>1355</v>
      </c>
      <c r="E1488" s="653" t="s">
        <v>1548</v>
      </c>
      <c r="F1488" s="617">
        <v>468</v>
      </c>
      <c r="G1488" s="639" t="s">
        <v>717</v>
      </c>
      <c r="H1488" s="625" t="s">
        <v>896</v>
      </c>
      <c r="I1488" s="639" t="s">
        <v>782</v>
      </c>
      <c r="J1488" s="652" t="s">
        <v>1551</v>
      </c>
      <c r="K1488" s="639" t="s">
        <v>728</v>
      </c>
      <c r="L1488" s="684">
        <v>7.4157609999999998</v>
      </c>
      <c r="M1488" s="640">
        <v>8.1519469999999998</v>
      </c>
      <c r="N1488" s="643" t="s">
        <v>1468</v>
      </c>
      <c r="O1488" s="618">
        <v>34400</v>
      </c>
      <c r="P1488" s="619">
        <f t="shared" si="29"/>
        <v>16099200</v>
      </c>
    </row>
    <row r="1489" spans="1:16" s="620" customFormat="1" ht="63" customHeight="1" x14ac:dyDescent="0.3">
      <c r="A1489" s="489"/>
      <c r="B1489" s="615">
        <v>65</v>
      </c>
      <c r="C1489" s="646" t="s">
        <v>1650</v>
      </c>
      <c r="D1489" s="631" t="s">
        <v>1356</v>
      </c>
      <c r="E1489" s="653" t="s">
        <v>1548</v>
      </c>
      <c r="F1489" s="617">
        <v>209</v>
      </c>
      <c r="G1489" s="639" t="s">
        <v>717</v>
      </c>
      <c r="H1489" s="625" t="s">
        <v>896</v>
      </c>
      <c r="I1489" s="639" t="s">
        <v>782</v>
      </c>
      <c r="J1489" s="652" t="s">
        <v>1551</v>
      </c>
      <c r="K1489" s="639" t="s">
        <v>728</v>
      </c>
      <c r="L1489" s="671">
        <v>7.1284001000000004</v>
      </c>
      <c r="M1489" s="671">
        <v>8.1361001000000002</v>
      </c>
      <c r="N1489" s="643" t="s">
        <v>1468</v>
      </c>
      <c r="O1489" s="618">
        <v>34400</v>
      </c>
      <c r="P1489" s="619">
        <f t="shared" ref="P1489:P1725" si="30">F1489*O1489</f>
        <v>7189600</v>
      </c>
    </row>
    <row r="1490" spans="1:16" s="620" customFormat="1" ht="63.75" customHeight="1" x14ac:dyDescent="0.3">
      <c r="A1490" s="489"/>
      <c r="B1490" s="615">
        <v>66</v>
      </c>
      <c r="C1490" s="646" t="s">
        <v>1651</v>
      </c>
      <c r="D1490" s="622" t="s">
        <v>1358</v>
      </c>
      <c r="E1490" s="653" t="s">
        <v>1548</v>
      </c>
      <c r="F1490" s="617">
        <v>79</v>
      </c>
      <c r="G1490" s="639" t="s">
        <v>717</v>
      </c>
      <c r="H1490" s="625" t="s">
        <v>987</v>
      </c>
      <c r="I1490" s="434" t="s">
        <v>797</v>
      </c>
      <c r="J1490" s="652" t="s">
        <v>1551</v>
      </c>
      <c r="K1490" s="639" t="s">
        <v>728</v>
      </c>
      <c r="L1490" s="635">
        <v>7.6917730000000004</v>
      </c>
      <c r="M1490" s="635">
        <v>8.5183850000000003</v>
      </c>
      <c r="N1490" s="643" t="s">
        <v>1468</v>
      </c>
      <c r="O1490" s="618">
        <v>34400</v>
      </c>
      <c r="P1490" s="619">
        <f t="shared" si="30"/>
        <v>2717600</v>
      </c>
    </row>
    <row r="1491" spans="1:16" s="620" customFormat="1" ht="65.25" customHeight="1" x14ac:dyDescent="0.3">
      <c r="A1491" s="489"/>
      <c r="B1491" s="615">
        <v>67</v>
      </c>
      <c r="C1491" s="646" t="s">
        <v>1652</v>
      </c>
      <c r="D1491" s="622" t="s">
        <v>1359</v>
      </c>
      <c r="E1491" s="653" t="s">
        <v>1548</v>
      </c>
      <c r="F1491" s="617">
        <v>610</v>
      </c>
      <c r="G1491" s="639" t="s">
        <v>717</v>
      </c>
      <c r="H1491" s="625" t="s">
        <v>987</v>
      </c>
      <c r="I1491" s="434" t="s">
        <v>797</v>
      </c>
      <c r="J1491" s="652" t="s">
        <v>1551</v>
      </c>
      <c r="K1491" s="639" t="s">
        <v>728</v>
      </c>
      <c r="L1491" s="635">
        <v>7.7019120000000001</v>
      </c>
      <c r="M1491" s="635">
        <v>8.4939129999999992</v>
      </c>
      <c r="N1491" s="643" t="s">
        <v>1468</v>
      </c>
      <c r="O1491" s="618">
        <v>34400</v>
      </c>
      <c r="P1491" s="619">
        <f t="shared" si="30"/>
        <v>20984000</v>
      </c>
    </row>
    <row r="1492" spans="1:16" s="620" customFormat="1" ht="59.25" customHeight="1" x14ac:dyDescent="0.3">
      <c r="A1492" s="489"/>
      <c r="B1492" s="615">
        <v>68</v>
      </c>
      <c r="C1492" s="646" t="s">
        <v>1653</v>
      </c>
      <c r="D1492" s="622" t="s">
        <v>1360</v>
      </c>
      <c r="E1492" s="653" t="s">
        <v>1548</v>
      </c>
      <c r="F1492" s="617">
        <v>438</v>
      </c>
      <c r="G1492" s="639" t="s">
        <v>717</v>
      </c>
      <c r="H1492" s="625" t="s">
        <v>987</v>
      </c>
      <c r="I1492" s="434" t="s">
        <v>797</v>
      </c>
      <c r="J1492" s="652" t="s">
        <v>1551</v>
      </c>
      <c r="K1492" s="639" t="s">
        <v>728</v>
      </c>
      <c r="L1492" s="634">
        <v>7.7327000000000004</v>
      </c>
      <c r="M1492" s="637">
        <v>8.5068999999999999</v>
      </c>
      <c r="N1492" s="643" t="s">
        <v>1468</v>
      </c>
      <c r="O1492" s="618">
        <v>34400</v>
      </c>
      <c r="P1492" s="619">
        <f t="shared" si="30"/>
        <v>15067200</v>
      </c>
    </row>
    <row r="1493" spans="1:16" s="620" customFormat="1" ht="59.25" customHeight="1" x14ac:dyDescent="0.3">
      <c r="A1493" s="489"/>
      <c r="B1493" s="615">
        <v>69</v>
      </c>
      <c r="C1493" s="646" t="s">
        <v>1654</v>
      </c>
      <c r="D1493" s="622" t="s">
        <v>1361</v>
      </c>
      <c r="E1493" s="653" t="s">
        <v>1548</v>
      </c>
      <c r="F1493" s="617">
        <v>128</v>
      </c>
      <c r="G1493" s="639" t="s">
        <v>717</v>
      </c>
      <c r="H1493" s="625" t="s">
        <v>987</v>
      </c>
      <c r="I1493" s="434" t="s">
        <v>797</v>
      </c>
      <c r="J1493" s="652" t="s">
        <v>1551</v>
      </c>
      <c r="K1493" s="639" t="s">
        <v>728</v>
      </c>
      <c r="L1493" s="658">
        <v>7.7390600000000003</v>
      </c>
      <c r="M1493" s="658">
        <v>8.5202799999999996</v>
      </c>
      <c r="N1493" s="643" t="s">
        <v>1468</v>
      </c>
      <c r="O1493" s="618">
        <v>34400</v>
      </c>
      <c r="P1493" s="619">
        <f t="shared" si="30"/>
        <v>4403200</v>
      </c>
    </row>
    <row r="1494" spans="1:16" s="620" customFormat="1" ht="67.5" customHeight="1" x14ac:dyDescent="0.3">
      <c r="A1494" s="489"/>
      <c r="B1494" s="615">
        <v>70</v>
      </c>
      <c r="C1494" s="646" t="s">
        <v>1655</v>
      </c>
      <c r="D1494" s="622" t="s">
        <v>1362</v>
      </c>
      <c r="E1494" s="653" t="s">
        <v>1548</v>
      </c>
      <c r="F1494" s="617">
        <v>449</v>
      </c>
      <c r="G1494" s="639" t="s">
        <v>717</v>
      </c>
      <c r="H1494" s="625" t="s">
        <v>987</v>
      </c>
      <c r="I1494" s="434" t="s">
        <v>797</v>
      </c>
      <c r="J1494" s="652" t="s">
        <v>1551</v>
      </c>
      <c r="K1494" s="639" t="s">
        <v>728</v>
      </c>
      <c r="L1494" s="671">
        <v>7.2700100000000001</v>
      </c>
      <c r="M1494" s="626">
        <v>8.8500099999999993</v>
      </c>
      <c r="N1494" s="643" t="s">
        <v>1468</v>
      </c>
      <c r="O1494" s="618">
        <v>34400</v>
      </c>
      <c r="P1494" s="619">
        <f t="shared" si="30"/>
        <v>15445600</v>
      </c>
    </row>
    <row r="1495" spans="1:16" s="620" customFormat="1" ht="51.75" x14ac:dyDescent="0.3">
      <c r="A1495" s="489"/>
      <c r="B1495" s="615">
        <v>71</v>
      </c>
      <c r="C1495" s="646" t="s">
        <v>1656</v>
      </c>
      <c r="D1495" s="622" t="s">
        <v>1363</v>
      </c>
      <c r="E1495" s="653" t="s">
        <v>1548</v>
      </c>
      <c r="F1495" s="617">
        <v>322</v>
      </c>
      <c r="G1495" s="639" t="s">
        <v>717</v>
      </c>
      <c r="H1495" s="625" t="s">
        <v>987</v>
      </c>
      <c r="I1495" s="434" t="s">
        <v>797</v>
      </c>
      <c r="J1495" s="652" t="s">
        <v>1551</v>
      </c>
      <c r="K1495" s="639" t="s">
        <v>728</v>
      </c>
      <c r="L1495" s="671">
        <v>7.7563899999999997</v>
      </c>
      <c r="M1495" s="626">
        <v>8.5500000000000007</v>
      </c>
      <c r="N1495" s="643" t="s">
        <v>1468</v>
      </c>
      <c r="O1495" s="618">
        <v>34400</v>
      </c>
      <c r="P1495" s="619">
        <f t="shared" si="30"/>
        <v>11076800</v>
      </c>
    </row>
    <row r="1496" spans="1:16" s="620" customFormat="1" ht="51.75" x14ac:dyDescent="0.3">
      <c r="A1496" s="489"/>
      <c r="B1496" s="615">
        <v>72</v>
      </c>
      <c r="C1496" s="646" t="s">
        <v>1657</v>
      </c>
      <c r="D1496" s="622" t="s">
        <v>1364</v>
      </c>
      <c r="E1496" s="653" t="s">
        <v>1548</v>
      </c>
      <c r="F1496" s="617">
        <v>170</v>
      </c>
      <c r="G1496" s="639" t="s">
        <v>717</v>
      </c>
      <c r="H1496" s="625" t="s">
        <v>987</v>
      </c>
      <c r="I1496" s="434" t="s">
        <v>797</v>
      </c>
      <c r="J1496" s="652" t="s">
        <v>1551</v>
      </c>
      <c r="K1496" s="639" t="s">
        <v>728</v>
      </c>
      <c r="L1496" s="671">
        <v>8.2197999999999993</v>
      </c>
      <c r="M1496" s="626">
        <v>8.9053000000000004</v>
      </c>
      <c r="N1496" s="643" t="s">
        <v>1468</v>
      </c>
      <c r="O1496" s="618">
        <v>34400</v>
      </c>
      <c r="P1496" s="619">
        <f t="shared" si="30"/>
        <v>5848000</v>
      </c>
    </row>
    <row r="1497" spans="1:16" s="620" customFormat="1" ht="51.75" x14ac:dyDescent="0.3">
      <c r="A1497" s="489"/>
      <c r="B1497" s="615">
        <v>73</v>
      </c>
      <c r="C1497" s="646" t="s">
        <v>1658</v>
      </c>
      <c r="D1497" s="622" t="s">
        <v>1365</v>
      </c>
      <c r="E1497" s="653" t="s">
        <v>1548</v>
      </c>
      <c r="F1497" s="617">
        <v>67</v>
      </c>
      <c r="G1497" s="639" t="s">
        <v>717</v>
      </c>
      <c r="H1497" s="625" t="s">
        <v>987</v>
      </c>
      <c r="I1497" s="434" t="s">
        <v>797</v>
      </c>
      <c r="J1497" s="652" t="s">
        <v>1551</v>
      </c>
      <c r="K1497" s="639" t="s">
        <v>728</v>
      </c>
      <c r="L1497" s="658">
        <v>7.6770880000000004</v>
      </c>
      <c r="M1497" s="658">
        <v>8.5698849999999993</v>
      </c>
      <c r="N1497" s="643" t="s">
        <v>1468</v>
      </c>
      <c r="O1497" s="618">
        <v>34400</v>
      </c>
      <c r="P1497" s="619">
        <f t="shared" si="30"/>
        <v>2304800</v>
      </c>
    </row>
    <row r="1498" spans="1:16" s="620" customFormat="1" ht="51.75" x14ac:dyDescent="0.3">
      <c r="A1498" s="489"/>
      <c r="B1498" s="615">
        <v>74</v>
      </c>
      <c r="C1498" s="646" t="s">
        <v>1659</v>
      </c>
      <c r="D1498" s="622" t="s">
        <v>1366</v>
      </c>
      <c r="E1498" s="653" t="s">
        <v>1548</v>
      </c>
      <c r="F1498" s="617">
        <v>187</v>
      </c>
      <c r="G1498" s="639" t="s">
        <v>717</v>
      </c>
      <c r="H1498" s="625" t="s">
        <v>987</v>
      </c>
      <c r="I1498" s="434" t="s">
        <v>797</v>
      </c>
      <c r="J1498" s="652" t="s">
        <v>1551</v>
      </c>
      <c r="K1498" s="639" t="s">
        <v>728</v>
      </c>
      <c r="L1498" s="671">
        <v>8.2074999999999996</v>
      </c>
      <c r="M1498" s="671">
        <v>8.9480000000000004</v>
      </c>
      <c r="N1498" s="643" t="s">
        <v>1468</v>
      </c>
      <c r="O1498" s="618">
        <v>34400</v>
      </c>
      <c r="P1498" s="619">
        <f t="shared" si="30"/>
        <v>6432800</v>
      </c>
    </row>
    <row r="1499" spans="1:16" s="620" customFormat="1" ht="51.75" x14ac:dyDescent="0.3">
      <c r="A1499" s="489"/>
      <c r="B1499" s="615">
        <v>75</v>
      </c>
      <c r="C1499" s="646" t="s">
        <v>1660</v>
      </c>
      <c r="D1499" s="622" t="s">
        <v>1416</v>
      </c>
      <c r="E1499" s="653" t="s">
        <v>1548</v>
      </c>
      <c r="F1499" s="617">
        <v>309</v>
      </c>
      <c r="G1499" s="639" t="s">
        <v>717</v>
      </c>
      <c r="H1499" s="625" t="s">
        <v>987</v>
      </c>
      <c r="I1499" s="434" t="s">
        <v>797</v>
      </c>
      <c r="J1499" s="652" t="s">
        <v>1551</v>
      </c>
      <c r="K1499" s="639" t="s">
        <v>728</v>
      </c>
      <c r="L1499" s="671">
        <v>7.6717110999999996</v>
      </c>
      <c r="M1499" s="671">
        <v>9.5189100999999994</v>
      </c>
      <c r="N1499" s="643" t="s">
        <v>1468</v>
      </c>
      <c r="O1499" s="618">
        <v>34400</v>
      </c>
      <c r="P1499" s="619">
        <f t="shared" si="30"/>
        <v>10629600</v>
      </c>
    </row>
    <row r="1500" spans="1:16" s="620" customFormat="1" ht="51.75" x14ac:dyDescent="0.3">
      <c r="A1500" s="489"/>
      <c r="B1500" s="615">
        <v>76</v>
      </c>
      <c r="C1500" s="646" t="s">
        <v>1661</v>
      </c>
      <c r="D1500" s="631" t="s">
        <v>1367</v>
      </c>
      <c r="E1500" s="653" t="s">
        <v>1548</v>
      </c>
      <c r="F1500" s="617">
        <v>26</v>
      </c>
      <c r="G1500" s="639" t="s">
        <v>717</v>
      </c>
      <c r="H1500" s="626" t="s">
        <v>1425</v>
      </c>
      <c r="I1500" s="434" t="s">
        <v>782</v>
      </c>
      <c r="J1500" s="652" t="s">
        <v>1551</v>
      </c>
      <c r="K1500" s="639" t="s">
        <v>728</v>
      </c>
      <c r="L1500" s="658">
        <v>7.6572810000000002</v>
      </c>
      <c r="M1500" s="658">
        <v>8.8684820000000002</v>
      </c>
      <c r="N1500" s="643" t="s">
        <v>1468</v>
      </c>
      <c r="O1500" s="618">
        <v>34400</v>
      </c>
      <c r="P1500" s="619">
        <f t="shared" si="30"/>
        <v>894400</v>
      </c>
    </row>
    <row r="1501" spans="1:16" s="620" customFormat="1" ht="51.75" x14ac:dyDescent="0.3">
      <c r="A1501" s="489"/>
      <c r="B1501" s="615">
        <v>77</v>
      </c>
      <c r="C1501" s="646" t="s">
        <v>1662</v>
      </c>
      <c r="D1501" s="631" t="s">
        <v>1369</v>
      </c>
      <c r="E1501" s="653" t="s">
        <v>1548</v>
      </c>
      <c r="F1501" s="617">
        <v>234</v>
      </c>
      <c r="G1501" s="639" t="s">
        <v>717</v>
      </c>
      <c r="H1501" s="626" t="s">
        <v>1425</v>
      </c>
      <c r="I1501" s="434" t="s">
        <v>782</v>
      </c>
      <c r="J1501" s="652" t="s">
        <v>1551</v>
      </c>
      <c r="K1501" s="639" t="s">
        <v>728</v>
      </c>
      <c r="L1501" s="685">
        <v>7.6951830000000001</v>
      </c>
      <c r="M1501" s="686">
        <v>8.8014375000000005</v>
      </c>
      <c r="N1501" s="643" t="s">
        <v>1468</v>
      </c>
      <c r="O1501" s="618">
        <v>34400</v>
      </c>
      <c r="P1501" s="619">
        <f t="shared" si="30"/>
        <v>8049600</v>
      </c>
    </row>
    <row r="1502" spans="1:16" s="620" customFormat="1" ht="51.75" x14ac:dyDescent="0.3">
      <c r="A1502" s="489"/>
      <c r="B1502" s="615">
        <v>78</v>
      </c>
      <c r="C1502" s="646" t="s">
        <v>1663</v>
      </c>
      <c r="D1502" s="622" t="s">
        <v>1370</v>
      </c>
      <c r="E1502" s="653" t="s">
        <v>1548</v>
      </c>
      <c r="F1502" s="617">
        <v>153</v>
      </c>
      <c r="G1502" s="639" t="s">
        <v>717</v>
      </c>
      <c r="H1502" s="626" t="s">
        <v>1425</v>
      </c>
      <c r="I1502" s="434" t="s">
        <v>782</v>
      </c>
      <c r="J1502" s="652" t="s">
        <v>1551</v>
      </c>
      <c r="K1502" s="639" t="s">
        <v>728</v>
      </c>
      <c r="L1502" s="687">
        <v>7.5599414999999999</v>
      </c>
      <c r="M1502" s="688">
        <v>8.8847080999999992</v>
      </c>
      <c r="N1502" s="643" t="s">
        <v>1468</v>
      </c>
      <c r="O1502" s="618">
        <v>34400</v>
      </c>
      <c r="P1502" s="619">
        <f t="shared" si="30"/>
        <v>5263200</v>
      </c>
    </row>
    <row r="1503" spans="1:16" s="620" customFormat="1" ht="51.75" x14ac:dyDescent="0.3">
      <c r="A1503" s="489"/>
      <c r="B1503" s="615">
        <v>79</v>
      </c>
      <c r="C1503" s="646" t="s">
        <v>1664</v>
      </c>
      <c r="D1503" s="631" t="s">
        <v>1368</v>
      </c>
      <c r="E1503" s="653" t="s">
        <v>1548</v>
      </c>
      <c r="F1503" s="617">
        <v>57</v>
      </c>
      <c r="G1503" s="639" t="s">
        <v>717</v>
      </c>
      <c r="H1503" s="626" t="s">
        <v>1425</v>
      </c>
      <c r="I1503" s="434" t="s">
        <v>782</v>
      </c>
      <c r="J1503" s="652" t="s">
        <v>1551</v>
      </c>
      <c r="K1503" s="639" t="s">
        <v>728</v>
      </c>
      <c r="L1503" s="689">
        <v>7.4245999999999999</v>
      </c>
      <c r="M1503" s="688">
        <v>8.4712099999999992</v>
      </c>
      <c r="N1503" s="643" t="s">
        <v>1468</v>
      </c>
      <c r="O1503" s="618">
        <v>34400</v>
      </c>
      <c r="P1503" s="619">
        <f t="shared" si="30"/>
        <v>1960800</v>
      </c>
    </row>
    <row r="1504" spans="1:16" s="620" customFormat="1" ht="51.75" x14ac:dyDescent="0.3">
      <c r="A1504" s="489"/>
      <c r="B1504" s="615">
        <v>80</v>
      </c>
      <c r="C1504" s="646" t="s">
        <v>1665</v>
      </c>
      <c r="D1504" s="631" t="s">
        <v>1371</v>
      </c>
      <c r="E1504" s="653" t="s">
        <v>1548</v>
      </c>
      <c r="F1504" s="617">
        <v>196</v>
      </c>
      <c r="G1504" s="639" t="s">
        <v>717</v>
      </c>
      <c r="H1504" s="626" t="s">
        <v>1425</v>
      </c>
      <c r="I1504" s="434" t="s">
        <v>782</v>
      </c>
      <c r="J1504" s="652" t="s">
        <v>1551</v>
      </c>
      <c r="K1504" s="639" t="s">
        <v>728</v>
      </c>
      <c r="L1504" s="671">
        <v>7.4054000000000002</v>
      </c>
      <c r="M1504" s="626">
        <v>8.4960000000000004</v>
      </c>
      <c r="N1504" s="643" t="s">
        <v>1468</v>
      </c>
      <c r="O1504" s="618">
        <v>34400</v>
      </c>
      <c r="P1504" s="619">
        <f t="shared" si="30"/>
        <v>6742400</v>
      </c>
    </row>
    <row r="1505" spans="1:16" s="620" customFormat="1" ht="60.75" customHeight="1" x14ac:dyDescent="0.3">
      <c r="A1505" s="489"/>
      <c r="B1505" s="615">
        <v>81</v>
      </c>
      <c r="C1505" s="646" t="s">
        <v>1666</v>
      </c>
      <c r="D1505" s="622" t="s">
        <v>1372</v>
      </c>
      <c r="E1505" s="653" t="s">
        <v>1548</v>
      </c>
      <c r="F1505" s="617">
        <v>84</v>
      </c>
      <c r="G1505" s="639" t="s">
        <v>717</v>
      </c>
      <c r="H1505" s="626" t="s">
        <v>891</v>
      </c>
      <c r="I1505" s="434" t="s">
        <v>782</v>
      </c>
      <c r="J1505" s="652" t="s">
        <v>1551</v>
      </c>
      <c r="K1505" s="639" t="s">
        <v>728</v>
      </c>
      <c r="L1505" s="671">
        <v>6.7994000000000003</v>
      </c>
      <c r="M1505" s="671">
        <v>7.9757999999999996</v>
      </c>
      <c r="N1505" s="643" t="s">
        <v>1468</v>
      </c>
      <c r="O1505" s="618">
        <v>34400</v>
      </c>
      <c r="P1505" s="619">
        <f t="shared" si="30"/>
        <v>2889600</v>
      </c>
    </row>
    <row r="1506" spans="1:16" s="620" customFormat="1" ht="51.75" x14ac:dyDescent="0.3">
      <c r="A1506" s="489"/>
      <c r="B1506" s="615">
        <v>82</v>
      </c>
      <c r="C1506" s="646" t="s">
        <v>1667</v>
      </c>
      <c r="D1506" s="622" t="s">
        <v>1373</v>
      </c>
      <c r="E1506" s="653" t="s">
        <v>1548</v>
      </c>
      <c r="F1506" s="617">
        <v>186</v>
      </c>
      <c r="G1506" s="639" t="s">
        <v>717</v>
      </c>
      <c r="H1506" s="626" t="s">
        <v>891</v>
      </c>
      <c r="I1506" s="434" t="s">
        <v>782</v>
      </c>
      <c r="J1506" s="652" t="s">
        <v>1551</v>
      </c>
      <c r="K1506" s="639" t="s">
        <v>728</v>
      </c>
      <c r="L1506" s="700">
        <v>6.7933500000000002</v>
      </c>
      <c r="M1506" s="700">
        <v>8.1077600000000007</v>
      </c>
      <c r="N1506" s="643" t="s">
        <v>1468</v>
      </c>
      <c r="O1506" s="618">
        <v>34400</v>
      </c>
      <c r="P1506" s="619">
        <f t="shared" si="30"/>
        <v>6398400</v>
      </c>
    </row>
    <row r="1507" spans="1:16" s="620" customFormat="1" ht="60.75" customHeight="1" x14ac:dyDescent="0.3">
      <c r="A1507" s="489"/>
      <c r="B1507" s="615">
        <v>83</v>
      </c>
      <c r="C1507" s="646" t="s">
        <v>1668</v>
      </c>
      <c r="D1507" s="622" t="s">
        <v>1374</v>
      </c>
      <c r="E1507" s="653" t="s">
        <v>1548</v>
      </c>
      <c r="F1507" s="617">
        <v>210</v>
      </c>
      <c r="G1507" s="639" t="s">
        <v>717</v>
      </c>
      <c r="H1507" s="626" t="s">
        <v>891</v>
      </c>
      <c r="I1507" s="434" t="s">
        <v>782</v>
      </c>
      <c r="J1507" s="652" t="s">
        <v>1551</v>
      </c>
      <c r="K1507" s="639" t="s">
        <v>728</v>
      </c>
      <c r="L1507" s="671">
        <v>6.8552999999999997</v>
      </c>
      <c r="M1507" s="671">
        <v>8.0411000000000001</v>
      </c>
      <c r="N1507" s="643" t="s">
        <v>1468</v>
      </c>
      <c r="O1507" s="618">
        <v>34400</v>
      </c>
      <c r="P1507" s="619">
        <f t="shared" si="30"/>
        <v>7224000</v>
      </c>
    </row>
    <row r="1508" spans="1:16" s="620" customFormat="1" ht="51.75" x14ac:dyDescent="0.3">
      <c r="A1508" s="489"/>
      <c r="B1508" s="615">
        <v>84</v>
      </c>
      <c r="C1508" s="646" t="s">
        <v>1669</v>
      </c>
      <c r="D1508" s="622" t="s">
        <v>1375</v>
      </c>
      <c r="E1508" s="653" t="s">
        <v>1548</v>
      </c>
      <c r="F1508" s="617">
        <v>231</v>
      </c>
      <c r="G1508" s="639" t="s">
        <v>717</v>
      </c>
      <c r="H1508" s="626" t="s">
        <v>891</v>
      </c>
      <c r="I1508" s="434" t="s">
        <v>782</v>
      </c>
      <c r="J1508" s="652" t="s">
        <v>1551</v>
      </c>
      <c r="K1508" s="639" t="s">
        <v>728</v>
      </c>
      <c r="L1508" s="658">
        <v>6.7738500000000004</v>
      </c>
      <c r="M1508" s="658">
        <v>8.05776</v>
      </c>
      <c r="N1508" s="643" t="s">
        <v>1468</v>
      </c>
      <c r="O1508" s="618">
        <v>34400</v>
      </c>
      <c r="P1508" s="619">
        <f t="shared" si="30"/>
        <v>7946400</v>
      </c>
    </row>
    <row r="1509" spans="1:16" s="620" customFormat="1" ht="51.75" x14ac:dyDescent="0.3">
      <c r="A1509" s="489"/>
      <c r="B1509" s="615">
        <v>85</v>
      </c>
      <c r="C1509" s="646" t="s">
        <v>1670</v>
      </c>
      <c r="D1509" s="622" t="s">
        <v>1376</v>
      </c>
      <c r="E1509" s="653" t="s">
        <v>1548</v>
      </c>
      <c r="F1509" s="617">
        <v>76</v>
      </c>
      <c r="G1509" s="639" t="s">
        <v>717</v>
      </c>
      <c r="H1509" s="626" t="s">
        <v>891</v>
      </c>
      <c r="I1509" s="434" t="s">
        <v>782</v>
      </c>
      <c r="J1509" s="652" t="s">
        <v>1551</v>
      </c>
      <c r="K1509" s="639" t="s">
        <v>728</v>
      </c>
      <c r="L1509" s="635">
        <v>6.9333499999999999</v>
      </c>
      <c r="M1509" s="635">
        <v>8.0879539999999999</v>
      </c>
      <c r="N1509" s="643" t="s">
        <v>1468</v>
      </c>
      <c r="O1509" s="618">
        <v>34400</v>
      </c>
      <c r="P1509" s="619">
        <f t="shared" si="30"/>
        <v>2614400</v>
      </c>
    </row>
    <row r="1510" spans="1:16" s="620" customFormat="1" ht="51.75" x14ac:dyDescent="0.3">
      <c r="A1510" s="489"/>
      <c r="B1510" s="615">
        <v>86</v>
      </c>
      <c r="C1510" s="646" t="s">
        <v>1671</v>
      </c>
      <c r="D1510" s="622" t="s">
        <v>1377</v>
      </c>
      <c r="E1510" s="653" t="s">
        <v>1548</v>
      </c>
      <c r="F1510" s="617">
        <v>123</v>
      </c>
      <c r="G1510" s="639" t="s">
        <v>717</v>
      </c>
      <c r="H1510" s="625" t="s">
        <v>890</v>
      </c>
      <c r="I1510" s="434" t="s">
        <v>782</v>
      </c>
      <c r="J1510" s="652" t="s">
        <v>1551</v>
      </c>
      <c r="K1510" s="639" t="s">
        <v>728</v>
      </c>
      <c r="L1510" s="634">
        <v>7.8173399999999997</v>
      </c>
      <c r="M1510" s="634">
        <v>7.9422899999999998</v>
      </c>
      <c r="N1510" s="643" t="s">
        <v>1468</v>
      </c>
      <c r="O1510" s="618">
        <v>34400</v>
      </c>
      <c r="P1510" s="619">
        <f t="shared" si="30"/>
        <v>4231200</v>
      </c>
    </row>
    <row r="1511" spans="1:16" s="620" customFormat="1" ht="51.75" x14ac:dyDescent="0.3">
      <c r="A1511" s="489"/>
      <c r="B1511" s="615">
        <v>87</v>
      </c>
      <c r="C1511" s="646" t="s">
        <v>1672</v>
      </c>
      <c r="D1511" s="622" t="s">
        <v>1378</v>
      </c>
      <c r="E1511" s="653" t="s">
        <v>1548</v>
      </c>
      <c r="F1511" s="617">
        <v>155</v>
      </c>
      <c r="G1511" s="639" t="s">
        <v>717</v>
      </c>
      <c r="H1511" s="625" t="s">
        <v>890</v>
      </c>
      <c r="I1511" s="434" t="s">
        <v>782</v>
      </c>
      <c r="J1511" s="652" t="s">
        <v>1551</v>
      </c>
      <c r="K1511" s="639" t="s">
        <v>728</v>
      </c>
      <c r="L1511" s="635">
        <v>6.7933500000000002</v>
      </c>
      <c r="M1511" s="658">
        <v>8.1077600000000007</v>
      </c>
      <c r="N1511" s="643" t="s">
        <v>1468</v>
      </c>
      <c r="O1511" s="618">
        <v>34400</v>
      </c>
      <c r="P1511" s="619">
        <f t="shared" si="30"/>
        <v>5332000</v>
      </c>
    </row>
    <row r="1512" spans="1:16" s="620" customFormat="1" ht="60.75" customHeight="1" x14ac:dyDescent="0.3">
      <c r="A1512" s="489"/>
      <c r="B1512" s="615">
        <v>88</v>
      </c>
      <c r="C1512" s="646" t="s">
        <v>1673</v>
      </c>
      <c r="D1512" s="622" t="s">
        <v>1379</v>
      </c>
      <c r="E1512" s="653" t="s">
        <v>1548</v>
      </c>
      <c r="F1512" s="617">
        <v>125</v>
      </c>
      <c r="G1512" s="639" t="s">
        <v>717</v>
      </c>
      <c r="H1512" s="625" t="s">
        <v>890</v>
      </c>
      <c r="I1512" s="434" t="s">
        <v>782</v>
      </c>
      <c r="J1512" s="652" t="s">
        <v>1551</v>
      </c>
      <c r="K1512" s="639" t="s">
        <v>728</v>
      </c>
      <c r="L1512" s="690">
        <v>7.9324000000000003</v>
      </c>
      <c r="M1512" s="690">
        <v>7.8297999999999996</v>
      </c>
      <c r="N1512" s="643" t="s">
        <v>1468</v>
      </c>
      <c r="O1512" s="618">
        <v>34400</v>
      </c>
      <c r="P1512" s="619">
        <f t="shared" si="30"/>
        <v>4300000</v>
      </c>
    </row>
    <row r="1513" spans="1:16" s="620" customFormat="1" ht="63" customHeight="1" x14ac:dyDescent="0.3">
      <c r="A1513" s="489"/>
      <c r="B1513" s="615">
        <v>89</v>
      </c>
      <c r="C1513" s="646" t="s">
        <v>1674</v>
      </c>
      <c r="D1513" s="622" t="s">
        <v>1380</v>
      </c>
      <c r="E1513" s="653" t="s">
        <v>1548</v>
      </c>
      <c r="F1513" s="617">
        <v>205</v>
      </c>
      <c r="G1513" s="639" t="s">
        <v>717</v>
      </c>
      <c r="H1513" s="625" t="s">
        <v>890</v>
      </c>
      <c r="I1513" s="434" t="s">
        <v>782</v>
      </c>
      <c r="J1513" s="652" t="s">
        <v>1551</v>
      </c>
      <c r="K1513" s="639" t="s">
        <v>728</v>
      </c>
      <c r="L1513" s="658">
        <v>7.7650240000000004</v>
      </c>
      <c r="M1513" s="658">
        <v>7.8224989999999996</v>
      </c>
      <c r="N1513" s="643" t="s">
        <v>1468</v>
      </c>
      <c r="O1513" s="618">
        <v>34400</v>
      </c>
      <c r="P1513" s="619">
        <f t="shared" si="30"/>
        <v>7052000</v>
      </c>
    </row>
    <row r="1514" spans="1:16" s="620" customFormat="1" ht="63" customHeight="1" x14ac:dyDescent="0.3">
      <c r="A1514" s="489"/>
      <c r="B1514" s="615">
        <v>90</v>
      </c>
      <c r="C1514" s="646" t="s">
        <v>1675</v>
      </c>
      <c r="D1514" s="622" t="s">
        <v>1381</v>
      </c>
      <c r="E1514" s="653" t="s">
        <v>1548</v>
      </c>
      <c r="F1514" s="617">
        <v>113</v>
      </c>
      <c r="G1514" s="639" t="s">
        <v>717</v>
      </c>
      <c r="H1514" s="625" t="s">
        <v>890</v>
      </c>
      <c r="I1514" s="434" t="s">
        <v>782</v>
      </c>
      <c r="J1514" s="652" t="s">
        <v>1551</v>
      </c>
      <c r="K1514" s="639" t="s">
        <v>728</v>
      </c>
      <c r="L1514" s="671">
        <v>7.8234000000000004</v>
      </c>
      <c r="M1514" s="671">
        <v>7.8954000000000004</v>
      </c>
      <c r="N1514" s="643" t="s">
        <v>1468</v>
      </c>
      <c r="O1514" s="618">
        <v>34400</v>
      </c>
      <c r="P1514" s="619">
        <f t="shared" si="30"/>
        <v>3887200</v>
      </c>
    </row>
    <row r="1515" spans="1:16" s="620" customFormat="1" ht="61.5" customHeight="1" x14ac:dyDescent="0.3">
      <c r="A1515" s="489"/>
      <c r="B1515" s="615">
        <v>91</v>
      </c>
      <c r="C1515" s="646" t="s">
        <v>1676</v>
      </c>
      <c r="D1515" s="622" t="s">
        <v>1382</v>
      </c>
      <c r="E1515" s="653" t="s">
        <v>1548</v>
      </c>
      <c r="F1515" s="617">
        <v>138</v>
      </c>
      <c r="G1515" s="639" t="s">
        <v>717</v>
      </c>
      <c r="H1515" s="625" t="s">
        <v>889</v>
      </c>
      <c r="I1515" s="434" t="s">
        <v>782</v>
      </c>
      <c r="J1515" s="652" t="s">
        <v>1551</v>
      </c>
      <c r="K1515" s="639" t="s">
        <v>728</v>
      </c>
      <c r="L1515" s="671">
        <v>7.6573000000000002</v>
      </c>
      <c r="M1515" s="671">
        <v>7.8826000000000001</v>
      </c>
      <c r="N1515" s="643" t="s">
        <v>1468</v>
      </c>
      <c r="O1515" s="618">
        <v>34400</v>
      </c>
      <c r="P1515" s="619">
        <f t="shared" si="30"/>
        <v>4747200</v>
      </c>
    </row>
    <row r="1516" spans="1:16" s="620" customFormat="1" ht="63" customHeight="1" x14ac:dyDescent="0.3">
      <c r="A1516" s="489"/>
      <c r="B1516" s="615">
        <v>92</v>
      </c>
      <c r="C1516" s="646" t="s">
        <v>1677</v>
      </c>
      <c r="D1516" s="622" t="s">
        <v>1383</v>
      </c>
      <c r="E1516" s="653" t="s">
        <v>1548</v>
      </c>
      <c r="F1516" s="617">
        <v>121</v>
      </c>
      <c r="G1516" s="639" t="s">
        <v>717</v>
      </c>
      <c r="H1516" s="625" t="s">
        <v>889</v>
      </c>
      <c r="I1516" s="434" t="s">
        <v>782</v>
      </c>
      <c r="J1516" s="652" t="s">
        <v>1551</v>
      </c>
      <c r="K1516" s="639" t="s">
        <v>728</v>
      </c>
      <c r="L1516" s="671">
        <v>7.5030999999999999</v>
      </c>
      <c r="M1516" s="671">
        <v>7.8806000000000003</v>
      </c>
      <c r="N1516" s="643" t="s">
        <v>1468</v>
      </c>
      <c r="O1516" s="618">
        <v>34400</v>
      </c>
      <c r="P1516" s="619">
        <f t="shared" si="30"/>
        <v>4162400</v>
      </c>
    </row>
    <row r="1517" spans="1:16" s="620" customFormat="1" ht="61.5" customHeight="1" x14ac:dyDescent="0.3">
      <c r="A1517" s="489"/>
      <c r="B1517" s="615">
        <v>93</v>
      </c>
      <c r="C1517" s="646" t="s">
        <v>1678</v>
      </c>
      <c r="D1517" s="622" t="s">
        <v>1384</v>
      </c>
      <c r="E1517" s="653" t="s">
        <v>1548</v>
      </c>
      <c r="F1517" s="617">
        <v>98</v>
      </c>
      <c r="G1517" s="639" t="s">
        <v>717</v>
      </c>
      <c r="H1517" s="625" t="s">
        <v>889</v>
      </c>
      <c r="I1517" s="434" t="s">
        <v>782</v>
      </c>
      <c r="J1517" s="652" t="s">
        <v>1551</v>
      </c>
      <c r="K1517" s="639" t="s">
        <v>728</v>
      </c>
      <c r="L1517" s="671">
        <v>7.7443</v>
      </c>
      <c r="M1517" s="671">
        <v>8.9961000000000002</v>
      </c>
      <c r="N1517" s="643" t="s">
        <v>1468</v>
      </c>
      <c r="O1517" s="618">
        <v>34400</v>
      </c>
      <c r="P1517" s="619">
        <f t="shared" si="30"/>
        <v>3371200</v>
      </c>
    </row>
    <row r="1518" spans="1:16" s="620" customFormat="1" ht="60.75" customHeight="1" x14ac:dyDescent="0.3">
      <c r="A1518" s="489"/>
      <c r="B1518" s="615">
        <v>94</v>
      </c>
      <c r="C1518" s="646" t="s">
        <v>1679</v>
      </c>
      <c r="D1518" s="622" t="s">
        <v>1385</v>
      </c>
      <c r="E1518" s="653" t="s">
        <v>1548</v>
      </c>
      <c r="F1518" s="617">
        <v>128</v>
      </c>
      <c r="G1518" s="639" t="s">
        <v>717</v>
      </c>
      <c r="H1518" s="625" t="s">
        <v>889</v>
      </c>
      <c r="I1518" s="434" t="s">
        <v>782</v>
      </c>
      <c r="J1518" s="652" t="s">
        <v>1551</v>
      </c>
      <c r="K1518" s="639" t="s">
        <v>728</v>
      </c>
      <c r="L1518" s="671">
        <v>7.7358000000000002</v>
      </c>
      <c r="M1518" s="671">
        <v>7.8865999999999996</v>
      </c>
      <c r="N1518" s="643" t="s">
        <v>1468</v>
      </c>
      <c r="O1518" s="618">
        <v>34400</v>
      </c>
      <c r="P1518" s="619">
        <f t="shared" si="30"/>
        <v>4403200</v>
      </c>
    </row>
    <row r="1519" spans="1:16" s="620" customFormat="1" ht="63.75" customHeight="1" x14ac:dyDescent="0.3">
      <c r="A1519" s="489"/>
      <c r="B1519" s="615">
        <v>95</v>
      </c>
      <c r="C1519" s="646" t="s">
        <v>1680</v>
      </c>
      <c r="D1519" s="622" t="s">
        <v>1386</v>
      </c>
      <c r="E1519" s="653" t="s">
        <v>1548</v>
      </c>
      <c r="F1519" s="92">
        <v>136</v>
      </c>
      <c r="G1519" s="639" t="s">
        <v>717</v>
      </c>
      <c r="H1519" s="625" t="s">
        <v>889</v>
      </c>
      <c r="I1519" s="434" t="s">
        <v>782</v>
      </c>
      <c r="J1519" s="652" t="s">
        <v>1551</v>
      </c>
      <c r="K1519" s="639" t="s">
        <v>728</v>
      </c>
      <c r="L1519" s="690">
        <v>7.5766</v>
      </c>
      <c r="M1519" s="690">
        <v>7.9295</v>
      </c>
      <c r="N1519" s="643" t="s">
        <v>1468</v>
      </c>
      <c r="O1519" s="618">
        <v>34400</v>
      </c>
      <c r="P1519" s="619">
        <f t="shared" si="30"/>
        <v>4678400</v>
      </c>
    </row>
    <row r="1520" spans="1:16" s="620" customFormat="1" ht="60.75" customHeight="1" x14ac:dyDescent="0.3">
      <c r="A1520" s="489"/>
      <c r="B1520" s="615">
        <v>96</v>
      </c>
      <c r="C1520" s="646" t="s">
        <v>1681</v>
      </c>
      <c r="D1520" s="622" t="s">
        <v>1387</v>
      </c>
      <c r="E1520" s="653" t="s">
        <v>1548</v>
      </c>
      <c r="F1520" s="617">
        <v>85</v>
      </c>
      <c r="G1520" s="639" t="s">
        <v>717</v>
      </c>
      <c r="H1520" s="625" t="s">
        <v>910</v>
      </c>
      <c r="I1520" s="434" t="s">
        <v>782</v>
      </c>
      <c r="J1520" s="652" t="s">
        <v>1551</v>
      </c>
      <c r="K1520" s="639" t="s">
        <v>728</v>
      </c>
      <c r="L1520" s="671">
        <v>7.0617000000000001</v>
      </c>
      <c r="M1520" s="671">
        <v>8.2086000000000006</v>
      </c>
      <c r="N1520" s="643" t="s">
        <v>1468</v>
      </c>
      <c r="O1520" s="618">
        <v>34400</v>
      </c>
      <c r="P1520" s="619">
        <f t="shared" si="30"/>
        <v>2924000</v>
      </c>
    </row>
    <row r="1521" spans="1:16" s="620" customFormat="1" ht="58.5" customHeight="1" x14ac:dyDescent="0.3">
      <c r="A1521" s="489"/>
      <c r="B1521" s="615">
        <v>97</v>
      </c>
      <c r="C1521" s="646" t="s">
        <v>1682</v>
      </c>
      <c r="D1521" s="622" t="s">
        <v>1417</v>
      </c>
      <c r="E1521" s="653" t="s">
        <v>1548</v>
      </c>
      <c r="F1521" s="617">
        <v>115</v>
      </c>
      <c r="G1521" s="639" t="s">
        <v>717</v>
      </c>
      <c r="H1521" s="625" t="s">
        <v>910</v>
      </c>
      <c r="I1521" s="434" t="s">
        <v>782</v>
      </c>
      <c r="J1521" s="652" t="s">
        <v>1551</v>
      </c>
      <c r="K1521" s="639" t="s">
        <v>728</v>
      </c>
      <c r="L1521" s="671">
        <v>7.1033999999999997</v>
      </c>
      <c r="M1521" s="671">
        <v>8.3452999999999999</v>
      </c>
      <c r="N1521" s="643" t="s">
        <v>1468</v>
      </c>
      <c r="O1521" s="618">
        <v>34400</v>
      </c>
      <c r="P1521" s="619">
        <f t="shared" si="30"/>
        <v>3956000</v>
      </c>
    </row>
    <row r="1522" spans="1:16" s="620" customFormat="1" ht="60.75" customHeight="1" x14ac:dyDescent="0.3">
      <c r="A1522" s="489"/>
      <c r="B1522" s="615">
        <v>98</v>
      </c>
      <c r="C1522" s="646" t="s">
        <v>1683</v>
      </c>
      <c r="D1522" s="622" t="s">
        <v>1388</v>
      </c>
      <c r="E1522" s="653" t="s">
        <v>1548</v>
      </c>
      <c r="F1522" s="617">
        <v>150</v>
      </c>
      <c r="G1522" s="639" t="s">
        <v>717</v>
      </c>
      <c r="H1522" s="625" t="s">
        <v>910</v>
      </c>
      <c r="I1522" s="434" t="s">
        <v>782</v>
      </c>
      <c r="J1522" s="652" t="s">
        <v>1551</v>
      </c>
      <c r="K1522" s="639" t="s">
        <v>728</v>
      </c>
      <c r="L1522" s="671">
        <v>7.0305</v>
      </c>
      <c r="M1522" s="671">
        <v>8.3230000000000004</v>
      </c>
      <c r="N1522" s="643" t="s">
        <v>1468</v>
      </c>
      <c r="O1522" s="618">
        <v>34400</v>
      </c>
      <c r="P1522" s="619">
        <f t="shared" si="30"/>
        <v>5160000</v>
      </c>
    </row>
    <row r="1523" spans="1:16" s="620" customFormat="1" ht="60" customHeight="1" x14ac:dyDescent="0.3">
      <c r="A1523" s="489"/>
      <c r="B1523" s="615">
        <v>99</v>
      </c>
      <c r="C1523" s="646" t="s">
        <v>1684</v>
      </c>
      <c r="D1523" s="622" t="s">
        <v>1418</v>
      </c>
      <c r="E1523" s="653" t="s">
        <v>1548</v>
      </c>
      <c r="F1523" s="617">
        <v>126</v>
      </c>
      <c r="G1523" s="639" t="s">
        <v>717</v>
      </c>
      <c r="H1523" s="625" t="s">
        <v>910</v>
      </c>
      <c r="I1523" s="434" t="s">
        <v>782</v>
      </c>
      <c r="J1523" s="652" t="s">
        <v>1551</v>
      </c>
      <c r="K1523" s="639" t="s">
        <v>728</v>
      </c>
      <c r="L1523" s="671">
        <v>6.9314</v>
      </c>
      <c r="M1523" s="671">
        <v>8.3361999999999998</v>
      </c>
      <c r="N1523" s="643" t="s">
        <v>1468</v>
      </c>
      <c r="O1523" s="618">
        <v>34400</v>
      </c>
      <c r="P1523" s="619">
        <f t="shared" si="30"/>
        <v>4334400</v>
      </c>
    </row>
    <row r="1524" spans="1:16" s="620" customFormat="1" ht="63.75" customHeight="1" x14ac:dyDescent="0.3">
      <c r="A1524" s="489"/>
      <c r="B1524" s="615">
        <v>100</v>
      </c>
      <c r="C1524" s="646" t="s">
        <v>1685</v>
      </c>
      <c r="D1524" s="622" t="s">
        <v>1389</v>
      </c>
      <c r="E1524" s="653" t="s">
        <v>1548</v>
      </c>
      <c r="F1524" s="617">
        <v>145</v>
      </c>
      <c r="G1524" s="639" t="s">
        <v>717</v>
      </c>
      <c r="H1524" s="625" t="s">
        <v>910</v>
      </c>
      <c r="I1524" s="434" t="s">
        <v>782</v>
      </c>
      <c r="J1524" s="652" t="s">
        <v>1551</v>
      </c>
      <c r="K1524" s="639" t="s">
        <v>728</v>
      </c>
      <c r="L1524" s="671">
        <v>6.9633099999999999</v>
      </c>
      <c r="M1524" s="671">
        <v>8.3650099999999998</v>
      </c>
      <c r="N1524" s="643" t="s">
        <v>1468</v>
      </c>
      <c r="O1524" s="618">
        <v>34400</v>
      </c>
      <c r="P1524" s="619">
        <f t="shared" si="30"/>
        <v>4988000</v>
      </c>
    </row>
    <row r="1525" spans="1:16" s="620" customFormat="1" ht="63" customHeight="1" x14ac:dyDescent="0.3">
      <c r="A1525" s="489"/>
      <c r="B1525" s="615">
        <v>101</v>
      </c>
      <c r="C1525" s="646" t="s">
        <v>1686</v>
      </c>
      <c r="D1525" s="622" t="s">
        <v>1390</v>
      </c>
      <c r="E1525" s="653" t="s">
        <v>1548</v>
      </c>
      <c r="F1525" s="617">
        <v>128</v>
      </c>
      <c r="G1525" s="639" t="s">
        <v>717</v>
      </c>
      <c r="H1525" s="625" t="s">
        <v>911</v>
      </c>
      <c r="I1525" s="434" t="s">
        <v>782</v>
      </c>
      <c r="J1525" s="652" t="s">
        <v>1551</v>
      </c>
      <c r="K1525" s="639" t="s">
        <v>728</v>
      </c>
      <c r="L1525" s="674" t="s">
        <v>1490</v>
      </c>
      <c r="M1525" s="674" t="s">
        <v>1491</v>
      </c>
      <c r="N1525" s="643" t="s">
        <v>1468</v>
      </c>
      <c r="O1525" s="618">
        <v>34400</v>
      </c>
      <c r="P1525" s="619">
        <f t="shared" si="30"/>
        <v>4403200</v>
      </c>
    </row>
    <row r="1526" spans="1:16" s="620" customFormat="1" ht="63.75" customHeight="1" x14ac:dyDescent="0.3">
      <c r="A1526" s="489"/>
      <c r="B1526" s="615">
        <v>102</v>
      </c>
      <c r="C1526" s="646" t="s">
        <v>1687</v>
      </c>
      <c r="D1526" s="622" t="s">
        <v>1391</v>
      </c>
      <c r="E1526" s="653" t="s">
        <v>1548</v>
      </c>
      <c r="F1526" s="617">
        <v>52</v>
      </c>
      <c r="G1526" s="639" t="s">
        <v>717</v>
      </c>
      <c r="H1526" s="625" t="s">
        <v>911</v>
      </c>
      <c r="I1526" s="434" t="s">
        <v>782</v>
      </c>
      <c r="J1526" s="652" t="s">
        <v>1551</v>
      </c>
      <c r="K1526" s="639" t="s">
        <v>728</v>
      </c>
      <c r="L1526" s="674" t="s">
        <v>1492</v>
      </c>
      <c r="M1526" s="674" t="s">
        <v>1493</v>
      </c>
      <c r="N1526" s="643" t="s">
        <v>1468</v>
      </c>
      <c r="O1526" s="618">
        <v>34400</v>
      </c>
      <c r="P1526" s="619">
        <f t="shared" si="30"/>
        <v>1788800</v>
      </c>
    </row>
    <row r="1527" spans="1:16" s="620" customFormat="1" ht="63.75" customHeight="1" x14ac:dyDescent="0.3">
      <c r="A1527" s="489"/>
      <c r="B1527" s="615">
        <v>103</v>
      </c>
      <c r="C1527" s="646" t="s">
        <v>1688</v>
      </c>
      <c r="D1527" s="622" t="s">
        <v>1392</v>
      </c>
      <c r="E1527" s="653" t="s">
        <v>1548</v>
      </c>
      <c r="F1527" s="617">
        <v>40</v>
      </c>
      <c r="G1527" s="639" t="s">
        <v>717</v>
      </c>
      <c r="H1527" s="625" t="s">
        <v>911</v>
      </c>
      <c r="I1527" s="434" t="s">
        <v>782</v>
      </c>
      <c r="J1527" s="652" t="s">
        <v>1551</v>
      </c>
      <c r="K1527" s="639" t="s">
        <v>728</v>
      </c>
      <c r="L1527" s="674" t="s">
        <v>1494</v>
      </c>
      <c r="M1527" s="674" t="s">
        <v>1495</v>
      </c>
      <c r="N1527" s="643" t="s">
        <v>1468</v>
      </c>
      <c r="O1527" s="618">
        <v>34400</v>
      </c>
      <c r="P1527" s="619">
        <f t="shared" si="30"/>
        <v>1376000</v>
      </c>
    </row>
    <row r="1528" spans="1:16" s="620" customFormat="1" ht="60.75" customHeight="1" x14ac:dyDescent="0.3">
      <c r="A1528" s="489"/>
      <c r="B1528" s="615">
        <v>104</v>
      </c>
      <c r="C1528" s="646" t="s">
        <v>1689</v>
      </c>
      <c r="D1528" s="622" t="s">
        <v>1393</v>
      </c>
      <c r="E1528" s="653" t="s">
        <v>1548</v>
      </c>
      <c r="F1528" s="617">
        <v>153</v>
      </c>
      <c r="G1528" s="639" t="s">
        <v>717</v>
      </c>
      <c r="H1528" s="625" t="s">
        <v>911</v>
      </c>
      <c r="I1528" s="434" t="s">
        <v>782</v>
      </c>
      <c r="J1528" s="652" t="s">
        <v>1551</v>
      </c>
      <c r="K1528" s="639" t="s">
        <v>728</v>
      </c>
      <c r="L1528" s="674" t="s">
        <v>1496</v>
      </c>
      <c r="M1528" s="674" t="s">
        <v>1497</v>
      </c>
      <c r="N1528" s="643" t="s">
        <v>1468</v>
      </c>
      <c r="O1528" s="618">
        <v>34400</v>
      </c>
      <c r="P1528" s="619">
        <f t="shared" si="30"/>
        <v>5263200</v>
      </c>
    </row>
    <row r="1529" spans="1:16" s="620" customFormat="1" ht="65.25" customHeight="1" x14ac:dyDescent="0.3">
      <c r="A1529" s="489"/>
      <c r="B1529" s="615">
        <v>105</v>
      </c>
      <c r="C1529" s="646" t="s">
        <v>1690</v>
      </c>
      <c r="D1529" s="622" t="s">
        <v>1419</v>
      </c>
      <c r="E1529" s="653" t="s">
        <v>1548</v>
      </c>
      <c r="F1529" s="617">
        <v>89</v>
      </c>
      <c r="G1529" s="639" t="s">
        <v>717</v>
      </c>
      <c r="H1529" s="625" t="s">
        <v>911</v>
      </c>
      <c r="I1529" s="434" t="s">
        <v>782</v>
      </c>
      <c r="J1529" s="652" t="s">
        <v>1551</v>
      </c>
      <c r="K1529" s="639" t="s">
        <v>728</v>
      </c>
      <c r="L1529" s="674" t="s">
        <v>1498</v>
      </c>
      <c r="M1529" s="674" t="s">
        <v>1499</v>
      </c>
      <c r="N1529" s="643" t="s">
        <v>1468</v>
      </c>
      <c r="O1529" s="618">
        <v>34400</v>
      </c>
      <c r="P1529" s="619">
        <f t="shared" si="30"/>
        <v>3061600</v>
      </c>
    </row>
    <row r="1530" spans="1:16" s="620" customFormat="1" ht="61.5" customHeight="1" x14ac:dyDescent="0.3">
      <c r="A1530" s="489"/>
      <c r="B1530" s="615">
        <v>106</v>
      </c>
      <c r="C1530" s="646" t="s">
        <v>1691</v>
      </c>
      <c r="D1530" s="622" t="s">
        <v>1394</v>
      </c>
      <c r="E1530" s="653" t="s">
        <v>1548</v>
      </c>
      <c r="F1530" s="617">
        <v>57</v>
      </c>
      <c r="G1530" s="639" t="s">
        <v>717</v>
      </c>
      <c r="H1530" s="625" t="s">
        <v>914</v>
      </c>
      <c r="I1530" s="434" t="s">
        <v>782</v>
      </c>
      <c r="J1530" s="652" t="s">
        <v>1551</v>
      </c>
      <c r="K1530" s="639" t="s">
        <v>728</v>
      </c>
      <c r="L1530" s="671">
        <v>7.3418999999999999</v>
      </c>
      <c r="M1530" s="626">
        <v>9.0938999999999997</v>
      </c>
      <c r="N1530" s="643" t="s">
        <v>1468</v>
      </c>
      <c r="O1530" s="618">
        <v>34400</v>
      </c>
      <c r="P1530" s="619">
        <f t="shared" si="30"/>
        <v>1960800</v>
      </c>
    </row>
    <row r="1531" spans="1:16" s="620" customFormat="1" ht="61.5" customHeight="1" x14ac:dyDescent="0.3">
      <c r="A1531" s="489"/>
      <c r="B1531" s="615">
        <v>107</v>
      </c>
      <c r="C1531" s="646" t="s">
        <v>1692</v>
      </c>
      <c r="D1531" s="622" t="s">
        <v>1395</v>
      </c>
      <c r="E1531" s="653" t="s">
        <v>1548</v>
      </c>
      <c r="F1531" s="617">
        <v>45</v>
      </c>
      <c r="G1531" s="639" t="s">
        <v>717</v>
      </c>
      <c r="H1531" s="625" t="s">
        <v>914</v>
      </c>
      <c r="I1531" s="434" t="s">
        <v>782</v>
      </c>
      <c r="J1531" s="652" t="s">
        <v>1551</v>
      </c>
      <c r="K1531" s="639" t="s">
        <v>728</v>
      </c>
      <c r="L1531" s="671">
        <v>7.2342000000000004</v>
      </c>
      <c r="M1531" s="626">
        <v>8.8507999999999996</v>
      </c>
      <c r="N1531" s="643" t="s">
        <v>1468</v>
      </c>
      <c r="O1531" s="618">
        <v>34400</v>
      </c>
      <c r="P1531" s="619">
        <f t="shared" si="30"/>
        <v>1548000</v>
      </c>
    </row>
    <row r="1532" spans="1:16" s="620" customFormat="1" ht="63.75" customHeight="1" x14ac:dyDescent="0.3">
      <c r="A1532" s="489"/>
      <c r="B1532" s="615">
        <v>108</v>
      </c>
      <c r="C1532" s="646" t="s">
        <v>1693</v>
      </c>
      <c r="D1532" s="622" t="s">
        <v>1396</v>
      </c>
      <c r="E1532" s="653" t="s">
        <v>1548</v>
      </c>
      <c r="F1532" s="617">
        <v>99</v>
      </c>
      <c r="G1532" s="639" t="s">
        <v>717</v>
      </c>
      <c r="H1532" s="625" t="s">
        <v>914</v>
      </c>
      <c r="I1532" s="434" t="s">
        <v>782</v>
      </c>
      <c r="J1532" s="652" t="s">
        <v>1551</v>
      </c>
      <c r="K1532" s="639" t="s">
        <v>728</v>
      </c>
      <c r="L1532" s="671">
        <v>7.3369</v>
      </c>
      <c r="M1532" s="626">
        <v>7.9493999999999998</v>
      </c>
      <c r="N1532" s="643" t="s">
        <v>1468</v>
      </c>
      <c r="O1532" s="618">
        <v>34400</v>
      </c>
      <c r="P1532" s="619">
        <f t="shared" si="30"/>
        <v>3405600</v>
      </c>
    </row>
    <row r="1533" spans="1:16" s="620" customFormat="1" ht="68.25" customHeight="1" x14ac:dyDescent="0.3">
      <c r="A1533" s="489"/>
      <c r="B1533" s="615">
        <v>109</v>
      </c>
      <c r="C1533" s="646" t="s">
        <v>1694</v>
      </c>
      <c r="D1533" s="622" t="s">
        <v>1397</v>
      </c>
      <c r="E1533" s="653" t="s">
        <v>1548</v>
      </c>
      <c r="F1533" s="617">
        <v>84</v>
      </c>
      <c r="G1533" s="639" t="s">
        <v>717</v>
      </c>
      <c r="H1533" s="625" t="s">
        <v>914</v>
      </c>
      <c r="I1533" s="434" t="s">
        <v>782</v>
      </c>
      <c r="J1533" s="652" t="s">
        <v>1551</v>
      </c>
      <c r="K1533" s="639" t="s">
        <v>728</v>
      </c>
      <c r="L1533" s="671">
        <v>7.0976999999999997</v>
      </c>
      <c r="M1533" s="626">
        <v>7.9508000000000001</v>
      </c>
      <c r="N1533" s="643" t="s">
        <v>1468</v>
      </c>
      <c r="O1533" s="618">
        <v>34400</v>
      </c>
      <c r="P1533" s="619">
        <f t="shared" si="30"/>
        <v>2889600</v>
      </c>
    </row>
    <row r="1534" spans="1:16" s="620" customFormat="1" ht="51.75" x14ac:dyDescent="0.3">
      <c r="A1534" s="489"/>
      <c r="B1534" s="615">
        <v>110</v>
      </c>
      <c r="C1534" s="646" t="s">
        <v>1695</v>
      </c>
      <c r="D1534" s="622" t="s">
        <v>1420</v>
      </c>
      <c r="E1534" s="653" t="s">
        <v>1548</v>
      </c>
      <c r="F1534" s="617">
        <v>67</v>
      </c>
      <c r="G1534" s="639" t="s">
        <v>717</v>
      </c>
      <c r="H1534" s="625" t="s">
        <v>914</v>
      </c>
      <c r="I1534" s="434" t="s">
        <v>782</v>
      </c>
      <c r="J1534" s="652" t="s">
        <v>1551</v>
      </c>
      <c r="K1534" s="639" t="s">
        <v>728</v>
      </c>
      <c r="L1534" s="635">
        <v>7.2057000000000002</v>
      </c>
      <c r="M1534" s="635">
        <v>7.4837699999999998</v>
      </c>
      <c r="N1534" s="643" t="s">
        <v>1468</v>
      </c>
      <c r="O1534" s="618">
        <v>34400</v>
      </c>
      <c r="P1534" s="619">
        <f t="shared" si="30"/>
        <v>2304800</v>
      </c>
    </row>
    <row r="1535" spans="1:16" s="620" customFormat="1" ht="60.75" customHeight="1" x14ac:dyDescent="0.3">
      <c r="A1535" s="489"/>
      <c r="B1535" s="615">
        <v>111</v>
      </c>
      <c r="C1535" s="646" t="s">
        <v>1696</v>
      </c>
      <c r="D1535" s="621" t="s">
        <v>1398</v>
      </c>
      <c r="E1535" s="653" t="s">
        <v>1548</v>
      </c>
      <c r="F1535" s="617">
        <v>66</v>
      </c>
      <c r="G1535" s="639" t="s">
        <v>717</v>
      </c>
      <c r="H1535" s="627" t="s">
        <v>916</v>
      </c>
      <c r="I1535" s="434" t="s">
        <v>782</v>
      </c>
      <c r="J1535" s="652" t="s">
        <v>1551</v>
      </c>
      <c r="K1535" s="639" t="s">
        <v>728</v>
      </c>
      <c r="L1535" s="696">
        <v>6.8021000000000003</v>
      </c>
      <c r="M1535" s="696">
        <v>8.5635999999999992</v>
      </c>
      <c r="N1535" s="643" t="s">
        <v>1468</v>
      </c>
      <c r="O1535" s="618">
        <v>34400</v>
      </c>
      <c r="P1535" s="619">
        <f t="shared" si="30"/>
        <v>2270400</v>
      </c>
    </row>
    <row r="1536" spans="1:16" s="620" customFormat="1" ht="63" customHeight="1" x14ac:dyDescent="0.3">
      <c r="A1536" s="489"/>
      <c r="B1536" s="615">
        <v>112</v>
      </c>
      <c r="C1536" s="646" t="s">
        <v>1697</v>
      </c>
      <c r="D1536" s="621" t="s">
        <v>1399</v>
      </c>
      <c r="E1536" s="653" t="s">
        <v>1548</v>
      </c>
      <c r="F1536" s="617">
        <v>15</v>
      </c>
      <c r="G1536" s="639" t="s">
        <v>717</v>
      </c>
      <c r="H1536" s="627" t="s">
        <v>916</v>
      </c>
      <c r="I1536" s="434" t="s">
        <v>782</v>
      </c>
      <c r="J1536" s="652" t="s">
        <v>1551</v>
      </c>
      <c r="K1536" s="639" t="s">
        <v>728</v>
      </c>
      <c r="L1536" s="658">
        <v>6.7945399999999996</v>
      </c>
      <c r="M1536" s="658">
        <v>8.5035000000000007</v>
      </c>
      <c r="N1536" s="643" t="s">
        <v>1468</v>
      </c>
      <c r="O1536" s="618">
        <v>34400</v>
      </c>
      <c r="P1536" s="619">
        <f t="shared" si="30"/>
        <v>516000</v>
      </c>
    </row>
    <row r="1537" spans="1:16" s="620" customFormat="1" ht="60.75" customHeight="1" x14ac:dyDescent="0.3">
      <c r="A1537" s="489"/>
      <c r="B1537" s="615">
        <v>113</v>
      </c>
      <c r="C1537" s="646" t="s">
        <v>1698</v>
      </c>
      <c r="D1537" s="621" t="s">
        <v>1400</v>
      </c>
      <c r="E1537" s="653" t="s">
        <v>1548</v>
      </c>
      <c r="F1537" s="617">
        <v>51</v>
      </c>
      <c r="G1537" s="639" t="s">
        <v>717</v>
      </c>
      <c r="H1537" s="627" t="s">
        <v>916</v>
      </c>
      <c r="I1537" s="434" t="s">
        <v>782</v>
      </c>
      <c r="J1537" s="652" t="s">
        <v>1551</v>
      </c>
      <c r="K1537" s="639" t="s">
        <v>728</v>
      </c>
      <c r="L1537" s="635">
        <v>6.8704400000000003</v>
      </c>
      <c r="M1537" s="635">
        <v>8.1267300000000002</v>
      </c>
      <c r="N1537" s="643" t="s">
        <v>1468</v>
      </c>
      <c r="O1537" s="618">
        <v>34400</v>
      </c>
      <c r="P1537" s="619">
        <f t="shared" si="30"/>
        <v>1754400</v>
      </c>
    </row>
    <row r="1538" spans="1:16" s="620" customFormat="1" ht="60.75" customHeight="1" x14ac:dyDescent="0.3">
      <c r="A1538" s="489"/>
      <c r="B1538" s="615">
        <v>114</v>
      </c>
      <c r="C1538" s="646" t="s">
        <v>1699</v>
      </c>
      <c r="D1538" s="621" t="s">
        <v>1401</v>
      </c>
      <c r="E1538" s="653" t="s">
        <v>1548</v>
      </c>
      <c r="F1538" s="617">
        <v>33</v>
      </c>
      <c r="G1538" s="639" t="s">
        <v>717</v>
      </c>
      <c r="H1538" s="627" t="s">
        <v>916</v>
      </c>
      <c r="I1538" s="434" t="s">
        <v>782</v>
      </c>
      <c r="J1538" s="652" t="s">
        <v>1551</v>
      </c>
      <c r="K1538" s="639" t="s">
        <v>728</v>
      </c>
      <c r="L1538" s="697">
        <v>6.9821</v>
      </c>
      <c r="M1538" s="671">
        <v>8.4304000000000006</v>
      </c>
      <c r="N1538" s="643" t="s">
        <v>1468</v>
      </c>
      <c r="O1538" s="618">
        <v>34400</v>
      </c>
      <c r="P1538" s="619">
        <f t="shared" si="30"/>
        <v>1135200</v>
      </c>
    </row>
    <row r="1539" spans="1:16" s="620" customFormat="1" ht="63" customHeight="1" x14ac:dyDescent="0.3">
      <c r="A1539" s="489"/>
      <c r="B1539" s="615">
        <v>115</v>
      </c>
      <c r="C1539" s="646" t="s">
        <v>1700</v>
      </c>
      <c r="D1539" s="621" t="s">
        <v>1402</v>
      </c>
      <c r="E1539" s="653" t="s">
        <v>1548</v>
      </c>
      <c r="F1539" s="617">
        <v>17</v>
      </c>
      <c r="G1539" s="639" t="s">
        <v>717</v>
      </c>
      <c r="H1539" s="627" t="s">
        <v>916</v>
      </c>
      <c r="I1539" s="434" t="s">
        <v>782</v>
      </c>
      <c r="J1539" s="652" t="s">
        <v>1551</v>
      </c>
      <c r="K1539" s="639" t="s">
        <v>728</v>
      </c>
      <c r="L1539" s="658">
        <v>6.7945399999999996</v>
      </c>
      <c r="M1539" s="658">
        <v>8.5035000000000007</v>
      </c>
      <c r="N1539" s="643" t="s">
        <v>1468</v>
      </c>
      <c r="O1539" s="618">
        <v>34400</v>
      </c>
      <c r="P1539" s="619">
        <f t="shared" si="30"/>
        <v>584800</v>
      </c>
    </row>
    <row r="1540" spans="1:16" s="620" customFormat="1" ht="63.75" customHeight="1" x14ac:dyDescent="0.3">
      <c r="A1540" s="489"/>
      <c r="B1540" s="615">
        <v>116</v>
      </c>
      <c r="C1540" s="646" t="s">
        <v>1701</v>
      </c>
      <c r="D1540" s="621" t="s">
        <v>1403</v>
      </c>
      <c r="E1540" s="653" t="s">
        <v>1548</v>
      </c>
      <c r="F1540" s="617">
        <v>22</v>
      </c>
      <c r="G1540" s="639" t="s">
        <v>717</v>
      </c>
      <c r="H1540" s="627" t="s">
        <v>811</v>
      </c>
      <c r="I1540" s="434" t="s">
        <v>782</v>
      </c>
      <c r="J1540" s="652" t="s">
        <v>1551</v>
      </c>
      <c r="K1540" s="639" t="s">
        <v>728</v>
      </c>
      <c r="L1540" s="691" t="s">
        <v>1509</v>
      </c>
      <c r="M1540" s="691" t="s">
        <v>1510</v>
      </c>
      <c r="N1540" s="643" t="s">
        <v>1468</v>
      </c>
      <c r="O1540" s="618">
        <v>34400</v>
      </c>
      <c r="P1540" s="619">
        <f t="shared" si="30"/>
        <v>756800</v>
      </c>
    </row>
    <row r="1541" spans="1:16" s="620" customFormat="1" ht="63.75" customHeight="1" x14ac:dyDescent="0.3">
      <c r="A1541" s="489"/>
      <c r="B1541" s="615">
        <v>117</v>
      </c>
      <c r="C1541" s="646" t="s">
        <v>1702</v>
      </c>
      <c r="D1541" s="621" t="s">
        <v>1404</v>
      </c>
      <c r="E1541" s="653" t="s">
        <v>1548</v>
      </c>
      <c r="F1541" s="617">
        <v>131</v>
      </c>
      <c r="G1541" s="639" t="s">
        <v>717</v>
      </c>
      <c r="H1541" s="627" t="s">
        <v>811</v>
      </c>
      <c r="I1541" s="434" t="s">
        <v>782</v>
      </c>
      <c r="J1541" s="652" t="s">
        <v>1551</v>
      </c>
      <c r="K1541" s="639" t="s">
        <v>728</v>
      </c>
      <c r="L1541" s="691" t="s">
        <v>1511</v>
      </c>
      <c r="M1541" s="691" t="s">
        <v>1512</v>
      </c>
      <c r="N1541" s="643" t="s">
        <v>1468</v>
      </c>
      <c r="O1541" s="618">
        <v>34400</v>
      </c>
      <c r="P1541" s="619">
        <f t="shared" si="30"/>
        <v>4506400</v>
      </c>
    </row>
    <row r="1542" spans="1:16" s="620" customFormat="1" ht="61.5" customHeight="1" x14ac:dyDescent="0.3">
      <c r="A1542" s="489"/>
      <c r="B1542" s="615">
        <v>118</v>
      </c>
      <c r="C1542" s="646" t="s">
        <v>1703</v>
      </c>
      <c r="D1542" s="621" t="s">
        <v>1407</v>
      </c>
      <c r="E1542" s="653" t="s">
        <v>1548</v>
      </c>
      <c r="F1542" s="617">
        <v>109</v>
      </c>
      <c r="G1542" s="639" t="s">
        <v>717</v>
      </c>
      <c r="H1542" s="627" t="s">
        <v>811</v>
      </c>
      <c r="I1542" s="434" t="s">
        <v>782</v>
      </c>
      <c r="J1542" s="652" t="s">
        <v>1551</v>
      </c>
      <c r="K1542" s="639" t="s">
        <v>728</v>
      </c>
      <c r="L1542" s="692" t="s">
        <v>1513</v>
      </c>
      <c r="M1542" s="692" t="s">
        <v>1514</v>
      </c>
      <c r="N1542" s="643" t="s">
        <v>1468</v>
      </c>
      <c r="O1542" s="618">
        <v>34400</v>
      </c>
      <c r="P1542" s="619">
        <f t="shared" si="30"/>
        <v>3749600</v>
      </c>
    </row>
    <row r="1543" spans="1:16" s="620" customFormat="1" ht="59.25" customHeight="1" x14ac:dyDescent="0.3">
      <c r="A1543" s="489"/>
      <c r="B1543" s="615">
        <v>119</v>
      </c>
      <c r="C1543" s="646" t="s">
        <v>1704</v>
      </c>
      <c r="D1543" s="621" t="s">
        <v>1405</v>
      </c>
      <c r="E1543" s="653" t="s">
        <v>1548</v>
      </c>
      <c r="F1543" s="617">
        <v>54</v>
      </c>
      <c r="G1543" s="639" t="s">
        <v>717</v>
      </c>
      <c r="H1543" s="627" t="s">
        <v>811</v>
      </c>
      <c r="I1543" s="434" t="s">
        <v>782</v>
      </c>
      <c r="J1543" s="652" t="s">
        <v>1551</v>
      </c>
      <c r="K1543" s="639" t="s">
        <v>728</v>
      </c>
      <c r="L1543" s="671">
        <v>7.0299516000000004</v>
      </c>
      <c r="M1543" s="671">
        <v>7.9586015999999997</v>
      </c>
      <c r="N1543" s="643" t="s">
        <v>1468</v>
      </c>
      <c r="O1543" s="618">
        <v>34400</v>
      </c>
      <c r="P1543" s="619">
        <f t="shared" si="30"/>
        <v>1857600</v>
      </c>
    </row>
    <row r="1544" spans="1:16" s="620" customFormat="1" ht="61.5" customHeight="1" x14ac:dyDescent="0.3">
      <c r="A1544" s="489"/>
      <c r="B1544" s="615">
        <v>120</v>
      </c>
      <c r="C1544" s="646" t="s">
        <v>1705</v>
      </c>
      <c r="D1544" s="621" t="s">
        <v>1406</v>
      </c>
      <c r="E1544" s="653" t="s">
        <v>1548</v>
      </c>
      <c r="F1544" s="617">
        <v>66</v>
      </c>
      <c r="G1544" s="639" t="s">
        <v>717</v>
      </c>
      <c r="H1544" s="627" t="s">
        <v>811</v>
      </c>
      <c r="I1544" s="434" t="s">
        <v>782</v>
      </c>
      <c r="J1544" s="652" t="s">
        <v>1551</v>
      </c>
      <c r="K1544" s="639" t="s">
        <v>728</v>
      </c>
      <c r="L1544" s="692" t="s">
        <v>1515</v>
      </c>
      <c r="M1544" s="692" t="s">
        <v>1516</v>
      </c>
      <c r="N1544" s="643" t="s">
        <v>1468</v>
      </c>
      <c r="O1544" s="618">
        <v>34400</v>
      </c>
      <c r="P1544" s="619">
        <f t="shared" si="30"/>
        <v>2270400</v>
      </c>
    </row>
    <row r="1545" spans="1:16" s="620" customFormat="1" ht="60.75" customHeight="1" x14ac:dyDescent="0.3">
      <c r="A1545" s="489"/>
      <c r="B1545" s="615">
        <v>121</v>
      </c>
      <c r="C1545" s="646" t="s">
        <v>1706</v>
      </c>
      <c r="D1545" s="622" t="s">
        <v>1408</v>
      </c>
      <c r="E1545" s="653" t="s">
        <v>1548</v>
      </c>
      <c r="F1545" s="617">
        <v>115</v>
      </c>
      <c r="G1545" s="639" t="s">
        <v>717</v>
      </c>
      <c r="H1545" s="626" t="s">
        <v>918</v>
      </c>
      <c r="I1545" s="434" t="s">
        <v>797</v>
      </c>
      <c r="J1545" s="652" t="s">
        <v>1551</v>
      </c>
      <c r="K1545" s="639" t="s">
        <v>728</v>
      </c>
      <c r="L1545" s="633" t="s">
        <v>1454</v>
      </c>
      <c r="M1545" s="633" t="s">
        <v>1455</v>
      </c>
      <c r="N1545" s="643" t="s">
        <v>1468</v>
      </c>
      <c r="O1545" s="618">
        <v>34400</v>
      </c>
      <c r="P1545" s="619">
        <f t="shared" si="30"/>
        <v>3956000</v>
      </c>
    </row>
    <row r="1546" spans="1:16" s="620" customFormat="1" ht="61.5" customHeight="1" x14ac:dyDescent="0.3">
      <c r="A1546" s="489"/>
      <c r="B1546" s="615">
        <v>122</v>
      </c>
      <c r="C1546" s="646" t="s">
        <v>1707</v>
      </c>
      <c r="D1546" s="622" t="s">
        <v>1410</v>
      </c>
      <c r="E1546" s="653" t="s">
        <v>1548</v>
      </c>
      <c r="F1546" s="617">
        <v>170</v>
      </c>
      <c r="G1546" s="639" t="s">
        <v>717</v>
      </c>
      <c r="H1546" s="626" t="s">
        <v>918</v>
      </c>
      <c r="I1546" s="434" t="s">
        <v>797</v>
      </c>
      <c r="J1546" s="652" t="s">
        <v>1551</v>
      </c>
      <c r="K1546" s="639" t="s">
        <v>728</v>
      </c>
      <c r="L1546" s="633" t="s">
        <v>1452</v>
      </c>
      <c r="M1546" s="633" t="s">
        <v>1453</v>
      </c>
      <c r="N1546" s="643" t="s">
        <v>1468</v>
      </c>
      <c r="O1546" s="618">
        <v>34400</v>
      </c>
      <c r="P1546" s="619">
        <f t="shared" si="30"/>
        <v>5848000</v>
      </c>
    </row>
    <row r="1547" spans="1:16" s="620" customFormat="1" ht="67.5" customHeight="1" x14ac:dyDescent="0.3">
      <c r="A1547" s="489"/>
      <c r="B1547" s="615">
        <v>123</v>
      </c>
      <c r="C1547" s="646" t="s">
        <v>1708</v>
      </c>
      <c r="D1547" s="622" t="s">
        <v>1412</v>
      </c>
      <c r="E1547" s="653" t="s">
        <v>1548</v>
      </c>
      <c r="F1547" s="617">
        <v>45</v>
      </c>
      <c r="G1547" s="639" t="s">
        <v>717</v>
      </c>
      <c r="H1547" s="626" t="s">
        <v>918</v>
      </c>
      <c r="I1547" s="434" t="s">
        <v>797</v>
      </c>
      <c r="J1547" s="652" t="s">
        <v>1551</v>
      </c>
      <c r="K1547" s="639" t="s">
        <v>728</v>
      </c>
      <c r="L1547" s="632" t="s">
        <v>1456</v>
      </c>
      <c r="M1547" s="632" t="s">
        <v>1457</v>
      </c>
      <c r="N1547" s="643" t="s">
        <v>1468</v>
      </c>
      <c r="O1547" s="618">
        <v>34400</v>
      </c>
      <c r="P1547" s="619">
        <f t="shared" si="30"/>
        <v>1548000</v>
      </c>
    </row>
    <row r="1548" spans="1:16" s="620" customFormat="1" ht="63.75" customHeight="1" x14ac:dyDescent="0.3">
      <c r="A1548" s="489"/>
      <c r="B1548" s="615">
        <v>124</v>
      </c>
      <c r="C1548" s="646" t="s">
        <v>1709</v>
      </c>
      <c r="D1548" s="622" t="s">
        <v>1409</v>
      </c>
      <c r="E1548" s="653" t="s">
        <v>1548</v>
      </c>
      <c r="F1548" s="617">
        <v>59</v>
      </c>
      <c r="G1548" s="639" t="s">
        <v>717</v>
      </c>
      <c r="H1548" s="626" t="s">
        <v>918</v>
      </c>
      <c r="I1548" s="434" t="s">
        <v>797</v>
      </c>
      <c r="J1548" s="652" t="s">
        <v>1551</v>
      </c>
      <c r="K1548" s="639" t="s">
        <v>728</v>
      </c>
      <c r="L1548" s="633" t="s">
        <v>1458</v>
      </c>
      <c r="M1548" s="633" t="s">
        <v>1459</v>
      </c>
      <c r="N1548" s="643" t="s">
        <v>1468</v>
      </c>
      <c r="O1548" s="618">
        <v>34400</v>
      </c>
      <c r="P1548" s="619">
        <f t="shared" si="30"/>
        <v>2029600</v>
      </c>
    </row>
    <row r="1549" spans="1:16" s="620" customFormat="1" ht="63.75" customHeight="1" x14ac:dyDescent="0.3">
      <c r="A1549" s="489"/>
      <c r="B1549" s="615">
        <v>125</v>
      </c>
      <c r="C1549" s="646" t="s">
        <v>1710</v>
      </c>
      <c r="D1549" s="622" t="s">
        <v>1411</v>
      </c>
      <c r="E1549" s="653" t="s">
        <v>1548</v>
      </c>
      <c r="F1549" s="617">
        <v>195</v>
      </c>
      <c r="G1549" s="639" t="s">
        <v>717</v>
      </c>
      <c r="H1549" s="626" t="s">
        <v>918</v>
      </c>
      <c r="I1549" s="434" t="s">
        <v>797</v>
      </c>
      <c r="J1549" s="652" t="s">
        <v>1551</v>
      </c>
      <c r="K1549" s="639" t="s">
        <v>728</v>
      </c>
      <c r="L1549" s="632" t="s">
        <v>1460</v>
      </c>
      <c r="M1549" s="632" t="s">
        <v>1461</v>
      </c>
      <c r="N1549" s="643" t="s">
        <v>1468</v>
      </c>
      <c r="O1549" s="618">
        <v>34400</v>
      </c>
      <c r="P1549" s="619">
        <f t="shared" si="30"/>
        <v>6708000</v>
      </c>
    </row>
    <row r="1550" spans="1:16" s="620" customFormat="1" ht="63" customHeight="1" x14ac:dyDescent="0.3">
      <c r="A1550" s="489"/>
      <c r="B1550" s="615">
        <v>126</v>
      </c>
      <c r="C1550" s="646" t="s">
        <v>1711</v>
      </c>
      <c r="D1550" s="622" t="s">
        <v>1316</v>
      </c>
      <c r="E1550" s="653" t="s">
        <v>1548</v>
      </c>
      <c r="F1550" s="617">
        <v>170</v>
      </c>
      <c r="G1550" s="639" t="s">
        <v>717</v>
      </c>
      <c r="H1550" s="626" t="s">
        <v>921</v>
      </c>
      <c r="I1550" s="434" t="s">
        <v>782</v>
      </c>
      <c r="J1550" s="652" t="s">
        <v>1551</v>
      </c>
      <c r="K1550" s="639" t="s">
        <v>728</v>
      </c>
      <c r="L1550" s="674" t="s">
        <v>1469</v>
      </c>
      <c r="M1550" s="674" t="s">
        <v>1470</v>
      </c>
      <c r="N1550" s="643" t="s">
        <v>1468</v>
      </c>
      <c r="O1550" s="618">
        <v>34400</v>
      </c>
      <c r="P1550" s="619">
        <f t="shared" si="30"/>
        <v>5848000</v>
      </c>
    </row>
    <row r="1551" spans="1:16" s="620" customFormat="1" ht="65.25" customHeight="1" x14ac:dyDescent="0.3">
      <c r="A1551" s="489"/>
      <c r="B1551" s="615">
        <v>127</v>
      </c>
      <c r="C1551" s="646" t="s">
        <v>1712</v>
      </c>
      <c r="D1551" s="622" t="s">
        <v>1422</v>
      </c>
      <c r="E1551" s="653" t="s">
        <v>1548</v>
      </c>
      <c r="F1551" s="617">
        <v>138</v>
      </c>
      <c r="G1551" s="639" t="s">
        <v>717</v>
      </c>
      <c r="H1551" s="626" t="s">
        <v>925</v>
      </c>
      <c r="I1551" s="434" t="s">
        <v>782</v>
      </c>
      <c r="J1551" s="652" t="s">
        <v>1551</v>
      </c>
      <c r="K1551" s="639" t="s">
        <v>728</v>
      </c>
      <c r="L1551" s="677" t="s">
        <v>1480</v>
      </c>
      <c r="M1551" s="677" t="s">
        <v>1481</v>
      </c>
      <c r="N1551" s="643" t="s">
        <v>1468</v>
      </c>
      <c r="O1551" s="618">
        <v>34400</v>
      </c>
      <c r="P1551" s="619">
        <f t="shared" si="30"/>
        <v>4747200</v>
      </c>
    </row>
    <row r="1552" spans="1:16" s="620" customFormat="1" ht="63" customHeight="1" x14ac:dyDescent="0.3">
      <c r="A1552" s="489"/>
      <c r="B1552" s="615">
        <v>128</v>
      </c>
      <c r="C1552" s="646" t="s">
        <v>1713</v>
      </c>
      <c r="D1552" s="622" t="s">
        <v>1334</v>
      </c>
      <c r="E1552" s="653" t="s">
        <v>1548</v>
      </c>
      <c r="F1552" s="617">
        <v>141</v>
      </c>
      <c r="G1552" s="639" t="s">
        <v>717</v>
      </c>
      <c r="H1552" s="626" t="s">
        <v>925</v>
      </c>
      <c r="I1552" s="434" t="s">
        <v>782</v>
      </c>
      <c r="J1552" s="652" t="s">
        <v>1551</v>
      </c>
      <c r="K1552" s="639" t="s">
        <v>728</v>
      </c>
      <c r="L1552" s="676" t="s">
        <v>1482</v>
      </c>
      <c r="M1552" s="676" t="s">
        <v>1483</v>
      </c>
      <c r="N1552" s="643" t="s">
        <v>1468</v>
      </c>
      <c r="O1552" s="618">
        <v>34400</v>
      </c>
      <c r="P1552" s="619">
        <f t="shared" si="30"/>
        <v>4850400</v>
      </c>
    </row>
    <row r="1553" spans="1:16" s="620" customFormat="1" ht="60.75" customHeight="1" x14ac:dyDescent="0.3">
      <c r="A1553" s="489"/>
      <c r="B1553" s="615">
        <v>129</v>
      </c>
      <c r="C1553" s="646" t="s">
        <v>1714</v>
      </c>
      <c r="D1553" s="622" t="s">
        <v>1421</v>
      </c>
      <c r="E1553" s="653" t="s">
        <v>1548</v>
      </c>
      <c r="F1553" s="617">
        <v>164</v>
      </c>
      <c r="G1553" s="639" t="s">
        <v>717</v>
      </c>
      <c r="H1553" s="626" t="s">
        <v>925</v>
      </c>
      <c r="I1553" s="434" t="s">
        <v>782</v>
      </c>
      <c r="J1553" s="652" t="s">
        <v>1551</v>
      </c>
      <c r="K1553" s="639" t="s">
        <v>728</v>
      </c>
      <c r="L1553" s="674" t="s">
        <v>1484</v>
      </c>
      <c r="M1553" s="674" t="s">
        <v>1485</v>
      </c>
      <c r="N1553" s="643" t="s">
        <v>1468</v>
      </c>
      <c r="O1553" s="618">
        <v>34400</v>
      </c>
      <c r="P1553" s="619">
        <f t="shared" si="30"/>
        <v>5641600</v>
      </c>
    </row>
    <row r="1554" spans="1:16" s="620" customFormat="1" ht="66" customHeight="1" x14ac:dyDescent="0.3">
      <c r="A1554" s="489"/>
      <c r="B1554" s="615">
        <v>130</v>
      </c>
      <c r="C1554" s="646" t="s">
        <v>1715</v>
      </c>
      <c r="D1554" s="622" t="s">
        <v>1330</v>
      </c>
      <c r="E1554" s="653" t="s">
        <v>1548</v>
      </c>
      <c r="F1554" s="617">
        <v>66</v>
      </c>
      <c r="G1554" s="639" t="s">
        <v>717</v>
      </c>
      <c r="H1554" s="626" t="s">
        <v>925</v>
      </c>
      <c r="I1554" s="434" t="s">
        <v>782</v>
      </c>
      <c r="J1554" s="652" t="s">
        <v>1551</v>
      </c>
      <c r="K1554" s="639" t="s">
        <v>728</v>
      </c>
      <c r="L1554" s="677" t="s">
        <v>1486</v>
      </c>
      <c r="M1554" s="677" t="s">
        <v>1487</v>
      </c>
      <c r="N1554" s="643" t="s">
        <v>1468</v>
      </c>
      <c r="O1554" s="618">
        <v>34400</v>
      </c>
      <c r="P1554" s="619">
        <f t="shared" si="30"/>
        <v>2270400</v>
      </c>
    </row>
    <row r="1555" spans="1:16" s="620" customFormat="1" ht="63.75" customHeight="1" x14ac:dyDescent="0.3">
      <c r="A1555" s="489"/>
      <c r="B1555" s="615">
        <v>131</v>
      </c>
      <c r="C1555" s="646" t="s">
        <v>1716</v>
      </c>
      <c r="D1555" s="622" t="s">
        <v>1332</v>
      </c>
      <c r="E1555" s="653" t="s">
        <v>1548</v>
      </c>
      <c r="F1555" s="617">
        <v>88</v>
      </c>
      <c r="G1555" s="639" t="s">
        <v>717</v>
      </c>
      <c r="H1555" s="626" t="s">
        <v>925</v>
      </c>
      <c r="I1555" s="434" t="s">
        <v>782</v>
      </c>
      <c r="J1555" s="652" t="s">
        <v>1551</v>
      </c>
      <c r="K1555" s="639" t="s">
        <v>728</v>
      </c>
      <c r="L1555" s="672" t="s">
        <v>1488</v>
      </c>
      <c r="M1555" s="672" t="s">
        <v>1489</v>
      </c>
      <c r="N1555" s="643" t="s">
        <v>1468</v>
      </c>
      <c r="O1555" s="618">
        <v>34400</v>
      </c>
      <c r="P1555" s="619">
        <f t="shared" si="30"/>
        <v>3027200</v>
      </c>
    </row>
    <row r="1556" spans="1:16" s="620" customFormat="1" ht="51.75" x14ac:dyDescent="0.3">
      <c r="A1556" s="489"/>
      <c r="B1556" s="615">
        <v>132</v>
      </c>
      <c r="C1556" s="646" t="s">
        <v>1717</v>
      </c>
      <c r="D1556" s="622" t="s">
        <v>1293</v>
      </c>
      <c r="E1556" s="624" t="s">
        <v>1837</v>
      </c>
      <c r="F1556" s="617">
        <v>16</v>
      </c>
      <c r="G1556" s="639" t="s">
        <v>717</v>
      </c>
      <c r="H1556" s="625" t="s">
        <v>1424</v>
      </c>
      <c r="I1556" s="639" t="s">
        <v>782</v>
      </c>
      <c r="J1556" s="652" t="s">
        <v>1551</v>
      </c>
      <c r="K1556" s="639" t="s">
        <v>728</v>
      </c>
      <c r="L1556" s="633" t="s">
        <v>1426</v>
      </c>
      <c r="M1556" s="633" t="s">
        <v>1427</v>
      </c>
      <c r="N1556" s="643" t="s">
        <v>1468</v>
      </c>
      <c r="O1556" s="618">
        <v>17200</v>
      </c>
      <c r="P1556" s="619">
        <f t="shared" si="30"/>
        <v>275200</v>
      </c>
    </row>
    <row r="1557" spans="1:16" s="620" customFormat="1" ht="51.75" x14ac:dyDescent="0.3">
      <c r="A1557" s="489"/>
      <c r="B1557" s="615">
        <v>133</v>
      </c>
      <c r="C1557" s="646" t="s">
        <v>1718</v>
      </c>
      <c r="D1557" s="622" t="s">
        <v>1294</v>
      </c>
      <c r="E1557" s="624" t="s">
        <v>1837</v>
      </c>
      <c r="F1557" s="617">
        <v>16</v>
      </c>
      <c r="G1557" s="639" t="s">
        <v>717</v>
      </c>
      <c r="H1557" s="625" t="s">
        <v>1424</v>
      </c>
      <c r="I1557" s="639" t="s">
        <v>782</v>
      </c>
      <c r="J1557" s="652" t="s">
        <v>1551</v>
      </c>
      <c r="K1557" s="639" t="s">
        <v>728</v>
      </c>
      <c r="L1557" s="633" t="s">
        <v>1428</v>
      </c>
      <c r="M1557" s="633" t="s">
        <v>1429</v>
      </c>
      <c r="N1557" s="643" t="s">
        <v>1468</v>
      </c>
      <c r="O1557" s="618">
        <v>17200</v>
      </c>
      <c r="P1557" s="619">
        <f t="shared" si="30"/>
        <v>275200</v>
      </c>
    </row>
    <row r="1558" spans="1:16" s="620" customFormat="1" ht="51.75" x14ac:dyDescent="0.3">
      <c r="A1558" s="489"/>
      <c r="B1558" s="615">
        <v>134</v>
      </c>
      <c r="C1558" s="646" t="s">
        <v>1719</v>
      </c>
      <c r="D1558" s="622" t="s">
        <v>1295</v>
      </c>
      <c r="E1558" s="624" t="s">
        <v>1837</v>
      </c>
      <c r="F1558" s="617">
        <v>16</v>
      </c>
      <c r="G1558" s="639" t="s">
        <v>717</v>
      </c>
      <c r="H1558" s="625" t="s">
        <v>1424</v>
      </c>
      <c r="I1558" s="639" t="s">
        <v>782</v>
      </c>
      <c r="J1558" s="652" t="s">
        <v>1551</v>
      </c>
      <c r="K1558" s="639" t="s">
        <v>728</v>
      </c>
      <c r="L1558" s="633" t="s">
        <v>1430</v>
      </c>
      <c r="M1558" s="633" t="s">
        <v>1431</v>
      </c>
      <c r="N1558" s="643" t="s">
        <v>1468</v>
      </c>
      <c r="O1558" s="618">
        <v>17200</v>
      </c>
      <c r="P1558" s="619">
        <f t="shared" si="30"/>
        <v>275200</v>
      </c>
    </row>
    <row r="1559" spans="1:16" s="620" customFormat="1" ht="51.75" x14ac:dyDescent="0.3">
      <c r="A1559" s="489"/>
      <c r="B1559" s="615">
        <v>135</v>
      </c>
      <c r="C1559" s="646" t="s">
        <v>1720</v>
      </c>
      <c r="D1559" s="622" t="s">
        <v>1296</v>
      </c>
      <c r="E1559" s="624" t="s">
        <v>1837</v>
      </c>
      <c r="F1559" s="617">
        <v>16</v>
      </c>
      <c r="G1559" s="639" t="s">
        <v>717</v>
      </c>
      <c r="H1559" s="625" t="s">
        <v>1424</v>
      </c>
      <c r="I1559" s="639" t="s">
        <v>782</v>
      </c>
      <c r="J1559" s="652" t="s">
        <v>1551</v>
      </c>
      <c r="K1559" s="639" t="s">
        <v>728</v>
      </c>
      <c r="L1559" s="633" t="s">
        <v>1432</v>
      </c>
      <c r="M1559" s="633" t="s">
        <v>1433</v>
      </c>
      <c r="N1559" s="643" t="s">
        <v>1468</v>
      </c>
      <c r="O1559" s="618">
        <v>17200</v>
      </c>
      <c r="P1559" s="619">
        <f t="shared" si="30"/>
        <v>275200</v>
      </c>
    </row>
    <row r="1560" spans="1:16" s="620" customFormat="1" ht="51.75" x14ac:dyDescent="0.3">
      <c r="A1560" s="489"/>
      <c r="B1560" s="615">
        <v>136</v>
      </c>
      <c r="C1560" s="646" t="s">
        <v>1721</v>
      </c>
      <c r="D1560" s="622" t="s">
        <v>1297</v>
      </c>
      <c r="E1560" s="624" t="s">
        <v>1837</v>
      </c>
      <c r="F1560" s="617">
        <v>16</v>
      </c>
      <c r="G1560" s="639" t="s">
        <v>717</v>
      </c>
      <c r="H1560" s="625" t="s">
        <v>1424</v>
      </c>
      <c r="I1560" s="639" t="s">
        <v>782</v>
      </c>
      <c r="J1560" s="652" t="s">
        <v>1551</v>
      </c>
      <c r="K1560" s="639" t="s">
        <v>728</v>
      </c>
      <c r="L1560" s="633" t="s">
        <v>1434</v>
      </c>
      <c r="M1560" s="633" t="s">
        <v>1435</v>
      </c>
      <c r="N1560" s="643" t="s">
        <v>1468</v>
      </c>
      <c r="O1560" s="618">
        <v>17200</v>
      </c>
      <c r="P1560" s="619">
        <f t="shared" si="30"/>
        <v>275200</v>
      </c>
    </row>
    <row r="1561" spans="1:16" s="620" customFormat="1" ht="51.75" x14ac:dyDescent="0.3">
      <c r="A1561" s="489"/>
      <c r="B1561" s="615">
        <v>137</v>
      </c>
      <c r="C1561" s="646" t="s">
        <v>1722</v>
      </c>
      <c r="D1561" s="623" t="s">
        <v>1298</v>
      </c>
      <c r="E1561" s="624" t="s">
        <v>1837</v>
      </c>
      <c r="F1561" s="617">
        <v>16</v>
      </c>
      <c r="G1561" s="639" t="s">
        <v>717</v>
      </c>
      <c r="H1561" s="625" t="s">
        <v>1008</v>
      </c>
      <c r="I1561" s="639" t="s">
        <v>782</v>
      </c>
      <c r="J1561" s="652" t="s">
        <v>1551</v>
      </c>
      <c r="K1561" s="639" t="s">
        <v>728</v>
      </c>
      <c r="L1561" s="680" t="s">
        <v>1436</v>
      </c>
      <c r="M1561" s="680" t="s">
        <v>1437</v>
      </c>
      <c r="N1561" s="643" t="s">
        <v>1468</v>
      </c>
      <c r="O1561" s="618">
        <v>17200</v>
      </c>
      <c r="P1561" s="619">
        <f t="shared" si="30"/>
        <v>275200</v>
      </c>
    </row>
    <row r="1562" spans="1:16" s="620" customFormat="1" ht="51.75" x14ac:dyDescent="0.3">
      <c r="A1562" s="489"/>
      <c r="B1562" s="615">
        <v>138</v>
      </c>
      <c r="C1562" s="646" t="s">
        <v>1723</v>
      </c>
      <c r="D1562" s="628" t="s">
        <v>1299</v>
      </c>
      <c r="E1562" s="624" t="s">
        <v>1837</v>
      </c>
      <c r="F1562" s="617">
        <v>16</v>
      </c>
      <c r="G1562" s="639" t="s">
        <v>717</v>
      </c>
      <c r="H1562" s="625" t="s">
        <v>1008</v>
      </c>
      <c r="I1562" s="639" t="s">
        <v>782</v>
      </c>
      <c r="J1562" s="652" t="s">
        <v>1551</v>
      </c>
      <c r="K1562" s="639" t="s">
        <v>728</v>
      </c>
      <c r="L1562" s="636">
        <v>6.5728799999999996</v>
      </c>
      <c r="M1562" s="657">
        <v>8.4640599999999999</v>
      </c>
      <c r="N1562" s="643" t="s">
        <v>1468</v>
      </c>
      <c r="O1562" s="618">
        <v>17200</v>
      </c>
      <c r="P1562" s="619">
        <f t="shared" si="30"/>
        <v>275200</v>
      </c>
    </row>
    <row r="1563" spans="1:16" s="620" customFormat="1" ht="51.75" x14ac:dyDescent="0.3">
      <c r="A1563" s="489"/>
      <c r="B1563" s="615">
        <v>139</v>
      </c>
      <c r="C1563" s="646" t="s">
        <v>1724</v>
      </c>
      <c r="D1563" s="614" t="s">
        <v>1302</v>
      </c>
      <c r="E1563" s="624" t="s">
        <v>1837</v>
      </c>
      <c r="F1563" s="617">
        <v>16</v>
      </c>
      <c r="G1563" s="639" t="s">
        <v>717</v>
      </c>
      <c r="H1563" s="625" t="s">
        <v>1008</v>
      </c>
      <c r="I1563" s="639" t="s">
        <v>782</v>
      </c>
      <c r="J1563" s="652" t="s">
        <v>1551</v>
      </c>
      <c r="K1563" s="639" t="s">
        <v>728</v>
      </c>
      <c r="L1563" s="633" t="s">
        <v>1440</v>
      </c>
      <c r="M1563" s="633" t="s">
        <v>1441</v>
      </c>
      <c r="N1563" s="643" t="s">
        <v>1468</v>
      </c>
      <c r="O1563" s="618">
        <v>17200</v>
      </c>
      <c r="P1563" s="619">
        <f t="shared" si="30"/>
        <v>275200</v>
      </c>
    </row>
    <row r="1564" spans="1:16" s="620" customFormat="1" ht="51.75" x14ac:dyDescent="0.3">
      <c r="A1564" s="489"/>
      <c r="B1564" s="615">
        <v>140</v>
      </c>
      <c r="C1564" s="646" t="s">
        <v>1725</v>
      </c>
      <c r="D1564" s="622" t="s">
        <v>1300</v>
      </c>
      <c r="E1564" s="624" t="s">
        <v>1837</v>
      </c>
      <c r="F1564" s="617">
        <v>16</v>
      </c>
      <c r="G1564" s="639" t="s">
        <v>717</v>
      </c>
      <c r="H1564" s="625" t="s">
        <v>1008</v>
      </c>
      <c r="I1564" s="639" t="s">
        <v>782</v>
      </c>
      <c r="J1564" s="652" t="s">
        <v>1551</v>
      </c>
      <c r="K1564" s="639" t="s">
        <v>728</v>
      </c>
      <c r="L1564" s="634">
        <v>7.2860500000000004</v>
      </c>
      <c r="M1564" s="634">
        <v>8.5421499999999995</v>
      </c>
      <c r="N1564" s="643" t="s">
        <v>1468</v>
      </c>
      <c r="O1564" s="618">
        <v>17200</v>
      </c>
      <c r="P1564" s="619">
        <f t="shared" si="30"/>
        <v>275200</v>
      </c>
    </row>
    <row r="1565" spans="1:16" s="620" customFormat="1" ht="51.75" x14ac:dyDescent="0.3">
      <c r="A1565" s="489"/>
      <c r="B1565" s="615">
        <v>141</v>
      </c>
      <c r="C1565" s="646" t="s">
        <v>1726</v>
      </c>
      <c r="D1565" s="622" t="s">
        <v>1301</v>
      </c>
      <c r="E1565" s="624" t="s">
        <v>1837</v>
      </c>
      <c r="F1565" s="617">
        <v>16</v>
      </c>
      <c r="G1565" s="639" t="s">
        <v>717</v>
      </c>
      <c r="H1565" s="625" t="s">
        <v>1008</v>
      </c>
      <c r="I1565" s="639" t="s">
        <v>782</v>
      </c>
      <c r="J1565" s="652" t="s">
        <v>1551</v>
      </c>
      <c r="K1565" s="639" t="s">
        <v>728</v>
      </c>
      <c r="L1565" s="633" t="s">
        <v>1438</v>
      </c>
      <c r="M1565" s="633" t="s">
        <v>1439</v>
      </c>
      <c r="N1565" s="643" t="s">
        <v>1468</v>
      </c>
      <c r="O1565" s="618">
        <v>17200</v>
      </c>
      <c r="P1565" s="619">
        <f t="shared" si="30"/>
        <v>275200</v>
      </c>
    </row>
    <row r="1566" spans="1:16" s="620" customFormat="1" ht="51.75" x14ac:dyDescent="0.3">
      <c r="A1566" s="489"/>
      <c r="B1566" s="615">
        <v>142</v>
      </c>
      <c r="C1566" s="646" t="s">
        <v>1727</v>
      </c>
      <c r="D1566" s="622" t="s">
        <v>1303</v>
      </c>
      <c r="E1566" s="624" t="s">
        <v>1837</v>
      </c>
      <c r="F1566" s="617">
        <v>16</v>
      </c>
      <c r="G1566" s="639" t="s">
        <v>717</v>
      </c>
      <c r="H1566" s="625" t="s">
        <v>904</v>
      </c>
      <c r="I1566" s="639" t="s">
        <v>782</v>
      </c>
      <c r="J1566" s="652" t="s">
        <v>1551</v>
      </c>
      <c r="K1566" s="639" t="s">
        <v>728</v>
      </c>
      <c r="L1566" s="671">
        <v>6.8963190000000001</v>
      </c>
      <c r="M1566" s="671">
        <v>9.2389150000000004</v>
      </c>
      <c r="N1566" s="643" t="s">
        <v>1468</v>
      </c>
      <c r="O1566" s="618">
        <v>17200</v>
      </c>
      <c r="P1566" s="619">
        <f t="shared" si="30"/>
        <v>275200</v>
      </c>
    </row>
    <row r="1567" spans="1:16" s="620" customFormat="1" ht="51.75" x14ac:dyDescent="0.3">
      <c r="A1567" s="489"/>
      <c r="B1567" s="615">
        <v>143</v>
      </c>
      <c r="C1567" s="646" t="s">
        <v>1728</v>
      </c>
      <c r="D1567" s="622" t="s">
        <v>1304</v>
      </c>
      <c r="E1567" s="624" t="s">
        <v>1837</v>
      </c>
      <c r="F1567" s="617">
        <v>16</v>
      </c>
      <c r="G1567" s="639" t="s">
        <v>717</v>
      </c>
      <c r="H1567" s="625" t="s">
        <v>904</v>
      </c>
      <c r="I1567" s="639" t="s">
        <v>782</v>
      </c>
      <c r="J1567" s="652" t="s">
        <v>1551</v>
      </c>
      <c r="K1567" s="639" t="s">
        <v>728</v>
      </c>
      <c r="L1567" s="671">
        <v>6.9119729999999997</v>
      </c>
      <c r="M1567" s="671">
        <v>9.4881779999999996</v>
      </c>
      <c r="N1567" s="643" t="s">
        <v>1468</v>
      </c>
      <c r="O1567" s="618">
        <v>17200</v>
      </c>
      <c r="P1567" s="619">
        <f t="shared" si="30"/>
        <v>275200</v>
      </c>
    </row>
    <row r="1568" spans="1:16" s="620" customFormat="1" ht="51.75" customHeight="1" x14ac:dyDescent="0.3">
      <c r="A1568" s="489"/>
      <c r="B1568" s="615">
        <v>144</v>
      </c>
      <c r="C1568" s="646" t="s">
        <v>1729</v>
      </c>
      <c r="D1568" s="622" t="s">
        <v>1307</v>
      </c>
      <c r="E1568" s="624" t="s">
        <v>1837</v>
      </c>
      <c r="F1568" s="617">
        <v>16</v>
      </c>
      <c r="G1568" s="639" t="s">
        <v>717</v>
      </c>
      <c r="H1568" s="625" t="s">
        <v>904</v>
      </c>
      <c r="I1568" s="639" t="s">
        <v>782</v>
      </c>
      <c r="J1568" s="652" t="s">
        <v>1551</v>
      </c>
      <c r="K1568" s="639" t="s">
        <v>728</v>
      </c>
      <c r="L1568" s="634">
        <v>6.8456900000000003</v>
      </c>
      <c r="M1568" s="634">
        <v>9.2908600000000003</v>
      </c>
      <c r="N1568" s="643" t="s">
        <v>1468</v>
      </c>
      <c r="O1568" s="618">
        <v>17200</v>
      </c>
      <c r="P1568" s="619">
        <f t="shared" si="30"/>
        <v>275200</v>
      </c>
    </row>
    <row r="1569" spans="1:16" s="620" customFormat="1" ht="51.75" x14ac:dyDescent="0.3">
      <c r="A1569" s="489"/>
      <c r="B1569" s="615">
        <v>145</v>
      </c>
      <c r="C1569" s="646" t="s">
        <v>1730</v>
      </c>
      <c r="D1569" s="622" t="s">
        <v>1305</v>
      </c>
      <c r="E1569" s="624" t="s">
        <v>1837</v>
      </c>
      <c r="F1569" s="617">
        <v>16</v>
      </c>
      <c r="G1569" s="639" t="s">
        <v>717</v>
      </c>
      <c r="H1569" s="625" t="s">
        <v>904</v>
      </c>
      <c r="I1569" s="434" t="s">
        <v>797</v>
      </c>
      <c r="J1569" s="652" t="s">
        <v>1551</v>
      </c>
      <c r="K1569" s="639" t="s">
        <v>728</v>
      </c>
      <c r="L1569" s="694" t="s">
        <v>1522</v>
      </c>
      <c r="M1569" s="694" t="s">
        <v>1523</v>
      </c>
      <c r="N1569" s="643" t="s">
        <v>1468</v>
      </c>
      <c r="O1569" s="618">
        <v>17200</v>
      </c>
      <c r="P1569" s="619">
        <f t="shared" si="30"/>
        <v>275200</v>
      </c>
    </row>
    <row r="1570" spans="1:16" s="620" customFormat="1" ht="51.75" x14ac:dyDescent="0.3">
      <c r="A1570" s="489"/>
      <c r="B1570" s="615">
        <v>146</v>
      </c>
      <c r="C1570" s="646" t="s">
        <v>1731</v>
      </c>
      <c r="D1570" s="622" t="s">
        <v>1306</v>
      </c>
      <c r="E1570" s="624" t="s">
        <v>1837</v>
      </c>
      <c r="F1570" s="617">
        <v>16</v>
      </c>
      <c r="G1570" s="639" t="s">
        <v>717</v>
      </c>
      <c r="H1570" s="625" t="s">
        <v>904</v>
      </c>
      <c r="I1570" s="639" t="s">
        <v>782</v>
      </c>
      <c r="J1570" s="652" t="s">
        <v>1551</v>
      </c>
      <c r="K1570" s="639" t="s">
        <v>728</v>
      </c>
      <c r="L1570" s="671">
        <v>6.8973050000000002</v>
      </c>
      <c r="M1570" s="671">
        <v>9.4975159999999992</v>
      </c>
      <c r="N1570" s="643" t="s">
        <v>1468</v>
      </c>
      <c r="O1570" s="618">
        <v>17200</v>
      </c>
      <c r="P1570" s="619">
        <f t="shared" si="30"/>
        <v>275200</v>
      </c>
    </row>
    <row r="1571" spans="1:16" s="620" customFormat="1" ht="51.75" x14ac:dyDescent="0.3">
      <c r="A1571" s="489"/>
      <c r="B1571" s="615">
        <v>147</v>
      </c>
      <c r="C1571" s="646" t="s">
        <v>1732</v>
      </c>
      <c r="D1571" s="622" t="s">
        <v>1309</v>
      </c>
      <c r="E1571" s="624" t="s">
        <v>1837</v>
      </c>
      <c r="F1571" s="617">
        <v>16</v>
      </c>
      <c r="G1571" s="639" t="s">
        <v>717</v>
      </c>
      <c r="H1571" s="625" t="s">
        <v>906</v>
      </c>
      <c r="I1571" s="639" t="s">
        <v>782</v>
      </c>
      <c r="J1571" s="652" t="s">
        <v>1551</v>
      </c>
      <c r="K1571" s="639" t="s">
        <v>728</v>
      </c>
      <c r="L1571" s="632" t="s">
        <v>1442</v>
      </c>
      <c r="M1571" s="632" t="s">
        <v>1443</v>
      </c>
      <c r="N1571" s="643" t="s">
        <v>1468</v>
      </c>
      <c r="O1571" s="618">
        <v>17200</v>
      </c>
      <c r="P1571" s="619">
        <f t="shared" si="30"/>
        <v>275200</v>
      </c>
    </row>
    <row r="1572" spans="1:16" s="620" customFormat="1" ht="51.75" x14ac:dyDescent="0.3">
      <c r="A1572" s="489"/>
      <c r="B1572" s="615">
        <v>148</v>
      </c>
      <c r="C1572" s="646" t="s">
        <v>1733</v>
      </c>
      <c r="D1572" s="622" t="s">
        <v>1310</v>
      </c>
      <c r="E1572" s="624" t="s">
        <v>1837</v>
      </c>
      <c r="F1572" s="617">
        <v>16</v>
      </c>
      <c r="G1572" s="639" t="s">
        <v>717</v>
      </c>
      <c r="H1572" s="625" t="s">
        <v>906</v>
      </c>
      <c r="I1572" s="639" t="s">
        <v>782</v>
      </c>
      <c r="J1572" s="652" t="s">
        <v>1551</v>
      </c>
      <c r="K1572" s="639" t="s">
        <v>728</v>
      </c>
      <c r="L1572" s="632" t="s">
        <v>1444</v>
      </c>
      <c r="M1572" s="632" t="s">
        <v>1445</v>
      </c>
      <c r="N1572" s="643" t="s">
        <v>1468</v>
      </c>
      <c r="O1572" s="618">
        <v>17200</v>
      </c>
      <c r="P1572" s="619">
        <f t="shared" si="30"/>
        <v>275200</v>
      </c>
    </row>
    <row r="1573" spans="1:16" s="620" customFormat="1" ht="51.75" x14ac:dyDescent="0.3">
      <c r="A1573" s="489"/>
      <c r="B1573" s="615">
        <v>149</v>
      </c>
      <c r="C1573" s="646" t="s">
        <v>1734</v>
      </c>
      <c r="D1573" s="622" t="s">
        <v>1308</v>
      </c>
      <c r="E1573" s="624" t="s">
        <v>1837</v>
      </c>
      <c r="F1573" s="617">
        <v>16</v>
      </c>
      <c r="G1573" s="639" t="s">
        <v>717</v>
      </c>
      <c r="H1573" s="625" t="s">
        <v>906</v>
      </c>
      <c r="I1573" s="639" t="s">
        <v>782</v>
      </c>
      <c r="J1573" s="652" t="s">
        <v>1551</v>
      </c>
      <c r="K1573" s="639" t="s">
        <v>728</v>
      </c>
      <c r="L1573" s="633" t="s">
        <v>1446</v>
      </c>
      <c r="M1573" s="633" t="s">
        <v>1447</v>
      </c>
      <c r="N1573" s="643" t="s">
        <v>1468</v>
      </c>
      <c r="O1573" s="618">
        <v>17200</v>
      </c>
      <c r="P1573" s="619">
        <f t="shared" si="30"/>
        <v>275200</v>
      </c>
    </row>
    <row r="1574" spans="1:16" s="620" customFormat="1" ht="51.75" x14ac:dyDescent="0.3">
      <c r="A1574" s="489"/>
      <c r="B1574" s="615">
        <v>150</v>
      </c>
      <c r="C1574" s="646" t="s">
        <v>1735</v>
      </c>
      <c r="D1574" s="622" t="s">
        <v>1311</v>
      </c>
      <c r="E1574" s="624" t="s">
        <v>1837</v>
      </c>
      <c r="F1574" s="617">
        <v>16</v>
      </c>
      <c r="G1574" s="639" t="s">
        <v>717</v>
      </c>
      <c r="H1574" s="625" t="s">
        <v>906</v>
      </c>
      <c r="I1574" s="639" t="s">
        <v>782</v>
      </c>
      <c r="J1574" s="652" t="s">
        <v>1551</v>
      </c>
      <c r="K1574" s="639" t="s">
        <v>728</v>
      </c>
      <c r="L1574" s="632" t="s">
        <v>1448</v>
      </c>
      <c r="M1574" s="632" t="s">
        <v>1449</v>
      </c>
      <c r="N1574" s="643" t="s">
        <v>1468</v>
      </c>
      <c r="O1574" s="618">
        <v>17200</v>
      </c>
      <c r="P1574" s="619">
        <f t="shared" si="30"/>
        <v>275200</v>
      </c>
    </row>
    <row r="1575" spans="1:16" s="620" customFormat="1" ht="51.75" x14ac:dyDescent="0.3">
      <c r="A1575" s="489"/>
      <c r="B1575" s="615">
        <v>151</v>
      </c>
      <c r="C1575" s="646" t="s">
        <v>1736</v>
      </c>
      <c r="D1575" s="622" t="s">
        <v>1413</v>
      </c>
      <c r="E1575" s="624" t="s">
        <v>1837</v>
      </c>
      <c r="F1575" s="617">
        <v>16</v>
      </c>
      <c r="G1575" s="639" t="s">
        <v>717</v>
      </c>
      <c r="H1575" s="625" t="s">
        <v>906</v>
      </c>
      <c r="I1575" s="639" t="s">
        <v>782</v>
      </c>
      <c r="J1575" s="652" t="s">
        <v>1551</v>
      </c>
      <c r="K1575" s="639" t="s">
        <v>728</v>
      </c>
      <c r="L1575" s="632" t="s">
        <v>1450</v>
      </c>
      <c r="M1575" s="632" t="s">
        <v>1451</v>
      </c>
      <c r="N1575" s="643" t="s">
        <v>1468</v>
      </c>
      <c r="O1575" s="618">
        <v>17200</v>
      </c>
      <c r="P1575" s="619">
        <f t="shared" si="30"/>
        <v>275200</v>
      </c>
    </row>
    <row r="1576" spans="1:16" s="620" customFormat="1" ht="51.75" x14ac:dyDescent="0.3">
      <c r="A1576" s="489"/>
      <c r="B1576" s="615">
        <v>152</v>
      </c>
      <c r="C1576" s="646" t="s">
        <v>1737</v>
      </c>
      <c r="D1576" s="622" t="s">
        <v>1312</v>
      </c>
      <c r="E1576" s="624" t="s">
        <v>1837</v>
      </c>
      <c r="F1576" s="617">
        <v>16</v>
      </c>
      <c r="G1576" s="639" t="s">
        <v>717</v>
      </c>
      <c r="H1576" s="625" t="s">
        <v>921</v>
      </c>
      <c r="I1576" s="434" t="s">
        <v>782</v>
      </c>
      <c r="J1576" s="652" t="s">
        <v>1551</v>
      </c>
      <c r="K1576" s="639" t="s">
        <v>728</v>
      </c>
      <c r="L1576" s="658">
        <v>7.4987500000000002</v>
      </c>
      <c r="M1576" s="658">
        <v>9.6113769999999992</v>
      </c>
      <c r="N1576" s="643" t="s">
        <v>1468</v>
      </c>
      <c r="O1576" s="618">
        <v>17200</v>
      </c>
      <c r="P1576" s="619">
        <f t="shared" si="30"/>
        <v>275200</v>
      </c>
    </row>
    <row r="1577" spans="1:16" s="620" customFormat="1" ht="51.75" x14ac:dyDescent="0.3">
      <c r="A1577" s="489"/>
      <c r="B1577" s="615">
        <v>153</v>
      </c>
      <c r="C1577" s="646" t="s">
        <v>1738</v>
      </c>
      <c r="D1577" s="622" t="s">
        <v>1313</v>
      </c>
      <c r="E1577" s="624" t="s">
        <v>1837</v>
      </c>
      <c r="F1577" s="617">
        <v>16</v>
      </c>
      <c r="G1577" s="639" t="s">
        <v>717</v>
      </c>
      <c r="H1577" s="625" t="s">
        <v>921</v>
      </c>
      <c r="I1577" s="639" t="s">
        <v>782</v>
      </c>
      <c r="J1577" s="652" t="s">
        <v>1551</v>
      </c>
      <c r="K1577" s="639" t="s">
        <v>728</v>
      </c>
      <c r="L1577" s="633" t="s">
        <v>1471</v>
      </c>
      <c r="M1577" s="633" t="s">
        <v>1472</v>
      </c>
      <c r="N1577" s="643" t="s">
        <v>1468</v>
      </c>
      <c r="O1577" s="618">
        <v>17200</v>
      </c>
      <c r="P1577" s="619">
        <f t="shared" si="30"/>
        <v>275200</v>
      </c>
    </row>
    <row r="1578" spans="1:16" s="620" customFormat="1" ht="51.75" x14ac:dyDescent="0.3">
      <c r="A1578" s="489"/>
      <c r="B1578" s="615">
        <v>154</v>
      </c>
      <c r="C1578" s="646" t="s">
        <v>1739</v>
      </c>
      <c r="D1578" s="629" t="s">
        <v>1317</v>
      </c>
      <c r="E1578" s="624" t="s">
        <v>1837</v>
      </c>
      <c r="F1578" s="617">
        <v>16</v>
      </c>
      <c r="G1578" s="639" t="s">
        <v>717</v>
      </c>
      <c r="H1578" s="625" t="s">
        <v>921</v>
      </c>
      <c r="I1578" s="639" t="s">
        <v>782</v>
      </c>
      <c r="J1578" s="652" t="s">
        <v>1551</v>
      </c>
      <c r="K1578" s="639" t="s">
        <v>728</v>
      </c>
      <c r="L1578" s="659">
        <v>7.5691699999999997</v>
      </c>
      <c r="M1578" s="660">
        <v>9.78139</v>
      </c>
      <c r="N1578" s="643" t="s">
        <v>1468</v>
      </c>
      <c r="O1578" s="618">
        <v>17200</v>
      </c>
      <c r="P1578" s="619">
        <f t="shared" si="30"/>
        <v>275200</v>
      </c>
    </row>
    <row r="1579" spans="1:16" s="620" customFormat="1" ht="51.75" x14ac:dyDescent="0.3">
      <c r="A1579" s="489"/>
      <c r="B1579" s="615">
        <v>155</v>
      </c>
      <c r="C1579" s="646" t="s">
        <v>1740</v>
      </c>
      <c r="D1579" s="622" t="s">
        <v>1314</v>
      </c>
      <c r="E1579" s="624" t="s">
        <v>1837</v>
      </c>
      <c r="F1579" s="617">
        <v>16</v>
      </c>
      <c r="G1579" s="639" t="s">
        <v>717</v>
      </c>
      <c r="H1579" s="625" t="s">
        <v>921</v>
      </c>
      <c r="I1579" s="639" t="s">
        <v>782</v>
      </c>
      <c r="J1579" s="652" t="s">
        <v>1551</v>
      </c>
      <c r="K1579" s="639" t="s">
        <v>728</v>
      </c>
      <c r="L1579" s="633" t="s">
        <v>1473</v>
      </c>
      <c r="M1579" s="633" t="s">
        <v>1474</v>
      </c>
      <c r="N1579" s="643" t="s">
        <v>1468</v>
      </c>
      <c r="O1579" s="618">
        <v>17200</v>
      </c>
      <c r="P1579" s="619">
        <f t="shared" si="30"/>
        <v>275200</v>
      </c>
    </row>
    <row r="1580" spans="1:16" s="620" customFormat="1" ht="51.75" x14ac:dyDescent="0.3">
      <c r="A1580" s="489"/>
      <c r="B1580" s="615">
        <v>156</v>
      </c>
      <c r="C1580" s="646" t="s">
        <v>1741</v>
      </c>
      <c r="D1580" s="622" t="s">
        <v>1315</v>
      </c>
      <c r="E1580" s="624" t="s">
        <v>1837</v>
      </c>
      <c r="F1580" s="617">
        <v>16</v>
      </c>
      <c r="G1580" s="639" t="s">
        <v>717</v>
      </c>
      <c r="H1580" s="625" t="s">
        <v>921</v>
      </c>
      <c r="I1580" s="639" t="s">
        <v>782</v>
      </c>
      <c r="J1580" s="652" t="s">
        <v>1551</v>
      </c>
      <c r="K1580" s="639" t="s">
        <v>728</v>
      </c>
      <c r="L1580" s="633" t="s">
        <v>1475</v>
      </c>
      <c r="M1580" s="633" t="s">
        <v>1476</v>
      </c>
      <c r="N1580" s="643" t="s">
        <v>1468</v>
      </c>
      <c r="O1580" s="618">
        <v>17200</v>
      </c>
      <c r="P1580" s="619">
        <f t="shared" si="30"/>
        <v>275200</v>
      </c>
    </row>
    <row r="1581" spans="1:16" s="620" customFormat="1" ht="51.75" x14ac:dyDescent="0.3">
      <c r="A1581" s="489"/>
      <c r="B1581" s="615">
        <v>157</v>
      </c>
      <c r="C1581" s="646" t="s">
        <v>1742</v>
      </c>
      <c r="D1581" s="622" t="s">
        <v>1318</v>
      </c>
      <c r="E1581" s="624" t="s">
        <v>1837</v>
      </c>
      <c r="F1581" s="617">
        <v>16</v>
      </c>
      <c r="G1581" s="639" t="s">
        <v>717</v>
      </c>
      <c r="H1581" s="625" t="s">
        <v>1039</v>
      </c>
      <c r="I1581" s="639" t="s">
        <v>782</v>
      </c>
      <c r="J1581" s="652" t="s">
        <v>1551</v>
      </c>
      <c r="K1581" s="639" t="s">
        <v>728</v>
      </c>
      <c r="L1581" s="681">
        <v>7.0383079999999998</v>
      </c>
      <c r="M1581" s="681">
        <v>9.0375979999999991</v>
      </c>
      <c r="N1581" s="643" t="s">
        <v>1468</v>
      </c>
      <c r="O1581" s="618">
        <v>17200</v>
      </c>
      <c r="P1581" s="619">
        <f t="shared" si="30"/>
        <v>275200</v>
      </c>
    </row>
    <row r="1582" spans="1:16" s="620" customFormat="1" ht="51.75" x14ac:dyDescent="0.3">
      <c r="A1582" s="489"/>
      <c r="B1582" s="615">
        <v>158</v>
      </c>
      <c r="C1582" s="646" t="s">
        <v>1743</v>
      </c>
      <c r="D1582" s="622" t="s">
        <v>1319</v>
      </c>
      <c r="E1582" s="624" t="s">
        <v>1837</v>
      </c>
      <c r="F1582" s="617">
        <v>16</v>
      </c>
      <c r="G1582" s="639" t="s">
        <v>717</v>
      </c>
      <c r="H1582" s="625" t="s">
        <v>1039</v>
      </c>
      <c r="I1582" s="639" t="s">
        <v>782</v>
      </c>
      <c r="J1582" s="652" t="s">
        <v>1551</v>
      </c>
      <c r="K1582" s="639" t="s">
        <v>728</v>
      </c>
      <c r="L1582" s="671">
        <v>7.1093000000000002</v>
      </c>
      <c r="M1582" s="671">
        <v>9.0132999999999992</v>
      </c>
      <c r="N1582" s="643" t="s">
        <v>1468</v>
      </c>
      <c r="O1582" s="618">
        <v>17200</v>
      </c>
      <c r="P1582" s="619">
        <f t="shared" si="30"/>
        <v>275200</v>
      </c>
    </row>
    <row r="1583" spans="1:16" s="620" customFormat="1" ht="51.75" x14ac:dyDescent="0.3">
      <c r="A1583" s="489"/>
      <c r="B1583" s="615">
        <v>159</v>
      </c>
      <c r="C1583" s="646" t="s">
        <v>1744</v>
      </c>
      <c r="D1583" s="622" t="s">
        <v>1320</v>
      </c>
      <c r="E1583" s="624" t="s">
        <v>1837</v>
      </c>
      <c r="F1583" s="617">
        <v>16</v>
      </c>
      <c r="G1583" s="639" t="s">
        <v>717</v>
      </c>
      <c r="H1583" s="625" t="s">
        <v>1039</v>
      </c>
      <c r="I1583" s="639" t="s">
        <v>782</v>
      </c>
      <c r="J1583" s="652" t="s">
        <v>1551</v>
      </c>
      <c r="K1583" s="639" t="s">
        <v>728</v>
      </c>
      <c r="L1583" s="671">
        <v>7.1000009999999998</v>
      </c>
      <c r="M1583" s="698">
        <v>9.02257</v>
      </c>
      <c r="N1583" s="643" t="s">
        <v>1468</v>
      </c>
      <c r="O1583" s="618">
        <v>17200</v>
      </c>
      <c r="P1583" s="619">
        <f t="shared" si="30"/>
        <v>275200</v>
      </c>
    </row>
    <row r="1584" spans="1:16" s="620" customFormat="1" ht="51.75" x14ac:dyDescent="0.3">
      <c r="A1584" s="489"/>
      <c r="B1584" s="615">
        <v>160</v>
      </c>
      <c r="C1584" s="646" t="s">
        <v>1745</v>
      </c>
      <c r="D1584" s="622" t="s">
        <v>1322</v>
      </c>
      <c r="E1584" s="624" t="s">
        <v>1837</v>
      </c>
      <c r="F1584" s="617">
        <v>16</v>
      </c>
      <c r="G1584" s="639" t="s">
        <v>717</v>
      </c>
      <c r="H1584" s="625" t="s">
        <v>1039</v>
      </c>
      <c r="I1584" s="639" t="s">
        <v>782</v>
      </c>
      <c r="J1584" s="652" t="s">
        <v>1551</v>
      </c>
      <c r="K1584" s="639" t="s">
        <v>728</v>
      </c>
      <c r="L1584" s="640">
        <v>7.0824769999999999</v>
      </c>
      <c r="M1584" s="640">
        <v>9.0179489999999998</v>
      </c>
      <c r="N1584" s="643" t="s">
        <v>1468</v>
      </c>
      <c r="O1584" s="618">
        <v>17200</v>
      </c>
      <c r="P1584" s="619">
        <f t="shared" si="30"/>
        <v>275200</v>
      </c>
    </row>
    <row r="1585" spans="1:16" s="620" customFormat="1" ht="51.75" x14ac:dyDescent="0.3">
      <c r="A1585" s="489"/>
      <c r="B1585" s="615">
        <v>161</v>
      </c>
      <c r="C1585" s="646" t="s">
        <v>1746</v>
      </c>
      <c r="D1585" s="630" t="s">
        <v>1321</v>
      </c>
      <c r="E1585" s="624" t="s">
        <v>1837</v>
      </c>
      <c r="F1585" s="617">
        <v>16</v>
      </c>
      <c r="G1585" s="639" t="s">
        <v>717</v>
      </c>
      <c r="H1585" s="625" t="s">
        <v>1039</v>
      </c>
      <c r="I1585" s="639" t="s">
        <v>782</v>
      </c>
      <c r="J1585" s="652" t="s">
        <v>1551</v>
      </c>
      <c r="K1585" s="639" t="s">
        <v>728</v>
      </c>
      <c r="L1585" s="658">
        <v>7.1411759999999997</v>
      </c>
      <c r="M1585" s="658">
        <v>9.0787669999999991</v>
      </c>
      <c r="N1585" s="643" t="s">
        <v>1468</v>
      </c>
      <c r="O1585" s="618">
        <v>17200</v>
      </c>
      <c r="P1585" s="619">
        <f t="shared" si="30"/>
        <v>275200</v>
      </c>
    </row>
    <row r="1586" spans="1:16" s="620" customFormat="1" ht="51.75" x14ac:dyDescent="0.3">
      <c r="A1586" s="489"/>
      <c r="B1586" s="615">
        <v>162</v>
      </c>
      <c r="C1586" s="646" t="s">
        <v>1747</v>
      </c>
      <c r="D1586" s="622" t="s">
        <v>1331</v>
      </c>
      <c r="E1586" s="624" t="s">
        <v>1837</v>
      </c>
      <c r="F1586" s="617">
        <v>16</v>
      </c>
      <c r="G1586" s="639" t="s">
        <v>717</v>
      </c>
      <c r="H1586" s="625" t="s">
        <v>925</v>
      </c>
      <c r="I1586" s="639" t="s">
        <v>782</v>
      </c>
      <c r="J1586" s="652" t="s">
        <v>1551</v>
      </c>
      <c r="K1586" s="639" t="s">
        <v>728</v>
      </c>
      <c r="L1586" s="669">
        <v>7.00441</v>
      </c>
      <c r="M1586" s="670">
        <v>9.02257</v>
      </c>
      <c r="N1586" s="643" t="s">
        <v>1468</v>
      </c>
      <c r="O1586" s="618">
        <v>17200</v>
      </c>
      <c r="P1586" s="619">
        <f t="shared" si="30"/>
        <v>275200</v>
      </c>
    </row>
    <row r="1587" spans="1:16" s="620" customFormat="1" ht="51.75" x14ac:dyDescent="0.3">
      <c r="A1587" s="489"/>
      <c r="B1587" s="615">
        <v>163</v>
      </c>
      <c r="C1587" s="646" t="s">
        <v>1748</v>
      </c>
      <c r="D1587" s="622" t="s">
        <v>1326</v>
      </c>
      <c r="E1587" s="624" t="s">
        <v>1837</v>
      </c>
      <c r="F1587" s="617">
        <v>16</v>
      </c>
      <c r="G1587" s="639" t="s">
        <v>717</v>
      </c>
      <c r="H1587" s="625" t="s">
        <v>925</v>
      </c>
      <c r="I1587" s="639" t="s">
        <v>782</v>
      </c>
      <c r="J1587" s="652" t="s">
        <v>1551</v>
      </c>
      <c r="K1587" s="639" t="s">
        <v>728</v>
      </c>
      <c r="L1587" s="669">
        <v>6.9416669999999998</v>
      </c>
      <c r="M1587" s="670">
        <v>9.0613889000000007</v>
      </c>
      <c r="N1587" s="643" t="s">
        <v>1468</v>
      </c>
      <c r="O1587" s="618">
        <v>17200</v>
      </c>
      <c r="P1587" s="619">
        <f t="shared" si="30"/>
        <v>275200</v>
      </c>
    </row>
    <row r="1588" spans="1:16" s="620" customFormat="1" ht="51.75" x14ac:dyDescent="0.3">
      <c r="A1588" s="489"/>
      <c r="B1588" s="615">
        <v>164</v>
      </c>
      <c r="C1588" s="646" t="s">
        <v>1749</v>
      </c>
      <c r="D1588" s="622" t="s">
        <v>1329</v>
      </c>
      <c r="E1588" s="624" t="s">
        <v>1837</v>
      </c>
      <c r="F1588" s="617">
        <v>16</v>
      </c>
      <c r="G1588" s="639" t="s">
        <v>717</v>
      </c>
      <c r="H1588" s="625" t="s">
        <v>925</v>
      </c>
      <c r="I1588" s="639" t="s">
        <v>782</v>
      </c>
      <c r="J1588" s="652" t="s">
        <v>1551</v>
      </c>
      <c r="K1588" s="639" t="s">
        <v>728</v>
      </c>
      <c r="L1588" s="669">
        <v>6.8022200000000002</v>
      </c>
      <c r="M1588" s="670">
        <v>9.0302769999999999</v>
      </c>
      <c r="N1588" s="643" t="s">
        <v>1468</v>
      </c>
      <c r="O1588" s="618">
        <v>17200</v>
      </c>
      <c r="P1588" s="619">
        <f t="shared" si="30"/>
        <v>275200</v>
      </c>
    </row>
    <row r="1589" spans="1:16" s="620" customFormat="1" ht="51.75" x14ac:dyDescent="0.3">
      <c r="A1589" s="489"/>
      <c r="B1589" s="615">
        <v>165</v>
      </c>
      <c r="C1589" s="646" t="s">
        <v>1750</v>
      </c>
      <c r="D1589" s="622" t="s">
        <v>1333</v>
      </c>
      <c r="E1589" s="624" t="s">
        <v>1837</v>
      </c>
      <c r="F1589" s="617">
        <v>16</v>
      </c>
      <c r="G1589" s="639" t="s">
        <v>717</v>
      </c>
      <c r="H1589" s="625" t="s">
        <v>925</v>
      </c>
      <c r="I1589" s="639" t="s">
        <v>782</v>
      </c>
      <c r="J1589" s="652" t="s">
        <v>1551</v>
      </c>
      <c r="K1589" s="639" t="s">
        <v>728</v>
      </c>
      <c r="L1589" s="632" t="s">
        <v>1462</v>
      </c>
      <c r="M1589" s="632" t="s">
        <v>1463</v>
      </c>
      <c r="N1589" s="643" t="s">
        <v>1468</v>
      </c>
      <c r="O1589" s="618">
        <v>17200</v>
      </c>
      <c r="P1589" s="619">
        <f t="shared" si="30"/>
        <v>275200</v>
      </c>
    </row>
    <row r="1590" spans="1:16" s="620" customFormat="1" ht="51.75" x14ac:dyDescent="0.3">
      <c r="A1590" s="489"/>
      <c r="B1590" s="615">
        <v>166</v>
      </c>
      <c r="C1590" s="646" t="s">
        <v>1751</v>
      </c>
      <c r="D1590" s="622" t="s">
        <v>1335</v>
      </c>
      <c r="E1590" s="624" t="s">
        <v>1837</v>
      </c>
      <c r="F1590" s="617">
        <v>16</v>
      </c>
      <c r="G1590" s="639" t="s">
        <v>717</v>
      </c>
      <c r="H1590" s="625" t="s">
        <v>925</v>
      </c>
      <c r="I1590" s="639" t="s">
        <v>782</v>
      </c>
      <c r="J1590" s="652" t="s">
        <v>1551</v>
      </c>
      <c r="K1590" s="639" t="s">
        <v>728</v>
      </c>
      <c r="L1590" s="635">
        <v>6.9568000000000003</v>
      </c>
      <c r="M1590" s="635">
        <v>9.0514200000000002</v>
      </c>
      <c r="N1590" s="643" t="s">
        <v>1468</v>
      </c>
      <c r="O1590" s="618">
        <v>17200</v>
      </c>
      <c r="P1590" s="619">
        <f t="shared" si="30"/>
        <v>275200</v>
      </c>
    </row>
    <row r="1591" spans="1:16" s="620" customFormat="1" ht="51.75" x14ac:dyDescent="0.3">
      <c r="A1591" s="489"/>
      <c r="B1591" s="615">
        <v>167</v>
      </c>
      <c r="C1591" s="646" t="s">
        <v>1752</v>
      </c>
      <c r="D1591" s="622" t="s">
        <v>1323</v>
      </c>
      <c r="E1591" s="624" t="s">
        <v>1837</v>
      </c>
      <c r="F1591" s="617">
        <v>16</v>
      </c>
      <c r="G1591" s="639" t="s">
        <v>717</v>
      </c>
      <c r="H1591" s="625" t="s">
        <v>925</v>
      </c>
      <c r="I1591" s="639" t="s">
        <v>782</v>
      </c>
      <c r="J1591" s="652" t="s">
        <v>1551</v>
      </c>
      <c r="K1591" s="639" t="s">
        <v>728</v>
      </c>
      <c r="L1591" s="633" t="s">
        <v>1466</v>
      </c>
      <c r="M1591" s="633" t="s">
        <v>1467</v>
      </c>
      <c r="N1591" s="643" t="s">
        <v>1468</v>
      </c>
      <c r="O1591" s="618">
        <v>17200</v>
      </c>
      <c r="P1591" s="619">
        <f t="shared" si="30"/>
        <v>275200</v>
      </c>
    </row>
    <row r="1592" spans="1:16" s="620" customFormat="1" ht="51.75" x14ac:dyDescent="0.3">
      <c r="A1592" s="489"/>
      <c r="B1592" s="615">
        <v>168</v>
      </c>
      <c r="C1592" s="646" t="s">
        <v>1753</v>
      </c>
      <c r="D1592" s="622" t="s">
        <v>1324</v>
      </c>
      <c r="E1592" s="624" t="s">
        <v>1837</v>
      </c>
      <c r="F1592" s="617">
        <v>16</v>
      </c>
      <c r="G1592" s="639" t="s">
        <v>717</v>
      </c>
      <c r="H1592" s="625" t="s">
        <v>925</v>
      </c>
      <c r="I1592" s="639" t="s">
        <v>782</v>
      </c>
      <c r="J1592" s="652" t="s">
        <v>1551</v>
      </c>
      <c r="K1592" s="639" t="s">
        <v>728</v>
      </c>
      <c r="L1592" s="633" t="s">
        <v>1464</v>
      </c>
      <c r="M1592" s="633" t="s">
        <v>1465</v>
      </c>
      <c r="N1592" s="643" t="s">
        <v>1468</v>
      </c>
      <c r="O1592" s="618">
        <v>17200</v>
      </c>
      <c r="P1592" s="619">
        <f t="shared" si="30"/>
        <v>275200</v>
      </c>
    </row>
    <row r="1593" spans="1:16" s="620" customFormat="1" ht="51.75" x14ac:dyDescent="0.3">
      <c r="A1593" s="489"/>
      <c r="B1593" s="615">
        <v>169</v>
      </c>
      <c r="C1593" s="646" t="s">
        <v>1754</v>
      </c>
      <c r="D1593" s="622" t="s">
        <v>1325</v>
      </c>
      <c r="E1593" s="624" t="s">
        <v>1837</v>
      </c>
      <c r="F1593" s="617">
        <v>16</v>
      </c>
      <c r="G1593" s="639" t="s">
        <v>717</v>
      </c>
      <c r="H1593" s="625" t="s">
        <v>925</v>
      </c>
      <c r="I1593" s="639" t="s">
        <v>782</v>
      </c>
      <c r="J1593" s="652" t="s">
        <v>1551</v>
      </c>
      <c r="K1593" s="639" t="s">
        <v>728</v>
      </c>
      <c r="L1593" s="634">
        <v>7.068371</v>
      </c>
      <c r="M1593" s="634">
        <v>8.8117319999999992</v>
      </c>
      <c r="N1593" s="643" t="s">
        <v>1468</v>
      </c>
      <c r="O1593" s="618">
        <v>17200</v>
      </c>
      <c r="P1593" s="619">
        <f t="shared" si="30"/>
        <v>275200</v>
      </c>
    </row>
    <row r="1594" spans="1:16" s="620" customFormat="1" ht="51.75" x14ac:dyDescent="0.3">
      <c r="A1594" s="489"/>
      <c r="B1594" s="615">
        <v>170</v>
      </c>
      <c r="C1594" s="646" t="s">
        <v>1755</v>
      </c>
      <c r="D1594" s="622" t="s">
        <v>1328</v>
      </c>
      <c r="E1594" s="624" t="s">
        <v>1837</v>
      </c>
      <c r="F1594" s="617">
        <v>16</v>
      </c>
      <c r="G1594" s="639" t="s">
        <v>717</v>
      </c>
      <c r="H1594" s="625" t="s">
        <v>925</v>
      </c>
      <c r="I1594" s="639" t="s">
        <v>782</v>
      </c>
      <c r="J1594" s="652" t="s">
        <v>1551</v>
      </c>
      <c r="K1594" s="639" t="s">
        <v>728</v>
      </c>
      <c r="L1594" s="635">
        <v>6.8174200000000003</v>
      </c>
      <c r="M1594" s="635">
        <v>9.0188100000000002</v>
      </c>
      <c r="N1594" s="643" t="s">
        <v>1468</v>
      </c>
      <c r="O1594" s="618">
        <v>17200</v>
      </c>
      <c r="P1594" s="619">
        <f t="shared" si="30"/>
        <v>275200</v>
      </c>
    </row>
    <row r="1595" spans="1:16" s="620" customFormat="1" ht="51.75" x14ac:dyDescent="0.3">
      <c r="A1595" s="489"/>
      <c r="B1595" s="615">
        <v>171</v>
      </c>
      <c r="C1595" s="646" t="s">
        <v>1756</v>
      </c>
      <c r="D1595" s="622" t="s">
        <v>1327</v>
      </c>
      <c r="E1595" s="624" t="s">
        <v>1837</v>
      </c>
      <c r="F1595" s="617">
        <v>16</v>
      </c>
      <c r="G1595" s="639" t="s">
        <v>717</v>
      </c>
      <c r="H1595" s="625" t="s">
        <v>925</v>
      </c>
      <c r="I1595" s="639" t="s">
        <v>782</v>
      </c>
      <c r="J1595" s="652" t="s">
        <v>1551</v>
      </c>
      <c r="K1595" s="639" t="s">
        <v>728</v>
      </c>
      <c r="L1595" s="669">
        <v>6.7572219999999996</v>
      </c>
      <c r="M1595" s="670">
        <v>9.0336110000000005</v>
      </c>
      <c r="N1595" s="643" t="s">
        <v>1468</v>
      </c>
      <c r="O1595" s="618">
        <v>17200</v>
      </c>
      <c r="P1595" s="619">
        <f t="shared" si="30"/>
        <v>275200</v>
      </c>
    </row>
    <row r="1596" spans="1:16" s="620" customFormat="1" ht="51.75" x14ac:dyDescent="0.3">
      <c r="A1596" s="489"/>
      <c r="B1596" s="615">
        <v>172</v>
      </c>
      <c r="C1596" s="646" t="s">
        <v>1757</v>
      </c>
      <c r="D1596" s="631" t="s">
        <v>1336</v>
      </c>
      <c r="E1596" s="624" t="s">
        <v>1837</v>
      </c>
      <c r="F1596" s="617">
        <v>16</v>
      </c>
      <c r="G1596" s="639" t="s">
        <v>717</v>
      </c>
      <c r="H1596" s="626" t="s">
        <v>888</v>
      </c>
      <c r="I1596" s="639" t="s">
        <v>782</v>
      </c>
      <c r="J1596" s="652" t="s">
        <v>1551</v>
      </c>
      <c r="K1596" s="639" t="s">
        <v>728</v>
      </c>
      <c r="L1596" s="678">
        <v>7.4572200000000004</v>
      </c>
      <c r="M1596" s="679">
        <v>9.1937499999999996</v>
      </c>
      <c r="N1596" s="643" t="s">
        <v>1468</v>
      </c>
      <c r="O1596" s="618">
        <v>17200</v>
      </c>
      <c r="P1596" s="619">
        <f t="shared" si="30"/>
        <v>275200</v>
      </c>
    </row>
    <row r="1597" spans="1:16" s="620" customFormat="1" ht="51.75" x14ac:dyDescent="0.3">
      <c r="A1597" s="489"/>
      <c r="B1597" s="615">
        <v>173</v>
      </c>
      <c r="C1597" s="646" t="s">
        <v>1758</v>
      </c>
      <c r="D1597" s="631" t="s">
        <v>1337</v>
      </c>
      <c r="E1597" s="624" t="s">
        <v>1837</v>
      </c>
      <c r="F1597" s="617">
        <v>16</v>
      </c>
      <c r="G1597" s="639" t="s">
        <v>717</v>
      </c>
      <c r="H1597" s="626" t="s">
        <v>888</v>
      </c>
      <c r="I1597" s="639" t="s">
        <v>782</v>
      </c>
      <c r="J1597" s="652" t="s">
        <v>1551</v>
      </c>
      <c r="K1597" s="639" t="s">
        <v>728</v>
      </c>
      <c r="L1597" s="633" t="s">
        <v>1507</v>
      </c>
      <c r="M1597" s="633" t="s">
        <v>1508</v>
      </c>
      <c r="N1597" s="643" t="s">
        <v>1468</v>
      </c>
      <c r="O1597" s="618">
        <v>17200</v>
      </c>
      <c r="P1597" s="619">
        <f t="shared" si="30"/>
        <v>275200</v>
      </c>
    </row>
    <row r="1598" spans="1:16" s="620" customFormat="1" ht="51.75" x14ac:dyDescent="0.3">
      <c r="A1598" s="489"/>
      <c r="B1598" s="615">
        <v>174</v>
      </c>
      <c r="C1598" s="646" t="s">
        <v>1759</v>
      </c>
      <c r="D1598" s="631" t="s">
        <v>1338</v>
      </c>
      <c r="E1598" s="624" t="s">
        <v>1837</v>
      </c>
      <c r="F1598" s="617">
        <v>16</v>
      </c>
      <c r="G1598" s="639" t="s">
        <v>717</v>
      </c>
      <c r="H1598" s="626" t="s">
        <v>888</v>
      </c>
      <c r="I1598" s="639" t="s">
        <v>782</v>
      </c>
      <c r="J1598" s="652" t="s">
        <v>1551</v>
      </c>
      <c r="K1598" s="639" t="s">
        <v>728</v>
      </c>
      <c r="L1598" s="633" t="s">
        <v>1503</v>
      </c>
      <c r="M1598" s="633" t="s">
        <v>1504</v>
      </c>
      <c r="N1598" s="643" t="s">
        <v>1468</v>
      </c>
      <c r="O1598" s="618">
        <v>17200</v>
      </c>
      <c r="P1598" s="619">
        <f t="shared" si="30"/>
        <v>275200</v>
      </c>
    </row>
    <row r="1599" spans="1:16" s="620" customFormat="1" ht="51.75" x14ac:dyDescent="0.3">
      <c r="A1599" s="489"/>
      <c r="B1599" s="615">
        <v>175</v>
      </c>
      <c r="C1599" s="646" t="s">
        <v>1760</v>
      </c>
      <c r="D1599" s="631" t="s">
        <v>1339</v>
      </c>
      <c r="E1599" s="624" t="s">
        <v>1837</v>
      </c>
      <c r="F1599" s="617">
        <v>16</v>
      </c>
      <c r="G1599" s="639" t="s">
        <v>717</v>
      </c>
      <c r="H1599" s="626" t="s">
        <v>888</v>
      </c>
      <c r="I1599" s="639" t="s">
        <v>782</v>
      </c>
      <c r="J1599" s="652" t="s">
        <v>1551</v>
      </c>
      <c r="K1599" s="639" t="s">
        <v>728</v>
      </c>
      <c r="L1599" s="632" t="s">
        <v>1500</v>
      </c>
      <c r="M1599" s="632" t="s">
        <v>1501</v>
      </c>
      <c r="N1599" s="643" t="s">
        <v>1468</v>
      </c>
      <c r="O1599" s="618">
        <v>17200</v>
      </c>
      <c r="P1599" s="619">
        <f t="shared" si="30"/>
        <v>275200</v>
      </c>
    </row>
    <row r="1600" spans="1:16" s="620" customFormat="1" ht="51.75" x14ac:dyDescent="0.3">
      <c r="A1600" s="489"/>
      <c r="B1600" s="615">
        <v>176</v>
      </c>
      <c r="C1600" s="646" t="s">
        <v>1761</v>
      </c>
      <c r="D1600" s="631" t="s">
        <v>1340</v>
      </c>
      <c r="E1600" s="624" t="s">
        <v>1837</v>
      </c>
      <c r="F1600" s="617">
        <v>16</v>
      </c>
      <c r="G1600" s="639" t="s">
        <v>717</v>
      </c>
      <c r="H1600" s="626" t="s">
        <v>888</v>
      </c>
      <c r="I1600" s="639" t="s">
        <v>782</v>
      </c>
      <c r="J1600" s="652" t="s">
        <v>1551</v>
      </c>
      <c r="K1600" s="639" t="s">
        <v>728</v>
      </c>
      <c r="L1600" s="633" t="s">
        <v>1505</v>
      </c>
      <c r="M1600" s="633" t="s">
        <v>1506</v>
      </c>
      <c r="N1600" s="643" t="s">
        <v>1468</v>
      </c>
      <c r="O1600" s="618">
        <v>17200</v>
      </c>
      <c r="P1600" s="619">
        <f t="shared" si="30"/>
        <v>275200</v>
      </c>
    </row>
    <row r="1601" spans="1:16" s="620" customFormat="1" ht="51.75" x14ac:dyDescent="0.3">
      <c r="A1601" s="489"/>
      <c r="B1601" s="615">
        <v>177</v>
      </c>
      <c r="C1601" s="646" t="s">
        <v>1762</v>
      </c>
      <c r="D1601" s="616" t="s">
        <v>1343</v>
      </c>
      <c r="E1601" s="624" t="s">
        <v>1837</v>
      </c>
      <c r="F1601" s="617">
        <v>16</v>
      </c>
      <c r="G1601" s="639" t="s">
        <v>717</v>
      </c>
      <c r="H1601" s="626" t="s">
        <v>892</v>
      </c>
      <c r="I1601" s="639" t="s">
        <v>797</v>
      </c>
      <c r="J1601" s="652" t="s">
        <v>1551</v>
      </c>
      <c r="K1601" s="639" t="s">
        <v>728</v>
      </c>
      <c r="L1601" s="669">
        <v>7.3608719999999996</v>
      </c>
      <c r="M1601" s="670">
        <v>9.0418620000000001</v>
      </c>
      <c r="N1601" s="643" t="s">
        <v>1468</v>
      </c>
      <c r="O1601" s="618">
        <v>17200</v>
      </c>
      <c r="P1601" s="619">
        <f t="shared" si="30"/>
        <v>275200</v>
      </c>
    </row>
    <row r="1602" spans="1:16" s="620" customFormat="1" ht="51.75" x14ac:dyDescent="0.3">
      <c r="A1602" s="489"/>
      <c r="B1602" s="615">
        <v>178</v>
      </c>
      <c r="C1602" s="646" t="s">
        <v>1763</v>
      </c>
      <c r="D1602" s="616" t="s">
        <v>1341</v>
      </c>
      <c r="E1602" s="624" t="s">
        <v>1837</v>
      </c>
      <c r="F1602" s="617">
        <v>16</v>
      </c>
      <c r="G1602" s="639" t="s">
        <v>717</v>
      </c>
      <c r="H1602" s="626" t="s">
        <v>892</v>
      </c>
      <c r="I1602" s="639" t="s">
        <v>797</v>
      </c>
      <c r="J1602" s="652" t="s">
        <v>1551</v>
      </c>
      <c r="K1602" s="639" t="s">
        <v>728</v>
      </c>
      <c r="L1602" s="671">
        <v>7.3019566999999999</v>
      </c>
      <c r="M1602" s="671">
        <v>8.7816817</v>
      </c>
      <c r="N1602" s="643" t="s">
        <v>1468</v>
      </c>
      <c r="O1602" s="618">
        <v>17200</v>
      </c>
      <c r="P1602" s="619">
        <f t="shared" si="30"/>
        <v>275200</v>
      </c>
    </row>
    <row r="1603" spans="1:16" s="620" customFormat="1" ht="51.75" x14ac:dyDescent="0.3">
      <c r="A1603" s="489"/>
      <c r="B1603" s="615">
        <v>179</v>
      </c>
      <c r="C1603" s="646" t="s">
        <v>1764</v>
      </c>
      <c r="D1603" s="616" t="s">
        <v>1414</v>
      </c>
      <c r="E1603" s="624" t="s">
        <v>1837</v>
      </c>
      <c r="F1603" s="617">
        <v>16</v>
      </c>
      <c r="G1603" s="639" t="s">
        <v>717</v>
      </c>
      <c r="H1603" s="626" t="s">
        <v>892</v>
      </c>
      <c r="I1603" s="639" t="s">
        <v>782</v>
      </c>
      <c r="J1603" s="652" t="s">
        <v>1551</v>
      </c>
      <c r="K1603" s="639" t="s">
        <v>728</v>
      </c>
      <c r="L1603" s="671">
        <v>7.4215499999999999</v>
      </c>
      <c r="M1603" s="671">
        <v>8.9688730000000003</v>
      </c>
      <c r="N1603" s="643" t="s">
        <v>1468</v>
      </c>
      <c r="O1603" s="618">
        <v>17200</v>
      </c>
      <c r="P1603" s="619">
        <f t="shared" si="30"/>
        <v>275200</v>
      </c>
    </row>
    <row r="1604" spans="1:16" s="620" customFormat="1" ht="51.75" x14ac:dyDescent="0.3">
      <c r="A1604" s="489"/>
      <c r="B1604" s="615">
        <v>180</v>
      </c>
      <c r="C1604" s="646" t="s">
        <v>1765</v>
      </c>
      <c r="D1604" s="616" t="s">
        <v>1342</v>
      </c>
      <c r="E1604" s="624" t="s">
        <v>1837</v>
      </c>
      <c r="F1604" s="617">
        <v>16</v>
      </c>
      <c r="G1604" s="639" t="s">
        <v>717</v>
      </c>
      <c r="H1604" s="626" t="s">
        <v>892</v>
      </c>
      <c r="I1604" s="639" t="s">
        <v>797</v>
      </c>
      <c r="J1604" s="652" t="s">
        <v>1551</v>
      </c>
      <c r="K1604" s="639" t="s">
        <v>728</v>
      </c>
      <c r="L1604" s="669">
        <v>7.3541667000000004</v>
      </c>
      <c r="M1604" s="670">
        <v>8.7857769999999995</v>
      </c>
      <c r="N1604" s="643" t="s">
        <v>1468</v>
      </c>
      <c r="O1604" s="618">
        <v>17200</v>
      </c>
      <c r="P1604" s="619">
        <f t="shared" si="30"/>
        <v>275200</v>
      </c>
    </row>
    <row r="1605" spans="1:16" s="620" customFormat="1" ht="51.75" x14ac:dyDescent="0.3">
      <c r="A1605" s="489"/>
      <c r="B1605" s="615">
        <v>181</v>
      </c>
      <c r="C1605" s="646" t="s">
        <v>1766</v>
      </c>
      <c r="D1605" s="616" t="s">
        <v>1344</v>
      </c>
      <c r="E1605" s="624" t="s">
        <v>1837</v>
      </c>
      <c r="F1605" s="617">
        <v>16</v>
      </c>
      <c r="G1605" s="639" t="s">
        <v>717</v>
      </c>
      <c r="H1605" s="626" t="s">
        <v>892</v>
      </c>
      <c r="I1605" s="639" t="s">
        <v>797</v>
      </c>
      <c r="J1605" s="652" t="s">
        <v>1551</v>
      </c>
      <c r="K1605" s="639" t="s">
        <v>728</v>
      </c>
      <c r="L1605" s="682">
        <v>7.2138400000000003</v>
      </c>
      <c r="M1605" s="682">
        <v>9.0230999999999995</v>
      </c>
      <c r="N1605" s="643" t="s">
        <v>1468</v>
      </c>
      <c r="O1605" s="618">
        <v>17200</v>
      </c>
      <c r="P1605" s="619">
        <f t="shared" si="30"/>
        <v>275200</v>
      </c>
    </row>
    <row r="1606" spans="1:16" s="620" customFormat="1" ht="51.75" x14ac:dyDescent="0.3">
      <c r="A1606" s="489"/>
      <c r="B1606" s="615">
        <v>182</v>
      </c>
      <c r="C1606" s="646" t="s">
        <v>1767</v>
      </c>
      <c r="D1606" s="622" t="s">
        <v>1345</v>
      </c>
      <c r="E1606" s="624" t="s">
        <v>1837</v>
      </c>
      <c r="F1606" s="617">
        <v>16</v>
      </c>
      <c r="G1606" s="639" t="s">
        <v>717</v>
      </c>
      <c r="H1606" s="626" t="s">
        <v>893</v>
      </c>
      <c r="I1606" s="639" t="s">
        <v>782</v>
      </c>
      <c r="J1606" s="652" t="s">
        <v>1551</v>
      </c>
      <c r="K1606" s="639" t="s">
        <v>728</v>
      </c>
      <c r="L1606" s="678">
        <v>7.7506159999999999</v>
      </c>
      <c r="M1606" s="679">
        <v>8.7482539999999993</v>
      </c>
      <c r="N1606" s="643" t="s">
        <v>1468</v>
      </c>
      <c r="O1606" s="618">
        <v>17200</v>
      </c>
      <c r="P1606" s="619">
        <f t="shared" si="30"/>
        <v>275200</v>
      </c>
    </row>
    <row r="1607" spans="1:16" s="620" customFormat="1" ht="51.75" x14ac:dyDescent="0.3">
      <c r="A1607" s="489"/>
      <c r="B1607" s="615">
        <v>183</v>
      </c>
      <c r="C1607" s="646" t="s">
        <v>1768</v>
      </c>
      <c r="D1607" s="622" t="s">
        <v>1346</v>
      </c>
      <c r="E1607" s="624" t="s">
        <v>1837</v>
      </c>
      <c r="F1607" s="617">
        <v>16</v>
      </c>
      <c r="G1607" s="639" t="s">
        <v>717</v>
      </c>
      <c r="H1607" s="626" t="s">
        <v>893</v>
      </c>
      <c r="I1607" s="639" t="s">
        <v>782</v>
      </c>
      <c r="J1607" s="652" t="s">
        <v>1551</v>
      </c>
      <c r="K1607" s="639" t="s">
        <v>728</v>
      </c>
      <c r="L1607" s="671">
        <v>7.82301</v>
      </c>
      <c r="M1607" s="671">
        <v>8.8593100000000007</v>
      </c>
      <c r="N1607" s="643" t="s">
        <v>1468</v>
      </c>
      <c r="O1607" s="618">
        <v>17200</v>
      </c>
      <c r="P1607" s="619">
        <f t="shared" si="30"/>
        <v>275200</v>
      </c>
    </row>
    <row r="1608" spans="1:16" s="620" customFormat="1" ht="51.75" x14ac:dyDescent="0.3">
      <c r="A1608" s="489"/>
      <c r="B1608" s="615">
        <v>184</v>
      </c>
      <c r="C1608" s="646" t="s">
        <v>1769</v>
      </c>
      <c r="D1608" s="622" t="s">
        <v>1349</v>
      </c>
      <c r="E1608" s="624" t="s">
        <v>1837</v>
      </c>
      <c r="F1608" s="617">
        <v>16</v>
      </c>
      <c r="G1608" s="639" t="s">
        <v>717</v>
      </c>
      <c r="H1608" s="626" t="s">
        <v>893</v>
      </c>
      <c r="I1608" s="639" t="s">
        <v>782</v>
      </c>
      <c r="J1608" s="652" t="s">
        <v>1551</v>
      </c>
      <c r="K1608" s="639" t="s">
        <v>728</v>
      </c>
      <c r="L1608" s="635">
        <v>8.0458099999999995</v>
      </c>
      <c r="M1608" s="635">
        <v>8.7782199999999992</v>
      </c>
      <c r="N1608" s="643" t="s">
        <v>1468</v>
      </c>
      <c r="O1608" s="618">
        <v>17200</v>
      </c>
      <c r="P1608" s="619">
        <f t="shared" si="30"/>
        <v>275200</v>
      </c>
    </row>
    <row r="1609" spans="1:16" s="620" customFormat="1" ht="51.75" x14ac:dyDescent="0.3">
      <c r="A1609" s="489"/>
      <c r="B1609" s="615">
        <v>185</v>
      </c>
      <c r="C1609" s="646" t="s">
        <v>1770</v>
      </c>
      <c r="D1609" s="622" t="s">
        <v>1347</v>
      </c>
      <c r="E1609" s="624" t="s">
        <v>1837</v>
      </c>
      <c r="F1609" s="617">
        <v>16</v>
      </c>
      <c r="G1609" s="639" t="s">
        <v>717</v>
      </c>
      <c r="H1609" s="626" t="s">
        <v>893</v>
      </c>
      <c r="I1609" s="639" t="s">
        <v>782</v>
      </c>
      <c r="J1609" s="652" t="s">
        <v>1551</v>
      </c>
      <c r="K1609" s="639" t="s">
        <v>728</v>
      </c>
      <c r="L1609" s="658">
        <v>7.9712560000000003</v>
      </c>
      <c r="M1609" s="658">
        <v>8.6346699999999998</v>
      </c>
      <c r="N1609" s="643" t="s">
        <v>1468</v>
      </c>
      <c r="O1609" s="618">
        <v>17200</v>
      </c>
      <c r="P1609" s="619">
        <f t="shared" si="30"/>
        <v>275200</v>
      </c>
    </row>
    <row r="1610" spans="1:16" s="620" customFormat="1" ht="51.75" x14ac:dyDescent="0.3">
      <c r="A1610" s="489"/>
      <c r="B1610" s="615">
        <v>186</v>
      </c>
      <c r="C1610" s="646" t="s">
        <v>1771</v>
      </c>
      <c r="D1610" s="622" t="s">
        <v>1348</v>
      </c>
      <c r="E1610" s="624" t="s">
        <v>1837</v>
      </c>
      <c r="F1610" s="617">
        <v>16</v>
      </c>
      <c r="G1610" s="639" t="s">
        <v>717</v>
      </c>
      <c r="H1610" s="626" t="s">
        <v>893</v>
      </c>
      <c r="I1610" s="639" t="s">
        <v>782</v>
      </c>
      <c r="J1610" s="652" t="s">
        <v>1551</v>
      </c>
      <c r="K1610" s="639" t="s">
        <v>728</v>
      </c>
      <c r="L1610" s="671">
        <v>7.9157099999999998</v>
      </c>
      <c r="M1610" s="671">
        <v>8.5919100000000004</v>
      </c>
      <c r="N1610" s="643" t="s">
        <v>1468</v>
      </c>
      <c r="O1610" s="618">
        <v>17200</v>
      </c>
      <c r="P1610" s="619">
        <f t="shared" si="30"/>
        <v>275200</v>
      </c>
    </row>
    <row r="1611" spans="1:16" s="620" customFormat="1" ht="51.75" x14ac:dyDescent="0.3">
      <c r="A1611" s="489"/>
      <c r="B1611" s="615">
        <v>187</v>
      </c>
      <c r="C1611" s="646" t="s">
        <v>1772</v>
      </c>
      <c r="D1611" s="616" t="s">
        <v>1350</v>
      </c>
      <c r="E1611" s="624" t="s">
        <v>1837</v>
      </c>
      <c r="F1611" s="617">
        <v>16</v>
      </c>
      <c r="G1611" s="639" t="s">
        <v>717</v>
      </c>
      <c r="H1611" s="627" t="s">
        <v>895</v>
      </c>
      <c r="I1611" s="639" t="s">
        <v>782</v>
      </c>
      <c r="J1611" s="652" t="s">
        <v>1551</v>
      </c>
      <c r="K1611" s="639" t="s">
        <v>728</v>
      </c>
      <c r="L1611" s="695" t="s">
        <v>1524</v>
      </c>
      <c r="M1611" s="695" t="s">
        <v>1525</v>
      </c>
      <c r="N1611" s="643" t="s">
        <v>1468</v>
      </c>
      <c r="O1611" s="618">
        <v>17200</v>
      </c>
      <c r="P1611" s="619">
        <f t="shared" si="30"/>
        <v>275200</v>
      </c>
    </row>
    <row r="1612" spans="1:16" s="620" customFormat="1" ht="51.75" x14ac:dyDescent="0.3">
      <c r="A1612" s="489"/>
      <c r="B1612" s="615">
        <v>188</v>
      </c>
      <c r="C1612" s="646" t="s">
        <v>1773</v>
      </c>
      <c r="D1612" s="616" t="s">
        <v>1423</v>
      </c>
      <c r="E1612" s="624" t="s">
        <v>1837</v>
      </c>
      <c r="F1612" s="617">
        <v>16</v>
      </c>
      <c r="G1612" s="639" t="s">
        <v>717</v>
      </c>
      <c r="H1612" s="627" t="s">
        <v>895</v>
      </c>
      <c r="I1612" s="639" t="s">
        <v>782</v>
      </c>
      <c r="J1612" s="652" t="s">
        <v>1551</v>
      </c>
      <c r="K1612" s="639" t="s">
        <v>728</v>
      </c>
      <c r="L1612" s="658">
        <v>7.5011729999999996</v>
      </c>
      <c r="M1612" s="658">
        <v>8.4424430000000008</v>
      </c>
      <c r="N1612" s="643" t="s">
        <v>1468</v>
      </c>
      <c r="O1612" s="618">
        <v>17200</v>
      </c>
      <c r="P1612" s="619">
        <f t="shared" si="30"/>
        <v>275200</v>
      </c>
    </row>
    <row r="1613" spans="1:16" s="620" customFormat="1" ht="51.75" x14ac:dyDescent="0.3">
      <c r="A1613" s="489"/>
      <c r="B1613" s="615">
        <v>189</v>
      </c>
      <c r="C1613" s="646" t="s">
        <v>1774</v>
      </c>
      <c r="D1613" s="616" t="s">
        <v>1351</v>
      </c>
      <c r="E1613" s="624" t="s">
        <v>1837</v>
      </c>
      <c r="F1613" s="617">
        <v>16</v>
      </c>
      <c r="G1613" s="639" t="s">
        <v>717</v>
      </c>
      <c r="H1613" s="627" t="s">
        <v>895</v>
      </c>
      <c r="I1613" s="639" t="s">
        <v>782</v>
      </c>
      <c r="J1613" s="652" t="s">
        <v>1551</v>
      </c>
      <c r="K1613" s="639" t="s">
        <v>728</v>
      </c>
      <c r="L1613" s="695" t="s">
        <v>1526</v>
      </c>
      <c r="M1613" s="695" t="s">
        <v>1527</v>
      </c>
      <c r="N1613" s="643" t="s">
        <v>1468</v>
      </c>
      <c r="O1613" s="618">
        <v>17200</v>
      </c>
      <c r="P1613" s="619">
        <f t="shared" si="30"/>
        <v>275200</v>
      </c>
    </row>
    <row r="1614" spans="1:16" s="620" customFormat="1" ht="51.75" x14ac:dyDescent="0.3">
      <c r="A1614" s="489"/>
      <c r="B1614" s="615">
        <v>190</v>
      </c>
      <c r="C1614" s="646" t="s">
        <v>1775</v>
      </c>
      <c r="D1614" s="616" t="s">
        <v>1352</v>
      </c>
      <c r="E1614" s="624" t="s">
        <v>1837</v>
      </c>
      <c r="F1614" s="617">
        <v>16</v>
      </c>
      <c r="G1614" s="639" t="s">
        <v>717</v>
      </c>
      <c r="H1614" s="627" t="s">
        <v>895</v>
      </c>
      <c r="I1614" s="639" t="s">
        <v>782</v>
      </c>
      <c r="J1614" s="652" t="s">
        <v>1551</v>
      </c>
      <c r="K1614" s="639" t="s">
        <v>728</v>
      </c>
      <c r="L1614" s="695" t="s">
        <v>1528</v>
      </c>
      <c r="M1614" s="695" t="s">
        <v>1529</v>
      </c>
      <c r="N1614" s="643" t="s">
        <v>1468</v>
      </c>
      <c r="O1614" s="618">
        <v>17200</v>
      </c>
      <c r="P1614" s="619">
        <f t="shared" si="30"/>
        <v>275200</v>
      </c>
    </row>
    <row r="1615" spans="1:16" s="620" customFormat="1" ht="51.75" x14ac:dyDescent="0.3">
      <c r="A1615" s="489"/>
      <c r="B1615" s="615">
        <v>191</v>
      </c>
      <c r="C1615" s="646" t="s">
        <v>1776</v>
      </c>
      <c r="D1615" s="616" t="s">
        <v>1357</v>
      </c>
      <c r="E1615" s="624" t="s">
        <v>1837</v>
      </c>
      <c r="F1615" s="617">
        <v>16</v>
      </c>
      <c r="G1615" s="639" t="s">
        <v>717</v>
      </c>
      <c r="H1615" s="627" t="s">
        <v>895</v>
      </c>
      <c r="I1615" s="639" t="s">
        <v>782</v>
      </c>
      <c r="J1615" s="652" t="s">
        <v>1551</v>
      </c>
      <c r="K1615" s="639" t="s">
        <v>728</v>
      </c>
      <c r="L1615" s="695" t="s">
        <v>1530</v>
      </c>
      <c r="M1615" s="695" t="s">
        <v>1531</v>
      </c>
      <c r="N1615" s="643" t="s">
        <v>1468</v>
      </c>
      <c r="O1615" s="618">
        <v>17200</v>
      </c>
      <c r="P1615" s="619">
        <f t="shared" si="30"/>
        <v>275200</v>
      </c>
    </row>
    <row r="1616" spans="1:16" s="620" customFormat="1" ht="51.75" x14ac:dyDescent="0.3">
      <c r="A1616" s="489"/>
      <c r="B1616" s="615">
        <v>192</v>
      </c>
      <c r="C1616" s="646" t="s">
        <v>1838</v>
      </c>
      <c r="D1616" s="631" t="s">
        <v>1353</v>
      </c>
      <c r="E1616" s="624" t="s">
        <v>1837</v>
      </c>
      <c r="F1616" s="617">
        <v>15</v>
      </c>
      <c r="G1616" s="639" t="s">
        <v>717</v>
      </c>
      <c r="H1616" s="625" t="s">
        <v>896</v>
      </c>
      <c r="I1616" s="639" t="s">
        <v>782</v>
      </c>
      <c r="J1616" s="652" t="s">
        <v>1551</v>
      </c>
      <c r="K1616" s="639" t="s">
        <v>728</v>
      </c>
      <c r="L1616" s="683" t="s">
        <v>1517</v>
      </c>
      <c r="M1616" s="633" t="s">
        <v>1518</v>
      </c>
      <c r="N1616" s="643" t="s">
        <v>1468</v>
      </c>
      <c r="O1616" s="618">
        <v>17200</v>
      </c>
      <c r="P1616" s="619">
        <f t="shared" si="30"/>
        <v>258000</v>
      </c>
    </row>
    <row r="1617" spans="1:16" s="620" customFormat="1" ht="51.75" x14ac:dyDescent="0.3">
      <c r="A1617" s="489"/>
      <c r="B1617" s="615">
        <v>193</v>
      </c>
      <c r="C1617" s="646" t="s">
        <v>1839</v>
      </c>
      <c r="D1617" s="622" t="s">
        <v>1415</v>
      </c>
      <c r="E1617" s="624" t="s">
        <v>1837</v>
      </c>
      <c r="F1617" s="617">
        <v>14</v>
      </c>
      <c r="G1617" s="639" t="s">
        <v>717</v>
      </c>
      <c r="H1617" s="625" t="s">
        <v>896</v>
      </c>
      <c r="I1617" s="639" t="s">
        <v>782</v>
      </c>
      <c r="J1617" s="652" t="s">
        <v>1551</v>
      </c>
      <c r="K1617" s="639" t="s">
        <v>728</v>
      </c>
      <c r="L1617" s="684">
        <v>7.5761000000000003</v>
      </c>
      <c r="M1617" s="640">
        <v>8.1946999999999992</v>
      </c>
      <c r="N1617" s="643" t="s">
        <v>1468</v>
      </c>
      <c r="O1617" s="618">
        <v>17200</v>
      </c>
      <c r="P1617" s="619">
        <f t="shared" si="30"/>
        <v>240800</v>
      </c>
    </row>
    <row r="1618" spans="1:16" s="620" customFormat="1" ht="51.75" x14ac:dyDescent="0.3">
      <c r="A1618" s="489"/>
      <c r="B1618" s="615">
        <v>194</v>
      </c>
      <c r="C1618" s="646" t="s">
        <v>1840</v>
      </c>
      <c r="D1618" s="631" t="s">
        <v>1354</v>
      </c>
      <c r="E1618" s="624" t="s">
        <v>1837</v>
      </c>
      <c r="F1618" s="617">
        <v>14</v>
      </c>
      <c r="G1618" s="639" t="s">
        <v>717</v>
      </c>
      <c r="H1618" s="625" t="s">
        <v>896</v>
      </c>
      <c r="I1618" s="639" t="s">
        <v>782</v>
      </c>
      <c r="J1618" s="652" t="s">
        <v>1551</v>
      </c>
      <c r="K1618" s="639" t="s">
        <v>728</v>
      </c>
      <c r="L1618" s="684">
        <v>7.5761000000000003</v>
      </c>
      <c r="M1618" s="640">
        <v>8.1946999999999992</v>
      </c>
      <c r="N1618" s="643" t="s">
        <v>1468</v>
      </c>
      <c r="O1618" s="618">
        <v>17200</v>
      </c>
      <c r="P1618" s="619">
        <f t="shared" si="30"/>
        <v>240800</v>
      </c>
    </row>
    <row r="1619" spans="1:16" s="620" customFormat="1" ht="51.75" x14ac:dyDescent="0.3">
      <c r="A1619" s="489"/>
      <c r="B1619" s="615">
        <v>195</v>
      </c>
      <c r="C1619" s="646" t="s">
        <v>1841</v>
      </c>
      <c r="D1619" s="631" t="s">
        <v>1355</v>
      </c>
      <c r="E1619" s="624" t="s">
        <v>1837</v>
      </c>
      <c r="F1619" s="617">
        <v>14</v>
      </c>
      <c r="G1619" s="639" t="s">
        <v>717</v>
      </c>
      <c r="H1619" s="625" t="s">
        <v>896</v>
      </c>
      <c r="I1619" s="639" t="s">
        <v>782</v>
      </c>
      <c r="J1619" s="652" t="s">
        <v>1551</v>
      </c>
      <c r="K1619" s="639" t="s">
        <v>728</v>
      </c>
      <c r="L1619" s="684">
        <v>7.4157609999999998</v>
      </c>
      <c r="M1619" s="640">
        <v>8.1519469999999998</v>
      </c>
      <c r="N1619" s="643" t="s">
        <v>1468</v>
      </c>
      <c r="O1619" s="618">
        <v>17200</v>
      </c>
      <c r="P1619" s="619">
        <f t="shared" si="30"/>
        <v>240800</v>
      </c>
    </row>
    <row r="1620" spans="1:16" s="620" customFormat="1" ht="51.75" x14ac:dyDescent="0.3">
      <c r="A1620" s="489"/>
      <c r="B1620" s="615">
        <v>196</v>
      </c>
      <c r="C1620" s="646" t="s">
        <v>1842</v>
      </c>
      <c r="D1620" s="631" t="s">
        <v>1356</v>
      </c>
      <c r="E1620" s="624" t="s">
        <v>1837</v>
      </c>
      <c r="F1620" s="617">
        <v>14</v>
      </c>
      <c r="G1620" s="639" t="s">
        <v>717</v>
      </c>
      <c r="H1620" s="625" t="s">
        <v>896</v>
      </c>
      <c r="I1620" s="639" t="s">
        <v>782</v>
      </c>
      <c r="J1620" s="652" t="s">
        <v>1551</v>
      </c>
      <c r="K1620" s="639" t="s">
        <v>728</v>
      </c>
      <c r="L1620" s="671">
        <v>7.1284001000000004</v>
      </c>
      <c r="M1620" s="671">
        <v>8.1361001000000002</v>
      </c>
      <c r="N1620" s="643" t="s">
        <v>1468</v>
      </c>
      <c r="O1620" s="618">
        <v>17200</v>
      </c>
      <c r="P1620" s="619">
        <f t="shared" si="30"/>
        <v>240800</v>
      </c>
    </row>
    <row r="1621" spans="1:16" s="620" customFormat="1" ht="51.75" x14ac:dyDescent="0.3">
      <c r="A1621" s="489"/>
      <c r="B1621" s="615">
        <v>197</v>
      </c>
      <c r="C1621" s="646" t="s">
        <v>1843</v>
      </c>
      <c r="D1621" s="622" t="s">
        <v>1358</v>
      </c>
      <c r="E1621" s="624" t="s">
        <v>1837</v>
      </c>
      <c r="F1621" s="617">
        <v>14</v>
      </c>
      <c r="G1621" s="639" t="s">
        <v>717</v>
      </c>
      <c r="H1621" s="625" t="s">
        <v>987</v>
      </c>
      <c r="I1621" s="434" t="s">
        <v>797</v>
      </c>
      <c r="J1621" s="652" t="s">
        <v>1551</v>
      </c>
      <c r="K1621" s="639" t="s">
        <v>728</v>
      </c>
      <c r="L1621" s="635">
        <v>7.6917730000000004</v>
      </c>
      <c r="M1621" s="635">
        <v>8.5183850000000003</v>
      </c>
      <c r="N1621" s="643" t="s">
        <v>1468</v>
      </c>
      <c r="O1621" s="618">
        <v>17200</v>
      </c>
      <c r="P1621" s="619">
        <f t="shared" si="30"/>
        <v>240800</v>
      </c>
    </row>
    <row r="1622" spans="1:16" s="620" customFormat="1" ht="51.75" x14ac:dyDescent="0.3">
      <c r="A1622" s="489"/>
      <c r="B1622" s="615">
        <v>198</v>
      </c>
      <c r="C1622" s="646" t="s">
        <v>1844</v>
      </c>
      <c r="D1622" s="622" t="s">
        <v>1359</v>
      </c>
      <c r="E1622" s="624" t="s">
        <v>1837</v>
      </c>
      <c r="F1622" s="617">
        <v>14</v>
      </c>
      <c r="G1622" s="639" t="s">
        <v>717</v>
      </c>
      <c r="H1622" s="625" t="s">
        <v>987</v>
      </c>
      <c r="I1622" s="434" t="s">
        <v>797</v>
      </c>
      <c r="J1622" s="652" t="s">
        <v>1551</v>
      </c>
      <c r="K1622" s="639" t="s">
        <v>728</v>
      </c>
      <c r="L1622" s="635">
        <v>7.7019120000000001</v>
      </c>
      <c r="M1622" s="635">
        <v>8.4939129999999992</v>
      </c>
      <c r="N1622" s="643" t="s">
        <v>1468</v>
      </c>
      <c r="O1622" s="618">
        <v>17200</v>
      </c>
      <c r="P1622" s="619">
        <f t="shared" si="30"/>
        <v>240800</v>
      </c>
    </row>
    <row r="1623" spans="1:16" s="620" customFormat="1" ht="51.75" x14ac:dyDescent="0.3">
      <c r="A1623" s="489"/>
      <c r="B1623" s="615">
        <v>199</v>
      </c>
      <c r="C1623" s="646" t="s">
        <v>1845</v>
      </c>
      <c r="D1623" s="622" t="s">
        <v>1360</v>
      </c>
      <c r="E1623" s="624" t="s">
        <v>1837</v>
      </c>
      <c r="F1623" s="617">
        <v>14</v>
      </c>
      <c r="G1623" s="639" t="s">
        <v>717</v>
      </c>
      <c r="H1623" s="625" t="s">
        <v>987</v>
      </c>
      <c r="I1623" s="434" t="s">
        <v>797</v>
      </c>
      <c r="J1623" s="652" t="s">
        <v>1551</v>
      </c>
      <c r="K1623" s="639" t="s">
        <v>728</v>
      </c>
      <c r="L1623" s="634">
        <v>7.7327000000000004</v>
      </c>
      <c r="M1623" s="637">
        <v>8.5068999999999999</v>
      </c>
      <c r="N1623" s="643" t="s">
        <v>1468</v>
      </c>
      <c r="O1623" s="618">
        <v>17200</v>
      </c>
      <c r="P1623" s="619">
        <f t="shared" si="30"/>
        <v>240800</v>
      </c>
    </row>
    <row r="1624" spans="1:16" s="620" customFormat="1" ht="51.75" x14ac:dyDescent="0.3">
      <c r="A1624" s="489"/>
      <c r="B1624" s="615">
        <v>200</v>
      </c>
      <c r="C1624" s="646" t="s">
        <v>1846</v>
      </c>
      <c r="D1624" s="622" t="s">
        <v>1361</v>
      </c>
      <c r="E1624" s="624" t="s">
        <v>1837</v>
      </c>
      <c r="F1624" s="617">
        <v>14</v>
      </c>
      <c r="G1624" s="639" t="s">
        <v>717</v>
      </c>
      <c r="H1624" s="625" t="s">
        <v>987</v>
      </c>
      <c r="I1624" s="434" t="s">
        <v>797</v>
      </c>
      <c r="J1624" s="652" t="s">
        <v>1551</v>
      </c>
      <c r="K1624" s="639" t="s">
        <v>728</v>
      </c>
      <c r="L1624" s="658">
        <v>7.7390600000000003</v>
      </c>
      <c r="M1624" s="658">
        <v>8.5202799999999996</v>
      </c>
      <c r="N1624" s="643" t="s">
        <v>1468</v>
      </c>
      <c r="O1624" s="618">
        <v>17200</v>
      </c>
      <c r="P1624" s="619">
        <f t="shared" si="30"/>
        <v>240800</v>
      </c>
    </row>
    <row r="1625" spans="1:16" s="620" customFormat="1" ht="51.75" x14ac:dyDescent="0.3">
      <c r="A1625" s="489"/>
      <c r="B1625" s="615">
        <v>201</v>
      </c>
      <c r="C1625" s="646" t="s">
        <v>1847</v>
      </c>
      <c r="D1625" s="622" t="s">
        <v>1362</v>
      </c>
      <c r="E1625" s="624" t="s">
        <v>1837</v>
      </c>
      <c r="F1625" s="617">
        <v>14</v>
      </c>
      <c r="G1625" s="639" t="s">
        <v>717</v>
      </c>
      <c r="H1625" s="625" t="s">
        <v>987</v>
      </c>
      <c r="I1625" s="434" t="s">
        <v>797</v>
      </c>
      <c r="J1625" s="652" t="s">
        <v>1551</v>
      </c>
      <c r="K1625" s="639" t="s">
        <v>728</v>
      </c>
      <c r="L1625" s="671">
        <v>7.2700100000000001</v>
      </c>
      <c r="M1625" s="626">
        <v>8.8500099999999993</v>
      </c>
      <c r="N1625" s="643" t="s">
        <v>1468</v>
      </c>
      <c r="O1625" s="618">
        <v>17200</v>
      </c>
      <c r="P1625" s="619">
        <f t="shared" si="30"/>
        <v>240800</v>
      </c>
    </row>
    <row r="1626" spans="1:16" s="620" customFormat="1" ht="51.75" x14ac:dyDescent="0.3">
      <c r="A1626" s="489"/>
      <c r="B1626" s="615">
        <v>202</v>
      </c>
      <c r="C1626" s="646" t="s">
        <v>1848</v>
      </c>
      <c r="D1626" s="622" t="s">
        <v>1363</v>
      </c>
      <c r="E1626" s="624" t="s">
        <v>1837</v>
      </c>
      <c r="F1626" s="617">
        <v>14</v>
      </c>
      <c r="G1626" s="639" t="s">
        <v>717</v>
      </c>
      <c r="H1626" s="625" t="s">
        <v>987</v>
      </c>
      <c r="I1626" s="434" t="s">
        <v>797</v>
      </c>
      <c r="J1626" s="652" t="s">
        <v>1551</v>
      </c>
      <c r="K1626" s="639" t="s">
        <v>728</v>
      </c>
      <c r="L1626" s="671">
        <v>7.7563899999999997</v>
      </c>
      <c r="M1626" s="626">
        <v>8.5500000000000007</v>
      </c>
      <c r="N1626" s="643" t="s">
        <v>1468</v>
      </c>
      <c r="O1626" s="618">
        <v>17200</v>
      </c>
      <c r="P1626" s="619">
        <f t="shared" si="30"/>
        <v>240800</v>
      </c>
    </row>
    <row r="1627" spans="1:16" s="620" customFormat="1" ht="51.75" x14ac:dyDescent="0.3">
      <c r="A1627" s="489"/>
      <c r="B1627" s="615">
        <v>203</v>
      </c>
      <c r="C1627" s="646" t="s">
        <v>1849</v>
      </c>
      <c r="D1627" s="622" t="s">
        <v>1364</v>
      </c>
      <c r="E1627" s="624" t="s">
        <v>1837</v>
      </c>
      <c r="F1627" s="617">
        <v>14</v>
      </c>
      <c r="G1627" s="639" t="s">
        <v>717</v>
      </c>
      <c r="H1627" s="625" t="s">
        <v>987</v>
      </c>
      <c r="I1627" s="434" t="s">
        <v>797</v>
      </c>
      <c r="J1627" s="652" t="s">
        <v>1551</v>
      </c>
      <c r="K1627" s="639" t="s">
        <v>728</v>
      </c>
      <c r="L1627" s="671">
        <v>8.2197999999999993</v>
      </c>
      <c r="M1627" s="626">
        <v>8.9053000000000004</v>
      </c>
      <c r="N1627" s="643" t="s">
        <v>1468</v>
      </c>
      <c r="O1627" s="618">
        <v>17200</v>
      </c>
      <c r="P1627" s="619">
        <f t="shared" si="30"/>
        <v>240800</v>
      </c>
    </row>
    <row r="1628" spans="1:16" s="620" customFormat="1" ht="51.75" x14ac:dyDescent="0.3">
      <c r="A1628" s="489"/>
      <c r="B1628" s="615">
        <v>204</v>
      </c>
      <c r="C1628" s="646" t="s">
        <v>1850</v>
      </c>
      <c r="D1628" s="622" t="s">
        <v>1365</v>
      </c>
      <c r="E1628" s="624" t="s">
        <v>1837</v>
      </c>
      <c r="F1628" s="617">
        <v>14</v>
      </c>
      <c r="G1628" s="639" t="s">
        <v>717</v>
      </c>
      <c r="H1628" s="625" t="s">
        <v>987</v>
      </c>
      <c r="I1628" s="434" t="s">
        <v>797</v>
      </c>
      <c r="J1628" s="652" t="s">
        <v>1551</v>
      </c>
      <c r="K1628" s="639" t="s">
        <v>728</v>
      </c>
      <c r="L1628" s="658">
        <v>7.6770880000000004</v>
      </c>
      <c r="M1628" s="658">
        <v>8.5698849999999993</v>
      </c>
      <c r="N1628" s="643" t="s">
        <v>1468</v>
      </c>
      <c r="O1628" s="618">
        <v>17200</v>
      </c>
      <c r="P1628" s="619">
        <f t="shared" si="30"/>
        <v>240800</v>
      </c>
    </row>
    <row r="1629" spans="1:16" s="620" customFormat="1" ht="51.75" x14ac:dyDescent="0.3">
      <c r="A1629" s="489"/>
      <c r="B1629" s="615">
        <v>205</v>
      </c>
      <c r="C1629" s="646" t="s">
        <v>1851</v>
      </c>
      <c r="D1629" s="622" t="s">
        <v>1366</v>
      </c>
      <c r="E1629" s="624" t="s">
        <v>1837</v>
      </c>
      <c r="F1629" s="617">
        <v>14</v>
      </c>
      <c r="G1629" s="639" t="s">
        <v>717</v>
      </c>
      <c r="H1629" s="625" t="s">
        <v>987</v>
      </c>
      <c r="I1629" s="434" t="s">
        <v>797</v>
      </c>
      <c r="J1629" s="652" t="s">
        <v>1551</v>
      </c>
      <c r="K1629" s="639" t="s">
        <v>728</v>
      </c>
      <c r="L1629" s="671">
        <v>8.2074999999999996</v>
      </c>
      <c r="M1629" s="671">
        <v>8.9480000000000004</v>
      </c>
      <c r="N1629" s="643" t="s">
        <v>1468</v>
      </c>
      <c r="O1629" s="618">
        <v>17200</v>
      </c>
      <c r="P1629" s="619">
        <f t="shared" si="30"/>
        <v>240800</v>
      </c>
    </row>
    <row r="1630" spans="1:16" s="620" customFormat="1" ht="51.75" x14ac:dyDescent="0.3">
      <c r="A1630" s="489"/>
      <c r="B1630" s="615">
        <v>206</v>
      </c>
      <c r="C1630" s="646" t="s">
        <v>1852</v>
      </c>
      <c r="D1630" s="622" t="s">
        <v>1416</v>
      </c>
      <c r="E1630" s="624" t="s">
        <v>1837</v>
      </c>
      <c r="F1630" s="617">
        <v>14</v>
      </c>
      <c r="G1630" s="639" t="s">
        <v>717</v>
      </c>
      <c r="H1630" s="625" t="s">
        <v>987</v>
      </c>
      <c r="I1630" s="434" t="s">
        <v>797</v>
      </c>
      <c r="J1630" s="652" t="s">
        <v>1551</v>
      </c>
      <c r="K1630" s="639" t="s">
        <v>728</v>
      </c>
      <c r="L1630" s="671">
        <v>7.6717110999999996</v>
      </c>
      <c r="M1630" s="671">
        <v>9.5189100999999994</v>
      </c>
      <c r="N1630" s="643" t="s">
        <v>1468</v>
      </c>
      <c r="O1630" s="618">
        <v>17200</v>
      </c>
      <c r="P1630" s="619">
        <f t="shared" si="30"/>
        <v>240800</v>
      </c>
    </row>
    <row r="1631" spans="1:16" s="620" customFormat="1" ht="51.75" x14ac:dyDescent="0.3">
      <c r="A1631" s="489"/>
      <c r="B1631" s="615">
        <v>207</v>
      </c>
      <c r="C1631" s="646" t="s">
        <v>1853</v>
      </c>
      <c r="D1631" s="631" t="s">
        <v>1367</v>
      </c>
      <c r="E1631" s="624" t="s">
        <v>1837</v>
      </c>
      <c r="F1631" s="617">
        <v>14</v>
      </c>
      <c r="G1631" s="639" t="s">
        <v>717</v>
      </c>
      <c r="H1631" s="626" t="s">
        <v>1425</v>
      </c>
      <c r="I1631" s="434" t="s">
        <v>782</v>
      </c>
      <c r="J1631" s="652" t="s">
        <v>1551</v>
      </c>
      <c r="K1631" s="639" t="s">
        <v>728</v>
      </c>
      <c r="L1631" s="658">
        <v>7.6572810000000002</v>
      </c>
      <c r="M1631" s="658">
        <v>8.8684820000000002</v>
      </c>
      <c r="N1631" s="643" t="s">
        <v>1468</v>
      </c>
      <c r="O1631" s="618">
        <v>17200</v>
      </c>
      <c r="P1631" s="619">
        <f t="shared" si="30"/>
        <v>240800</v>
      </c>
    </row>
    <row r="1632" spans="1:16" s="620" customFormat="1" ht="51.75" customHeight="1" x14ac:dyDescent="0.3">
      <c r="A1632" s="489"/>
      <c r="B1632" s="615">
        <v>208</v>
      </c>
      <c r="C1632" s="646" t="s">
        <v>1854</v>
      </c>
      <c r="D1632" s="631" t="s">
        <v>1369</v>
      </c>
      <c r="E1632" s="624" t="s">
        <v>1837</v>
      </c>
      <c r="F1632" s="617">
        <v>14</v>
      </c>
      <c r="G1632" s="639" t="s">
        <v>717</v>
      </c>
      <c r="H1632" s="626" t="s">
        <v>1425</v>
      </c>
      <c r="I1632" s="434" t="s">
        <v>782</v>
      </c>
      <c r="J1632" s="652" t="s">
        <v>1551</v>
      </c>
      <c r="K1632" s="639" t="s">
        <v>728</v>
      </c>
      <c r="L1632" s="685">
        <v>7.6951830000000001</v>
      </c>
      <c r="M1632" s="686">
        <v>8.8014375000000005</v>
      </c>
      <c r="N1632" s="643" t="s">
        <v>1468</v>
      </c>
      <c r="O1632" s="618">
        <v>17200</v>
      </c>
      <c r="P1632" s="619">
        <f t="shared" si="30"/>
        <v>240800</v>
      </c>
    </row>
    <row r="1633" spans="1:16" s="620" customFormat="1" ht="51.75" x14ac:dyDescent="0.3">
      <c r="A1633" s="489"/>
      <c r="B1633" s="615">
        <v>209</v>
      </c>
      <c r="C1633" s="646" t="s">
        <v>1855</v>
      </c>
      <c r="D1633" s="622" t="s">
        <v>1370</v>
      </c>
      <c r="E1633" s="624" t="s">
        <v>1837</v>
      </c>
      <c r="F1633" s="617">
        <v>14</v>
      </c>
      <c r="G1633" s="639" t="s">
        <v>717</v>
      </c>
      <c r="H1633" s="626" t="s">
        <v>1425</v>
      </c>
      <c r="I1633" s="434" t="s">
        <v>782</v>
      </c>
      <c r="J1633" s="652" t="s">
        <v>1551</v>
      </c>
      <c r="K1633" s="639" t="s">
        <v>728</v>
      </c>
      <c r="L1633" s="687">
        <v>7.5599414999999999</v>
      </c>
      <c r="M1633" s="688">
        <v>8.8847080999999992</v>
      </c>
      <c r="N1633" s="643" t="s">
        <v>1468</v>
      </c>
      <c r="O1633" s="618">
        <v>17200</v>
      </c>
      <c r="P1633" s="619">
        <f t="shared" si="30"/>
        <v>240800</v>
      </c>
    </row>
    <row r="1634" spans="1:16" s="620" customFormat="1" ht="51.75" x14ac:dyDescent="0.3">
      <c r="A1634" s="489"/>
      <c r="B1634" s="615">
        <v>210</v>
      </c>
      <c r="C1634" s="646" t="s">
        <v>1856</v>
      </c>
      <c r="D1634" s="631" t="s">
        <v>1368</v>
      </c>
      <c r="E1634" s="624" t="s">
        <v>1837</v>
      </c>
      <c r="F1634" s="617">
        <v>14</v>
      </c>
      <c r="G1634" s="639" t="s">
        <v>717</v>
      </c>
      <c r="H1634" s="626" t="s">
        <v>1425</v>
      </c>
      <c r="I1634" s="434" t="s">
        <v>782</v>
      </c>
      <c r="J1634" s="652" t="s">
        <v>1551</v>
      </c>
      <c r="K1634" s="639" t="s">
        <v>728</v>
      </c>
      <c r="L1634" s="689">
        <v>7.4245999999999999</v>
      </c>
      <c r="M1634" s="688">
        <v>8.4712099999999992</v>
      </c>
      <c r="N1634" s="643" t="s">
        <v>1468</v>
      </c>
      <c r="O1634" s="618">
        <v>17200</v>
      </c>
      <c r="P1634" s="619">
        <f t="shared" si="30"/>
        <v>240800</v>
      </c>
    </row>
    <row r="1635" spans="1:16" s="620" customFormat="1" ht="51.75" x14ac:dyDescent="0.3">
      <c r="A1635" s="489"/>
      <c r="B1635" s="615">
        <v>211</v>
      </c>
      <c r="C1635" s="646" t="s">
        <v>1857</v>
      </c>
      <c r="D1635" s="631" t="s">
        <v>1371</v>
      </c>
      <c r="E1635" s="624" t="s">
        <v>1837</v>
      </c>
      <c r="F1635" s="617">
        <v>14</v>
      </c>
      <c r="G1635" s="639" t="s">
        <v>717</v>
      </c>
      <c r="H1635" s="626" t="s">
        <v>1425</v>
      </c>
      <c r="I1635" s="434" t="s">
        <v>782</v>
      </c>
      <c r="J1635" s="652" t="s">
        <v>1551</v>
      </c>
      <c r="K1635" s="639" t="s">
        <v>728</v>
      </c>
      <c r="L1635" s="671">
        <v>7.4054000000000002</v>
      </c>
      <c r="M1635" s="626">
        <v>8.4960000000000004</v>
      </c>
      <c r="N1635" s="643" t="s">
        <v>1468</v>
      </c>
      <c r="O1635" s="618">
        <v>17200</v>
      </c>
      <c r="P1635" s="619">
        <f t="shared" si="30"/>
        <v>240800</v>
      </c>
    </row>
    <row r="1636" spans="1:16" s="620" customFormat="1" ht="51.75" x14ac:dyDescent="0.3">
      <c r="A1636" s="489"/>
      <c r="B1636" s="615">
        <v>212</v>
      </c>
      <c r="C1636" s="646" t="s">
        <v>1858</v>
      </c>
      <c r="D1636" s="622" t="s">
        <v>1372</v>
      </c>
      <c r="E1636" s="624" t="s">
        <v>1837</v>
      </c>
      <c r="F1636" s="617">
        <v>14</v>
      </c>
      <c r="G1636" s="639" t="s">
        <v>717</v>
      </c>
      <c r="H1636" s="626" t="s">
        <v>891</v>
      </c>
      <c r="I1636" s="434" t="s">
        <v>782</v>
      </c>
      <c r="J1636" s="652" t="s">
        <v>1551</v>
      </c>
      <c r="K1636" s="639" t="s">
        <v>728</v>
      </c>
      <c r="L1636" s="671">
        <v>6.7994000000000003</v>
      </c>
      <c r="M1636" s="671">
        <v>7.9757999999999996</v>
      </c>
      <c r="N1636" s="643" t="s">
        <v>1468</v>
      </c>
      <c r="O1636" s="618">
        <v>17200</v>
      </c>
      <c r="P1636" s="619">
        <f t="shared" si="30"/>
        <v>240800</v>
      </c>
    </row>
    <row r="1637" spans="1:16" s="620" customFormat="1" ht="51.75" x14ac:dyDescent="0.3">
      <c r="A1637" s="489"/>
      <c r="B1637" s="615">
        <v>213</v>
      </c>
      <c r="C1637" s="646" t="s">
        <v>1859</v>
      </c>
      <c r="D1637" s="622" t="s">
        <v>1373</v>
      </c>
      <c r="E1637" s="624" t="s">
        <v>1837</v>
      </c>
      <c r="F1637" s="617">
        <v>14</v>
      </c>
      <c r="G1637" s="639" t="s">
        <v>717</v>
      </c>
      <c r="H1637" s="626" t="s">
        <v>891</v>
      </c>
      <c r="I1637" s="434" t="s">
        <v>782</v>
      </c>
      <c r="J1637" s="652" t="s">
        <v>1551</v>
      </c>
      <c r="K1637" s="639" t="s">
        <v>728</v>
      </c>
      <c r="L1637" s="635">
        <v>6.7933500000000002</v>
      </c>
      <c r="M1637" s="658">
        <v>8.1077600000000007</v>
      </c>
      <c r="N1637" s="643" t="s">
        <v>1468</v>
      </c>
      <c r="O1637" s="618">
        <v>17200</v>
      </c>
      <c r="P1637" s="619">
        <f t="shared" si="30"/>
        <v>240800</v>
      </c>
    </row>
    <row r="1638" spans="1:16" s="620" customFormat="1" ht="51.75" x14ac:dyDescent="0.3">
      <c r="A1638" s="489"/>
      <c r="B1638" s="615">
        <v>214</v>
      </c>
      <c r="C1638" s="646" t="s">
        <v>1860</v>
      </c>
      <c r="D1638" s="622" t="s">
        <v>1374</v>
      </c>
      <c r="E1638" s="624" t="s">
        <v>1837</v>
      </c>
      <c r="F1638" s="617">
        <v>14</v>
      </c>
      <c r="G1638" s="639" t="s">
        <v>717</v>
      </c>
      <c r="H1638" s="626" t="s">
        <v>891</v>
      </c>
      <c r="I1638" s="434" t="s">
        <v>782</v>
      </c>
      <c r="J1638" s="652" t="s">
        <v>1551</v>
      </c>
      <c r="K1638" s="639" t="s">
        <v>728</v>
      </c>
      <c r="L1638" s="671">
        <v>6.8552999999999997</v>
      </c>
      <c r="M1638" s="671">
        <v>8.0411000000000001</v>
      </c>
      <c r="N1638" s="643" t="s">
        <v>1468</v>
      </c>
      <c r="O1638" s="618">
        <v>17200</v>
      </c>
      <c r="P1638" s="619">
        <f t="shared" si="30"/>
        <v>240800</v>
      </c>
    </row>
    <row r="1639" spans="1:16" s="620" customFormat="1" ht="51.75" x14ac:dyDescent="0.3">
      <c r="A1639" s="489"/>
      <c r="B1639" s="615">
        <v>215</v>
      </c>
      <c r="C1639" s="646" t="s">
        <v>1861</v>
      </c>
      <c r="D1639" s="622" t="s">
        <v>1375</v>
      </c>
      <c r="E1639" s="624" t="s">
        <v>1837</v>
      </c>
      <c r="F1639" s="617">
        <v>14</v>
      </c>
      <c r="G1639" s="639" t="s">
        <v>717</v>
      </c>
      <c r="H1639" s="626" t="s">
        <v>891</v>
      </c>
      <c r="I1639" s="434" t="s">
        <v>782</v>
      </c>
      <c r="J1639" s="652" t="s">
        <v>1551</v>
      </c>
      <c r="K1639" s="639" t="s">
        <v>728</v>
      </c>
      <c r="L1639" s="658">
        <v>6.7738500000000004</v>
      </c>
      <c r="M1639" s="658">
        <v>8.05776</v>
      </c>
      <c r="N1639" s="643" t="s">
        <v>1468</v>
      </c>
      <c r="O1639" s="618">
        <v>17200</v>
      </c>
      <c r="P1639" s="619">
        <f t="shared" si="30"/>
        <v>240800</v>
      </c>
    </row>
    <row r="1640" spans="1:16" s="620" customFormat="1" ht="51.75" x14ac:dyDescent="0.3">
      <c r="A1640" s="489"/>
      <c r="B1640" s="615">
        <v>216</v>
      </c>
      <c r="C1640" s="646" t="s">
        <v>1862</v>
      </c>
      <c r="D1640" s="622" t="s">
        <v>1376</v>
      </c>
      <c r="E1640" s="624" t="s">
        <v>1837</v>
      </c>
      <c r="F1640" s="617">
        <v>14</v>
      </c>
      <c r="G1640" s="639" t="s">
        <v>717</v>
      </c>
      <c r="H1640" s="626" t="s">
        <v>891</v>
      </c>
      <c r="I1640" s="434" t="s">
        <v>782</v>
      </c>
      <c r="J1640" s="652" t="s">
        <v>1551</v>
      </c>
      <c r="K1640" s="639" t="s">
        <v>728</v>
      </c>
      <c r="L1640" s="635">
        <v>6.9333499999999999</v>
      </c>
      <c r="M1640" s="635">
        <v>8.0879539999999999</v>
      </c>
      <c r="N1640" s="643" t="s">
        <v>1468</v>
      </c>
      <c r="O1640" s="618">
        <v>17200</v>
      </c>
      <c r="P1640" s="619">
        <f t="shared" si="30"/>
        <v>240800</v>
      </c>
    </row>
    <row r="1641" spans="1:16" s="620" customFormat="1" ht="51.75" x14ac:dyDescent="0.3">
      <c r="A1641" s="489"/>
      <c r="B1641" s="615">
        <v>217</v>
      </c>
      <c r="C1641" s="646" t="s">
        <v>1863</v>
      </c>
      <c r="D1641" s="622" t="s">
        <v>1377</v>
      </c>
      <c r="E1641" s="624" t="s">
        <v>1837</v>
      </c>
      <c r="F1641" s="617">
        <v>14</v>
      </c>
      <c r="G1641" s="639" t="s">
        <v>717</v>
      </c>
      <c r="H1641" s="625" t="s">
        <v>890</v>
      </c>
      <c r="I1641" s="434" t="s">
        <v>782</v>
      </c>
      <c r="J1641" s="652" t="s">
        <v>1551</v>
      </c>
      <c r="K1641" s="639" t="s">
        <v>728</v>
      </c>
      <c r="L1641" s="634">
        <v>7.8173399999999997</v>
      </c>
      <c r="M1641" s="634">
        <v>7.9422899999999998</v>
      </c>
      <c r="N1641" s="643" t="s">
        <v>1468</v>
      </c>
      <c r="O1641" s="618">
        <v>17200</v>
      </c>
      <c r="P1641" s="619">
        <f t="shared" si="30"/>
        <v>240800</v>
      </c>
    </row>
    <row r="1642" spans="1:16" s="620" customFormat="1" ht="51.75" x14ac:dyDescent="0.3">
      <c r="A1642" s="489"/>
      <c r="B1642" s="615">
        <v>218</v>
      </c>
      <c r="C1642" s="646" t="s">
        <v>1864</v>
      </c>
      <c r="D1642" s="622" t="s">
        <v>1378</v>
      </c>
      <c r="E1642" s="624" t="s">
        <v>1837</v>
      </c>
      <c r="F1642" s="617">
        <v>14</v>
      </c>
      <c r="G1642" s="639" t="s">
        <v>717</v>
      </c>
      <c r="H1642" s="625" t="s">
        <v>890</v>
      </c>
      <c r="I1642" s="434" t="s">
        <v>782</v>
      </c>
      <c r="J1642" s="652" t="s">
        <v>1551</v>
      </c>
      <c r="K1642" s="639" t="s">
        <v>728</v>
      </c>
      <c r="L1642" s="635">
        <v>6.7933500000000002</v>
      </c>
      <c r="M1642" s="658">
        <v>8.1077600000000007</v>
      </c>
      <c r="N1642" s="643" t="s">
        <v>1468</v>
      </c>
      <c r="O1642" s="618">
        <v>17200</v>
      </c>
      <c r="P1642" s="619">
        <f t="shared" si="30"/>
        <v>240800</v>
      </c>
    </row>
    <row r="1643" spans="1:16" s="620" customFormat="1" ht="51.75" x14ac:dyDescent="0.3">
      <c r="A1643" s="489"/>
      <c r="B1643" s="615">
        <v>219</v>
      </c>
      <c r="C1643" s="646" t="s">
        <v>1865</v>
      </c>
      <c r="D1643" s="622" t="s">
        <v>1379</v>
      </c>
      <c r="E1643" s="624" t="s">
        <v>1837</v>
      </c>
      <c r="F1643" s="617">
        <v>14</v>
      </c>
      <c r="G1643" s="639" t="s">
        <v>717</v>
      </c>
      <c r="H1643" s="625" t="s">
        <v>890</v>
      </c>
      <c r="I1643" s="434" t="s">
        <v>782</v>
      </c>
      <c r="J1643" s="652" t="s">
        <v>1551</v>
      </c>
      <c r="K1643" s="639" t="s">
        <v>728</v>
      </c>
      <c r="L1643" s="671">
        <v>7.9324000000000003</v>
      </c>
      <c r="M1643" s="671">
        <v>7.8297999999999996</v>
      </c>
      <c r="N1643" s="643" t="s">
        <v>1468</v>
      </c>
      <c r="O1643" s="618">
        <v>17200</v>
      </c>
      <c r="P1643" s="619">
        <f t="shared" si="30"/>
        <v>240800</v>
      </c>
    </row>
    <row r="1644" spans="1:16" s="620" customFormat="1" ht="51.75" x14ac:dyDescent="0.3">
      <c r="A1644" s="489"/>
      <c r="B1644" s="615">
        <v>220</v>
      </c>
      <c r="C1644" s="646" t="s">
        <v>1866</v>
      </c>
      <c r="D1644" s="622" t="s">
        <v>1380</v>
      </c>
      <c r="E1644" s="624" t="s">
        <v>1837</v>
      </c>
      <c r="F1644" s="617">
        <v>14</v>
      </c>
      <c r="G1644" s="639" t="s">
        <v>717</v>
      </c>
      <c r="H1644" s="625" t="s">
        <v>890</v>
      </c>
      <c r="I1644" s="434" t="s">
        <v>782</v>
      </c>
      <c r="J1644" s="652" t="s">
        <v>1551</v>
      </c>
      <c r="K1644" s="639" t="s">
        <v>728</v>
      </c>
      <c r="L1644" s="658">
        <v>7.7650240000000004</v>
      </c>
      <c r="M1644" s="658">
        <v>7.8224989999999996</v>
      </c>
      <c r="N1644" s="643" t="s">
        <v>1468</v>
      </c>
      <c r="O1644" s="618">
        <v>17200</v>
      </c>
      <c r="P1644" s="619">
        <f t="shared" si="30"/>
        <v>240800</v>
      </c>
    </row>
    <row r="1645" spans="1:16" s="620" customFormat="1" ht="51.75" x14ac:dyDescent="0.3">
      <c r="A1645" s="489"/>
      <c r="B1645" s="615">
        <v>221</v>
      </c>
      <c r="C1645" s="646" t="s">
        <v>1867</v>
      </c>
      <c r="D1645" s="622" t="s">
        <v>1381</v>
      </c>
      <c r="E1645" s="624" t="s">
        <v>1837</v>
      </c>
      <c r="F1645" s="617">
        <v>14</v>
      </c>
      <c r="G1645" s="639" t="s">
        <v>717</v>
      </c>
      <c r="H1645" s="625" t="s">
        <v>890</v>
      </c>
      <c r="I1645" s="434" t="s">
        <v>782</v>
      </c>
      <c r="J1645" s="652" t="s">
        <v>1551</v>
      </c>
      <c r="K1645" s="639" t="s">
        <v>728</v>
      </c>
      <c r="L1645" s="671">
        <v>7.8234000000000004</v>
      </c>
      <c r="M1645" s="671">
        <v>7.8954000000000004</v>
      </c>
      <c r="N1645" s="643" t="s">
        <v>1468</v>
      </c>
      <c r="O1645" s="618">
        <v>17200</v>
      </c>
      <c r="P1645" s="619">
        <f t="shared" si="30"/>
        <v>240800</v>
      </c>
    </row>
    <row r="1646" spans="1:16" s="620" customFormat="1" ht="51.75" x14ac:dyDescent="0.3">
      <c r="A1646" s="489"/>
      <c r="B1646" s="615">
        <v>222</v>
      </c>
      <c r="C1646" s="646" t="s">
        <v>1868</v>
      </c>
      <c r="D1646" s="622" t="s">
        <v>1382</v>
      </c>
      <c r="E1646" s="624" t="s">
        <v>1837</v>
      </c>
      <c r="F1646" s="617">
        <v>14</v>
      </c>
      <c r="G1646" s="639" t="s">
        <v>717</v>
      </c>
      <c r="H1646" s="625" t="s">
        <v>889</v>
      </c>
      <c r="I1646" s="434" t="s">
        <v>782</v>
      </c>
      <c r="J1646" s="652" t="s">
        <v>1551</v>
      </c>
      <c r="K1646" s="639" t="s">
        <v>728</v>
      </c>
      <c r="L1646" s="671">
        <v>7.6573000000000002</v>
      </c>
      <c r="M1646" s="671">
        <v>7.8826000000000001</v>
      </c>
      <c r="N1646" s="643" t="s">
        <v>1468</v>
      </c>
      <c r="O1646" s="618">
        <v>17200</v>
      </c>
      <c r="P1646" s="619">
        <f t="shared" si="30"/>
        <v>240800</v>
      </c>
    </row>
    <row r="1647" spans="1:16" s="620" customFormat="1" ht="51.75" x14ac:dyDescent="0.3">
      <c r="A1647" s="489"/>
      <c r="B1647" s="615">
        <v>223</v>
      </c>
      <c r="C1647" s="646" t="s">
        <v>1869</v>
      </c>
      <c r="D1647" s="622" t="s">
        <v>1383</v>
      </c>
      <c r="E1647" s="624" t="s">
        <v>1837</v>
      </c>
      <c r="F1647" s="617">
        <v>14</v>
      </c>
      <c r="G1647" s="639" t="s">
        <v>717</v>
      </c>
      <c r="H1647" s="625" t="s">
        <v>889</v>
      </c>
      <c r="I1647" s="434" t="s">
        <v>782</v>
      </c>
      <c r="J1647" s="652" t="s">
        <v>1551</v>
      </c>
      <c r="K1647" s="639" t="s">
        <v>728</v>
      </c>
      <c r="L1647" s="671">
        <v>7.5030999999999999</v>
      </c>
      <c r="M1647" s="671">
        <v>7.8806000000000003</v>
      </c>
      <c r="N1647" s="643" t="s">
        <v>1468</v>
      </c>
      <c r="O1647" s="618">
        <v>17200</v>
      </c>
      <c r="P1647" s="619">
        <f t="shared" si="30"/>
        <v>240800</v>
      </c>
    </row>
    <row r="1648" spans="1:16" s="620" customFormat="1" ht="51.75" x14ac:dyDescent="0.3">
      <c r="A1648" s="489"/>
      <c r="B1648" s="615">
        <v>224</v>
      </c>
      <c r="C1648" s="646" t="s">
        <v>1870</v>
      </c>
      <c r="D1648" s="622" t="s">
        <v>1384</v>
      </c>
      <c r="E1648" s="624" t="s">
        <v>1837</v>
      </c>
      <c r="F1648" s="617">
        <v>14</v>
      </c>
      <c r="G1648" s="639" t="s">
        <v>717</v>
      </c>
      <c r="H1648" s="625" t="s">
        <v>889</v>
      </c>
      <c r="I1648" s="434" t="s">
        <v>782</v>
      </c>
      <c r="J1648" s="652" t="s">
        <v>1551</v>
      </c>
      <c r="K1648" s="639" t="s">
        <v>728</v>
      </c>
      <c r="L1648" s="671">
        <v>7.7443</v>
      </c>
      <c r="M1648" s="671">
        <v>8.9961000000000002</v>
      </c>
      <c r="N1648" s="643" t="s">
        <v>1468</v>
      </c>
      <c r="O1648" s="618">
        <v>17200</v>
      </c>
      <c r="P1648" s="619">
        <f t="shared" si="30"/>
        <v>240800</v>
      </c>
    </row>
    <row r="1649" spans="1:16" s="620" customFormat="1" ht="51.75" x14ac:dyDescent="0.3">
      <c r="A1649" s="489"/>
      <c r="B1649" s="615">
        <v>225</v>
      </c>
      <c r="C1649" s="646" t="s">
        <v>1871</v>
      </c>
      <c r="D1649" s="622" t="s">
        <v>1385</v>
      </c>
      <c r="E1649" s="624" t="s">
        <v>1837</v>
      </c>
      <c r="F1649" s="617">
        <v>14</v>
      </c>
      <c r="G1649" s="639" t="s">
        <v>717</v>
      </c>
      <c r="H1649" s="625" t="s">
        <v>889</v>
      </c>
      <c r="I1649" s="434" t="s">
        <v>782</v>
      </c>
      <c r="J1649" s="652" t="s">
        <v>1551</v>
      </c>
      <c r="K1649" s="639" t="s">
        <v>728</v>
      </c>
      <c r="L1649" s="671">
        <v>7.7358000000000002</v>
      </c>
      <c r="M1649" s="671">
        <v>7.8865999999999996</v>
      </c>
      <c r="N1649" s="643" t="s">
        <v>1468</v>
      </c>
      <c r="O1649" s="618">
        <v>17200</v>
      </c>
      <c r="P1649" s="619">
        <f t="shared" si="30"/>
        <v>240800</v>
      </c>
    </row>
    <row r="1650" spans="1:16" s="620" customFormat="1" ht="51.75" x14ac:dyDescent="0.3">
      <c r="A1650" s="489"/>
      <c r="B1650" s="615">
        <v>226</v>
      </c>
      <c r="C1650" s="646" t="s">
        <v>1872</v>
      </c>
      <c r="D1650" s="622" t="s">
        <v>1386</v>
      </c>
      <c r="E1650" s="624" t="s">
        <v>1837</v>
      </c>
      <c r="F1650" s="617">
        <v>14</v>
      </c>
      <c r="G1650" s="639" t="s">
        <v>717</v>
      </c>
      <c r="H1650" s="625" t="s">
        <v>889</v>
      </c>
      <c r="I1650" s="434" t="s">
        <v>782</v>
      </c>
      <c r="J1650" s="652" t="s">
        <v>1551</v>
      </c>
      <c r="K1650" s="639" t="s">
        <v>728</v>
      </c>
      <c r="L1650" s="690">
        <v>7.5766</v>
      </c>
      <c r="M1650" s="690">
        <v>7.9295</v>
      </c>
      <c r="N1650" s="643" t="s">
        <v>1468</v>
      </c>
      <c r="O1650" s="618">
        <v>17200</v>
      </c>
      <c r="P1650" s="619">
        <f t="shared" si="30"/>
        <v>240800</v>
      </c>
    </row>
    <row r="1651" spans="1:16" s="620" customFormat="1" ht="51.75" x14ac:dyDescent="0.3">
      <c r="A1651" s="489"/>
      <c r="B1651" s="615">
        <v>227</v>
      </c>
      <c r="C1651" s="646" t="s">
        <v>1873</v>
      </c>
      <c r="D1651" s="622" t="s">
        <v>1387</v>
      </c>
      <c r="E1651" s="624" t="s">
        <v>1837</v>
      </c>
      <c r="F1651" s="617">
        <v>14</v>
      </c>
      <c r="G1651" s="639" t="s">
        <v>717</v>
      </c>
      <c r="H1651" s="625" t="s">
        <v>910</v>
      </c>
      <c r="I1651" s="434" t="s">
        <v>782</v>
      </c>
      <c r="J1651" s="652" t="s">
        <v>1551</v>
      </c>
      <c r="K1651" s="639" t="s">
        <v>728</v>
      </c>
      <c r="L1651" s="671">
        <v>7.0617000000000001</v>
      </c>
      <c r="M1651" s="671">
        <v>8.2086000000000006</v>
      </c>
      <c r="N1651" s="643" t="s">
        <v>1468</v>
      </c>
      <c r="O1651" s="618">
        <v>17200</v>
      </c>
      <c r="P1651" s="619">
        <f t="shared" si="30"/>
        <v>240800</v>
      </c>
    </row>
    <row r="1652" spans="1:16" s="620" customFormat="1" ht="51.75" x14ac:dyDescent="0.3">
      <c r="A1652" s="489"/>
      <c r="B1652" s="615">
        <v>228</v>
      </c>
      <c r="C1652" s="646" t="s">
        <v>1874</v>
      </c>
      <c r="D1652" s="622" t="s">
        <v>1417</v>
      </c>
      <c r="E1652" s="624" t="s">
        <v>1837</v>
      </c>
      <c r="F1652" s="617">
        <v>14</v>
      </c>
      <c r="G1652" s="639" t="s">
        <v>717</v>
      </c>
      <c r="H1652" s="625" t="s">
        <v>910</v>
      </c>
      <c r="I1652" s="434" t="s">
        <v>782</v>
      </c>
      <c r="J1652" s="652" t="s">
        <v>1551</v>
      </c>
      <c r="K1652" s="639" t="s">
        <v>728</v>
      </c>
      <c r="L1652" s="671">
        <v>7.1033999999999997</v>
      </c>
      <c r="M1652" s="671">
        <v>8.3452999999999999</v>
      </c>
      <c r="N1652" s="643" t="s">
        <v>1468</v>
      </c>
      <c r="O1652" s="618">
        <v>17200</v>
      </c>
      <c r="P1652" s="619">
        <f t="shared" si="30"/>
        <v>240800</v>
      </c>
    </row>
    <row r="1653" spans="1:16" s="620" customFormat="1" ht="51.75" x14ac:dyDescent="0.3">
      <c r="A1653" s="489"/>
      <c r="B1653" s="615">
        <v>229</v>
      </c>
      <c r="C1653" s="646" t="s">
        <v>1875</v>
      </c>
      <c r="D1653" s="622" t="s">
        <v>1388</v>
      </c>
      <c r="E1653" s="624" t="s">
        <v>1837</v>
      </c>
      <c r="F1653" s="617">
        <v>14</v>
      </c>
      <c r="G1653" s="639" t="s">
        <v>717</v>
      </c>
      <c r="H1653" s="625" t="s">
        <v>910</v>
      </c>
      <c r="I1653" s="434" t="s">
        <v>782</v>
      </c>
      <c r="J1653" s="652" t="s">
        <v>1551</v>
      </c>
      <c r="K1653" s="639" t="s">
        <v>728</v>
      </c>
      <c r="L1653" s="671">
        <v>7.0305</v>
      </c>
      <c r="M1653" s="671">
        <v>8.3230000000000004</v>
      </c>
      <c r="N1653" s="643" t="s">
        <v>1468</v>
      </c>
      <c r="O1653" s="618">
        <v>17200</v>
      </c>
      <c r="P1653" s="619">
        <f t="shared" si="30"/>
        <v>240800</v>
      </c>
    </row>
    <row r="1654" spans="1:16" s="620" customFormat="1" ht="51.75" x14ac:dyDescent="0.3">
      <c r="A1654" s="489"/>
      <c r="B1654" s="615">
        <v>230</v>
      </c>
      <c r="C1654" s="646" t="s">
        <v>1876</v>
      </c>
      <c r="D1654" s="622" t="s">
        <v>1418</v>
      </c>
      <c r="E1654" s="624" t="s">
        <v>1837</v>
      </c>
      <c r="F1654" s="617">
        <v>14</v>
      </c>
      <c r="G1654" s="639" t="s">
        <v>717</v>
      </c>
      <c r="H1654" s="625" t="s">
        <v>910</v>
      </c>
      <c r="I1654" s="434" t="s">
        <v>782</v>
      </c>
      <c r="J1654" s="652" t="s">
        <v>1551</v>
      </c>
      <c r="K1654" s="639" t="s">
        <v>728</v>
      </c>
      <c r="L1654" s="671">
        <v>6.9314</v>
      </c>
      <c r="M1654" s="671">
        <v>8.3361999999999998</v>
      </c>
      <c r="N1654" s="643" t="s">
        <v>1468</v>
      </c>
      <c r="O1654" s="618">
        <v>17200</v>
      </c>
      <c r="P1654" s="619">
        <f t="shared" si="30"/>
        <v>240800</v>
      </c>
    </row>
    <row r="1655" spans="1:16" s="620" customFormat="1" ht="51.75" x14ac:dyDescent="0.3">
      <c r="A1655" s="489"/>
      <c r="B1655" s="615">
        <v>231</v>
      </c>
      <c r="C1655" s="646" t="s">
        <v>1877</v>
      </c>
      <c r="D1655" s="622" t="s">
        <v>1389</v>
      </c>
      <c r="E1655" s="624" t="s">
        <v>1837</v>
      </c>
      <c r="F1655" s="617">
        <v>14</v>
      </c>
      <c r="G1655" s="639" t="s">
        <v>717</v>
      </c>
      <c r="H1655" s="625" t="s">
        <v>910</v>
      </c>
      <c r="I1655" s="434" t="s">
        <v>782</v>
      </c>
      <c r="J1655" s="652" t="s">
        <v>1551</v>
      </c>
      <c r="K1655" s="639" t="s">
        <v>728</v>
      </c>
      <c r="L1655" s="671">
        <v>6.9633099999999999</v>
      </c>
      <c r="M1655" s="671">
        <v>8.3650099999999998</v>
      </c>
      <c r="N1655" s="643" t="s">
        <v>1468</v>
      </c>
      <c r="O1655" s="618">
        <v>17200</v>
      </c>
      <c r="P1655" s="619">
        <f t="shared" si="30"/>
        <v>240800</v>
      </c>
    </row>
    <row r="1656" spans="1:16" s="620" customFormat="1" ht="51.75" x14ac:dyDescent="0.3">
      <c r="A1656" s="489"/>
      <c r="B1656" s="615">
        <v>232</v>
      </c>
      <c r="C1656" s="646" t="s">
        <v>1878</v>
      </c>
      <c r="D1656" s="622" t="s">
        <v>1390</v>
      </c>
      <c r="E1656" s="624" t="s">
        <v>1837</v>
      </c>
      <c r="F1656" s="617">
        <v>14</v>
      </c>
      <c r="G1656" s="639" t="s">
        <v>717</v>
      </c>
      <c r="H1656" s="625" t="s">
        <v>911</v>
      </c>
      <c r="I1656" s="434" t="s">
        <v>782</v>
      </c>
      <c r="J1656" s="652" t="s">
        <v>1551</v>
      </c>
      <c r="K1656" s="639" t="s">
        <v>728</v>
      </c>
      <c r="L1656" s="633" t="s">
        <v>1490</v>
      </c>
      <c r="M1656" s="633" t="s">
        <v>1491</v>
      </c>
      <c r="N1656" s="643" t="s">
        <v>1468</v>
      </c>
      <c r="O1656" s="618">
        <v>17200</v>
      </c>
      <c r="P1656" s="619">
        <f t="shared" si="30"/>
        <v>240800</v>
      </c>
    </row>
    <row r="1657" spans="1:16" s="620" customFormat="1" ht="51.75" x14ac:dyDescent="0.3">
      <c r="A1657" s="489"/>
      <c r="B1657" s="615">
        <v>233</v>
      </c>
      <c r="C1657" s="646" t="s">
        <v>1879</v>
      </c>
      <c r="D1657" s="622" t="s">
        <v>1391</v>
      </c>
      <c r="E1657" s="624" t="s">
        <v>1837</v>
      </c>
      <c r="F1657" s="617">
        <v>14</v>
      </c>
      <c r="G1657" s="639" t="s">
        <v>717</v>
      </c>
      <c r="H1657" s="625" t="s">
        <v>911</v>
      </c>
      <c r="I1657" s="434" t="s">
        <v>782</v>
      </c>
      <c r="J1657" s="652" t="s">
        <v>1551</v>
      </c>
      <c r="K1657" s="639" t="s">
        <v>728</v>
      </c>
      <c r="L1657" s="633" t="s">
        <v>1492</v>
      </c>
      <c r="M1657" s="633" t="s">
        <v>1493</v>
      </c>
      <c r="N1657" s="643" t="s">
        <v>1468</v>
      </c>
      <c r="O1657" s="618">
        <v>17200</v>
      </c>
      <c r="P1657" s="619">
        <f t="shared" si="30"/>
        <v>240800</v>
      </c>
    </row>
    <row r="1658" spans="1:16" s="620" customFormat="1" ht="51.75" x14ac:dyDescent="0.3">
      <c r="A1658" s="489"/>
      <c r="B1658" s="615">
        <v>234</v>
      </c>
      <c r="C1658" s="646" t="s">
        <v>1880</v>
      </c>
      <c r="D1658" s="622" t="s">
        <v>1392</v>
      </c>
      <c r="E1658" s="624" t="s">
        <v>1837</v>
      </c>
      <c r="F1658" s="617">
        <v>14</v>
      </c>
      <c r="G1658" s="639" t="s">
        <v>717</v>
      </c>
      <c r="H1658" s="625" t="s">
        <v>911</v>
      </c>
      <c r="I1658" s="434" t="s">
        <v>782</v>
      </c>
      <c r="J1658" s="652" t="s">
        <v>1551</v>
      </c>
      <c r="K1658" s="639" t="s">
        <v>728</v>
      </c>
      <c r="L1658" s="633" t="s">
        <v>1494</v>
      </c>
      <c r="M1658" s="633" t="s">
        <v>1495</v>
      </c>
      <c r="N1658" s="643" t="s">
        <v>1468</v>
      </c>
      <c r="O1658" s="618">
        <v>17200</v>
      </c>
      <c r="P1658" s="619">
        <f t="shared" si="30"/>
        <v>240800</v>
      </c>
    </row>
    <row r="1659" spans="1:16" s="620" customFormat="1" ht="51.75" x14ac:dyDescent="0.3">
      <c r="A1659" s="489"/>
      <c r="B1659" s="615">
        <v>235</v>
      </c>
      <c r="C1659" s="646" t="s">
        <v>1881</v>
      </c>
      <c r="D1659" s="622" t="s">
        <v>1393</v>
      </c>
      <c r="E1659" s="624" t="s">
        <v>1837</v>
      </c>
      <c r="F1659" s="617">
        <v>14</v>
      </c>
      <c r="G1659" s="639" t="s">
        <v>717</v>
      </c>
      <c r="H1659" s="625" t="s">
        <v>911</v>
      </c>
      <c r="I1659" s="434" t="s">
        <v>782</v>
      </c>
      <c r="J1659" s="652" t="s">
        <v>1551</v>
      </c>
      <c r="K1659" s="639" t="s">
        <v>728</v>
      </c>
      <c r="L1659" s="633" t="s">
        <v>1496</v>
      </c>
      <c r="M1659" s="633" t="s">
        <v>1497</v>
      </c>
      <c r="N1659" s="643" t="s">
        <v>1468</v>
      </c>
      <c r="O1659" s="618">
        <v>17200</v>
      </c>
      <c r="P1659" s="619">
        <f t="shared" si="30"/>
        <v>240800</v>
      </c>
    </row>
    <row r="1660" spans="1:16" s="620" customFormat="1" ht="51.75" x14ac:dyDescent="0.3">
      <c r="A1660" s="489"/>
      <c r="B1660" s="615">
        <v>236</v>
      </c>
      <c r="C1660" s="646" t="s">
        <v>1882</v>
      </c>
      <c r="D1660" s="622" t="s">
        <v>1419</v>
      </c>
      <c r="E1660" s="624" t="s">
        <v>1837</v>
      </c>
      <c r="F1660" s="617">
        <v>14</v>
      </c>
      <c r="G1660" s="639" t="s">
        <v>717</v>
      </c>
      <c r="H1660" s="625" t="s">
        <v>911</v>
      </c>
      <c r="I1660" s="434" t="s">
        <v>782</v>
      </c>
      <c r="J1660" s="652" t="s">
        <v>1551</v>
      </c>
      <c r="K1660" s="639" t="s">
        <v>728</v>
      </c>
      <c r="L1660" s="633" t="s">
        <v>1498</v>
      </c>
      <c r="M1660" s="633" t="s">
        <v>1499</v>
      </c>
      <c r="N1660" s="643" t="s">
        <v>1468</v>
      </c>
      <c r="O1660" s="618">
        <v>17200</v>
      </c>
      <c r="P1660" s="619">
        <f t="shared" si="30"/>
        <v>240800</v>
      </c>
    </row>
    <row r="1661" spans="1:16" s="620" customFormat="1" ht="51.75" x14ac:dyDescent="0.3">
      <c r="A1661" s="489"/>
      <c r="B1661" s="615">
        <v>237</v>
      </c>
      <c r="C1661" s="646" t="s">
        <v>1883</v>
      </c>
      <c r="D1661" s="622" t="s">
        <v>1394</v>
      </c>
      <c r="E1661" s="624" t="s">
        <v>1837</v>
      </c>
      <c r="F1661" s="617">
        <v>14</v>
      </c>
      <c r="G1661" s="639" t="s">
        <v>717</v>
      </c>
      <c r="H1661" s="625" t="s">
        <v>914</v>
      </c>
      <c r="I1661" s="434" t="s">
        <v>782</v>
      </c>
      <c r="J1661" s="652" t="s">
        <v>1551</v>
      </c>
      <c r="K1661" s="639" t="s">
        <v>728</v>
      </c>
      <c r="L1661" s="671">
        <v>7.3418999999999999</v>
      </c>
      <c r="M1661" s="626">
        <v>9.0938999999999997</v>
      </c>
      <c r="N1661" s="643" t="s">
        <v>1468</v>
      </c>
      <c r="O1661" s="618">
        <v>17200</v>
      </c>
      <c r="P1661" s="619">
        <f t="shared" si="30"/>
        <v>240800</v>
      </c>
    </row>
    <row r="1662" spans="1:16" s="620" customFormat="1" ht="51.75" x14ac:dyDescent="0.3">
      <c r="A1662" s="489"/>
      <c r="B1662" s="615">
        <v>238</v>
      </c>
      <c r="C1662" s="646" t="s">
        <v>1884</v>
      </c>
      <c r="D1662" s="622" t="s">
        <v>1395</v>
      </c>
      <c r="E1662" s="624" t="s">
        <v>1837</v>
      </c>
      <c r="F1662" s="617">
        <v>14</v>
      </c>
      <c r="G1662" s="639" t="s">
        <v>717</v>
      </c>
      <c r="H1662" s="625" t="s">
        <v>914</v>
      </c>
      <c r="I1662" s="434" t="s">
        <v>782</v>
      </c>
      <c r="J1662" s="652" t="s">
        <v>1551</v>
      </c>
      <c r="K1662" s="639" t="s">
        <v>728</v>
      </c>
      <c r="L1662" s="671">
        <v>7.2342000000000004</v>
      </c>
      <c r="M1662" s="626">
        <v>8.8507999999999996</v>
      </c>
      <c r="N1662" s="643" t="s">
        <v>1468</v>
      </c>
      <c r="O1662" s="618">
        <v>17200</v>
      </c>
      <c r="P1662" s="619">
        <f t="shared" si="30"/>
        <v>240800</v>
      </c>
    </row>
    <row r="1663" spans="1:16" s="620" customFormat="1" ht="51.75" x14ac:dyDescent="0.3">
      <c r="A1663" s="489"/>
      <c r="B1663" s="615">
        <v>239</v>
      </c>
      <c r="C1663" s="646" t="s">
        <v>1885</v>
      </c>
      <c r="D1663" s="622" t="s">
        <v>1396</v>
      </c>
      <c r="E1663" s="624" t="s">
        <v>1837</v>
      </c>
      <c r="F1663" s="617">
        <v>14</v>
      </c>
      <c r="G1663" s="639" t="s">
        <v>717</v>
      </c>
      <c r="H1663" s="625" t="s">
        <v>914</v>
      </c>
      <c r="I1663" s="434" t="s">
        <v>782</v>
      </c>
      <c r="J1663" s="652" t="s">
        <v>1551</v>
      </c>
      <c r="K1663" s="639" t="s">
        <v>728</v>
      </c>
      <c r="L1663" s="671">
        <v>7.3369</v>
      </c>
      <c r="M1663" s="626">
        <v>7.9493999999999998</v>
      </c>
      <c r="N1663" s="643" t="s">
        <v>1468</v>
      </c>
      <c r="O1663" s="618">
        <v>17200</v>
      </c>
      <c r="P1663" s="619">
        <f t="shared" si="30"/>
        <v>240800</v>
      </c>
    </row>
    <row r="1664" spans="1:16" s="620" customFormat="1" ht="51.75" x14ac:dyDescent="0.3">
      <c r="A1664" s="489"/>
      <c r="B1664" s="615">
        <v>240</v>
      </c>
      <c r="C1664" s="646" t="s">
        <v>1886</v>
      </c>
      <c r="D1664" s="622" t="s">
        <v>1397</v>
      </c>
      <c r="E1664" s="624" t="s">
        <v>1837</v>
      </c>
      <c r="F1664" s="617">
        <v>14</v>
      </c>
      <c r="G1664" s="639" t="s">
        <v>717</v>
      </c>
      <c r="H1664" s="625" t="s">
        <v>914</v>
      </c>
      <c r="I1664" s="434" t="s">
        <v>782</v>
      </c>
      <c r="J1664" s="652" t="s">
        <v>1551</v>
      </c>
      <c r="K1664" s="639" t="s">
        <v>728</v>
      </c>
      <c r="L1664" s="671">
        <v>7.0976999999999997</v>
      </c>
      <c r="M1664" s="626">
        <v>7.9508000000000001</v>
      </c>
      <c r="N1664" s="643" t="s">
        <v>1468</v>
      </c>
      <c r="O1664" s="618">
        <v>17200</v>
      </c>
      <c r="P1664" s="619">
        <f t="shared" si="30"/>
        <v>240800</v>
      </c>
    </row>
    <row r="1665" spans="1:16" s="620" customFormat="1" ht="51.75" x14ac:dyDescent="0.3">
      <c r="A1665" s="489"/>
      <c r="B1665" s="615">
        <v>241</v>
      </c>
      <c r="C1665" s="646" t="s">
        <v>1887</v>
      </c>
      <c r="D1665" s="622" t="s">
        <v>1420</v>
      </c>
      <c r="E1665" s="624" t="s">
        <v>1837</v>
      </c>
      <c r="F1665" s="617">
        <v>14</v>
      </c>
      <c r="G1665" s="639" t="s">
        <v>717</v>
      </c>
      <c r="H1665" s="625" t="s">
        <v>914</v>
      </c>
      <c r="I1665" s="434" t="s">
        <v>782</v>
      </c>
      <c r="J1665" s="652" t="s">
        <v>1551</v>
      </c>
      <c r="K1665" s="639" t="s">
        <v>728</v>
      </c>
      <c r="L1665" s="635">
        <v>7.2057000000000002</v>
      </c>
      <c r="M1665" s="635">
        <v>7.4837699999999998</v>
      </c>
      <c r="N1665" s="643" t="s">
        <v>1468</v>
      </c>
      <c r="O1665" s="618">
        <v>17200</v>
      </c>
      <c r="P1665" s="619">
        <f t="shared" si="30"/>
        <v>240800</v>
      </c>
    </row>
    <row r="1666" spans="1:16" s="620" customFormat="1" ht="51.75" x14ac:dyDescent="0.3">
      <c r="A1666" s="489"/>
      <c r="B1666" s="615">
        <v>242</v>
      </c>
      <c r="C1666" s="646" t="s">
        <v>1888</v>
      </c>
      <c r="D1666" s="621" t="s">
        <v>1398</v>
      </c>
      <c r="E1666" s="624" t="s">
        <v>1837</v>
      </c>
      <c r="F1666" s="617">
        <v>14</v>
      </c>
      <c r="G1666" s="639" t="s">
        <v>717</v>
      </c>
      <c r="H1666" s="627" t="s">
        <v>916</v>
      </c>
      <c r="I1666" s="434" t="s">
        <v>782</v>
      </c>
      <c r="J1666" s="652" t="s">
        <v>1551</v>
      </c>
      <c r="K1666" s="639" t="s">
        <v>728</v>
      </c>
      <c r="L1666" s="696">
        <v>6.8021000000000003</v>
      </c>
      <c r="M1666" s="696">
        <v>8.5635999999999992</v>
      </c>
      <c r="N1666" s="643" t="s">
        <v>1468</v>
      </c>
      <c r="O1666" s="618">
        <v>17200</v>
      </c>
      <c r="P1666" s="619">
        <f t="shared" si="30"/>
        <v>240800</v>
      </c>
    </row>
    <row r="1667" spans="1:16" s="620" customFormat="1" ht="51.75" x14ac:dyDescent="0.3">
      <c r="A1667" s="489"/>
      <c r="B1667" s="615">
        <v>243</v>
      </c>
      <c r="C1667" s="646" t="s">
        <v>1889</v>
      </c>
      <c r="D1667" s="621" t="s">
        <v>1399</v>
      </c>
      <c r="E1667" s="624" t="s">
        <v>1837</v>
      </c>
      <c r="F1667" s="617">
        <v>14</v>
      </c>
      <c r="G1667" s="639" t="s">
        <v>717</v>
      </c>
      <c r="H1667" s="627" t="s">
        <v>916</v>
      </c>
      <c r="I1667" s="434" t="s">
        <v>782</v>
      </c>
      <c r="J1667" s="652" t="s">
        <v>1551</v>
      </c>
      <c r="K1667" s="639" t="s">
        <v>728</v>
      </c>
      <c r="L1667" s="658">
        <v>6.7945399999999996</v>
      </c>
      <c r="M1667" s="658">
        <v>8.5035000000000007</v>
      </c>
      <c r="N1667" s="643" t="s">
        <v>1468</v>
      </c>
      <c r="O1667" s="618">
        <v>17200</v>
      </c>
      <c r="P1667" s="619">
        <f t="shared" si="30"/>
        <v>240800</v>
      </c>
    </row>
    <row r="1668" spans="1:16" s="620" customFormat="1" ht="51.75" x14ac:dyDescent="0.3">
      <c r="A1668" s="489"/>
      <c r="B1668" s="615">
        <v>244</v>
      </c>
      <c r="C1668" s="646" t="s">
        <v>1890</v>
      </c>
      <c r="D1668" s="621" t="s">
        <v>1400</v>
      </c>
      <c r="E1668" s="624" t="s">
        <v>1837</v>
      </c>
      <c r="F1668" s="617">
        <v>14</v>
      </c>
      <c r="G1668" s="639" t="s">
        <v>717</v>
      </c>
      <c r="H1668" s="627" t="s">
        <v>916</v>
      </c>
      <c r="I1668" s="434" t="s">
        <v>782</v>
      </c>
      <c r="J1668" s="652" t="s">
        <v>1551</v>
      </c>
      <c r="K1668" s="639" t="s">
        <v>728</v>
      </c>
      <c r="L1668" s="635">
        <v>6.8704400000000003</v>
      </c>
      <c r="M1668" s="635">
        <v>8.1267300000000002</v>
      </c>
      <c r="N1668" s="643" t="s">
        <v>1468</v>
      </c>
      <c r="O1668" s="618">
        <v>17200</v>
      </c>
      <c r="P1668" s="619">
        <f t="shared" si="30"/>
        <v>240800</v>
      </c>
    </row>
    <row r="1669" spans="1:16" s="620" customFormat="1" ht="51.75" x14ac:dyDescent="0.3">
      <c r="A1669" s="489"/>
      <c r="B1669" s="615">
        <v>245</v>
      </c>
      <c r="C1669" s="646" t="s">
        <v>1891</v>
      </c>
      <c r="D1669" s="621" t="s">
        <v>1401</v>
      </c>
      <c r="E1669" s="624" t="s">
        <v>1837</v>
      </c>
      <c r="F1669" s="617">
        <v>14</v>
      </c>
      <c r="G1669" s="639" t="s">
        <v>717</v>
      </c>
      <c r="H1669" s="627" t="s">
        <v>916</v>
      </c>
      <c r="I1669" s="434" t="s">
        <v>782</v>
      </c>
      <c r="J1669" s="652" t="s">
        <v>1551</v>
      </c>
      <c r="K1669" s="639" t="s">
        <v>728</v>
      </c>
      <c r="L1669" s="697">
        <v>6.9821</v>
      </c>
      <c r="M1669" s="671">
        <v>8.4304000000000006</v>
      </c>
      <c r="N1669" s="643" t="s">
        <v>1468</v>
      </c>
      <c r="O1669" s="618">
        <v>17200</v>
      </c>
      <c r="P1669" s="619">
        <f t="shared" si="30"/>
        <v>240800</v>
      </c>
    </row>
    <row r="1670" spans="1:16" s="620" customFormat="1" ht="51.75" x14ac:dyDescent="0.3">
      <c r="A1670" s="489"/>
      <c r="B1670" s="615">
        <v>246</v>
      </c>
      <c r="C1670" s="646" t="s">
        <v>1892</v>
      </c>
      <c r="D1670" s="621" t="s">
        <v>1402</v>
      </c>
      <c r="E1670" s="624" t="s">
        <v>1837</v>
      </c>
      <c r="F1670" s="617">
        <v>14</v>
      </c>
      <c r="G1670" s="639" t="s">
        <v>717</v>
      </c>
      <c r="H1670" s="627" t="s">
        <v>916</v>
      </c>
      <c r="I1670" s="434" t="s">
        <v>782</v>
      </c>
      <c r="J1670" s="652" t="s">
        <v>1551</v>
      </c>
      <c r="K1670" s="639" t="s">
        <v>728</v>
      </c>
      <c r="L1670" s="658">
        <v>6.7945399999999996</v>
      </c>
      <c r="M1670" s="658">
        <v>8.5035000000000007</v>
      </c>
      <c r="N1670" s="643" t="s">
        <v>1468</v>
      </c>
      <c r="O1670" s="618">
        <v>17200</v>
      </c>
      <c r="P1670" s="619">
        <f t="shared" si="30"/>
        <v>240800</v>
      </c>
    </row>
    <row r="1671" spans="1:16" s="620" customFormat="1" ht="51.75" x14ac:dyDescent="0.3">
      <c r="A1671" s="489"/>
      <c r="B1671" s="615">
        <v>247</v>
      </c>
      <c r="C1671" s="646" t="s">
        <v>1893</v>
      </c>
      <c r="D1671" s="621" t="s">
        <v>1403</v>
      </c>
      <c r="E1671" s="624" t="s">
        <v>1837</v>
      </c>
      <c r="F1671" s="617">
        <v>14</v>
      </c>
      <c r="G1671" s="639" t="s">
        <v>717</v>
      </c>
      <c r="H1671" s="627" t="s">
        <v>811</v>
      </c>
      <c r="I1671" s="434" t="s">
        <v>782</v>
      </c>
      <c r="J1671" s="652" t="s">
        <v>1551</v>
      </c>
      <c r="K1671" s="639" t="s">
        <v>728</v>
      </c>
      <c r="L1671" s="691" t="s">
        <v>1509</v>
      </c>
      <c r="M1671" s="691" t="s">
        <v>1510</v>
      </c>
      <c r="N1671" s="643" t="s">
        <v>1468</v>
      </c>
      <c r="O1671" s="618">
        <v>17200</v>
      </c>
      <c r="P1671" s="619">
        <f t="shared" si="30"/>
        <v>240800</v>
      </c>
    </row>
    <row r="1672" spans="1:16" s="620" customFormat="1" ht="51.75" x14ac:dyDescent="0.3">
      <c r="A1672" s="489"/>
      <c r="B1672" s="615">
        <v>248</v>
      </c>
      <c r="C1672" s="646" t="s">
        <v>1894</v>
      </c>
      <c r="D1672" s="621" t="s">
        <v>1404</v>
      </c>
      <c r="E1672" s="624" t="s">
        <v>1837</v>
      </c>
      <c r="F1672" s="617">
        <v>14</v>
      </c>
      <c r="G1672" s="639" t="s">
        <v>717</v>
      </c>
      <c r="H1672" s="627" t="s">
        <v>811</v>
      </c>
      <c r="I1672" s="434" t="s">
        <v>782</v>
      </c>
      <c r="J1672" s="652" t="s">
        <v>1551</v>
      </c>
      <c r="K1672" s="639" t="s">
        <v>728</v>
      </c>
      <c r="L1672" s="691" t="s">
        <v>1511</v>
      </c>
      <c r="M1672" s="691" t="s">
        <v>1512</v>
      </c>
      <c r="N1672" s="643" t="s">
        <v>1468</v>
      </c>
      <c r="O1672" s="618">
        <v>17200</v>
      </c>
      <c r="P1672" s="619">
        <f t="shared" si="30"/>
        <v>240800</v>
      </c>
    </row>
    <row r="1673" spans="1:16" s="620" customFormat="1" ht="51.75" x14ac:dyDescent="0.3">
      <c r="A1673" s="489"/>
      <c r="B1673" s="615">
        <v>249</v>
      </c>
      <c r="C1673" s="646" t="s">
        <v>1895</v>
      </c>
      <c r="D1673" s="621" t="s">
        <v>1407</v>
      </c>
      <c r="E1673" s="624" t="s">
        <v>1837</v>
      </c>
      <c r="F1673" s="617">
        <v>14</v>
      </c>
      <c r="G1673" s="639" t="s">
        <v>717</v>
      </c>
      <c r="H1673" s="627" t="s">
        <v>811</v>
      </c>
      <c r="I1673" s="434" t="s">
        <v>782</v>
      </c>
      <c r="J1673" s="652" t="s">
        <v>1551</v>
      </c>
      <c r="K1673" s="639" t="s">
        <v>728</v>
      </c>
      <c r="L1673" s="692" t="s">
        <v>1513</v>
      </c>
      <c r="M1673" s="692" t="s">
        <v>1514</v>
      </c>
      <c r="N1673" s="643" t="s">
        <v>1468</v>
      </c>
      <c r="O1673" s="618">
        <v>17200</v>
      </c>
      <c r="P1673" s="619">
        <f t="shared" si="30"/>
        <v>240800</v>
      </c>
    </row>
    <row r="1674" spans="1:16" s="620" customFormat="1" ht="51.75" x14ac:dyDescent="0.3">
      <c r="A1674" s="489"/>
      <c r="B1674" s="615">
        <v>250</v>
      </c>
      <c r="C1674" s="646" t="s">
        <v>1896</v>
      </c>
      <c r="D1674" s="621" t="s">
        <v>1405</v>
      </c>
      <c r="E1674" s="624" t="s">
        <v>1837</v>
      </c>
      <c r="F1674" s="617">
        <v>14</v>
      </c>
      <c r="G1674" s="639" t="s">
        <v>717</v>
      </c>
      <c r="H1674" s="627" t="s">
        <v>811</v>
      </c>
      <c r="I1674" s="434" t="s">
        <v>782</v>
      </c>
      <c r="J1674" s="652" t="s">
        <v>1551</v>
      </c>
      <c r="K1674" s="639" t="s">
        <v>728</v>
      </c>
      <c r="L1674" s="671">
        <v>7.0299516000000004</v>
      </c>
      <c r="M1674" s="671">
        <v>7.9586015999999997</v>
      </c>
      <c r="N1674" s="643" t="s">
        <v>1468</v>
      </c>
      <c r="O1674" s="618">
        <v>17200</v>
      </c>
      <c r="P1674" s="619">
        <f t="shared" si="30"/>
        <v>240800</v>
      </c>
    </row>
    <row r="1675" spans="1:16" s="620" customFormat="1" ht="51.75" x14ac:dyDescent="0.3">
      <c r="A1675" s="489"/>
      <c r="B1675" s="615">
        <v>251</v>
      </c>
      <c r="C1675" s="646" t="s">
        <v>1897</v>
      </c>
      <c r="D1675" s="621" t="s">
        <v>1406</v>
      </c>
      <c r="E1675" s="624" t="s">
        <v>1837</v>
      </c>
      <c r="F1675" s="617">
        <v>14</v>
      </c>
      <c r="G1675" s="639" t="s">
        <v>717</v>
      </c>
      <c r="H1675" s="627" t="s">
        <v>811</v>
      </c>
      <c r="I1675" s="434" t="s">
        <v>782</v>
      </c>
      <c r="J1675" s="652" t="s">
        <v>1551</v>
      </c>
      <c r="K1675" s="639" t="s">
        <v>728</v>
      </c>
      <c r="L1675" s="692" t="s">
        <v>1515</v>
      </c>
      <c r="M1675" s="692" t="s">
        <v>1516</v>
      </c>
      <c r="N1675" s="643" t="s">
        <v>1468</v>
      </c>
      <c r="O1675" s="618">
        <v>17200</v>
      </c>
      <c r="P1675" s="619">
        <f t="shared" si="30"/>
        <v>240800</v>
      </c>
    </row>
    <row r="1676" spans="1:16" s="620" customFormat="1" ht="51.75" x14ac:dyDescent="0.3">
      <c r="A1676" s="489"/>
      <c r="B1676" s="615">
        <v>252</v>
      </c>
      <c r="C1676" s="646" t="s">
        <v>1898</v>
      </c>
      <c r="D1676" s="622" t="s">
        <v>1408</v>
      </c>
      <c r="E1676" s="624" t="s">
        <v>1837</v>
      </c>
      <c r="F1676" s="617">
        <v>14</v>
      </c>
      <c r="G1676" s="639" t="s">
        <v>717</v>
      </c>
      <c r="H1676" s="626" t="s">
        <v>918</v>
      </c>
      <c r="I1676" s="434" t="s">
        <v>797</v>
      </c>
      <c r="J1676" s="652" t="s">
        <v>1551</v>
      </c>
      <c r="K1676" s="639" t="s">
        <v>728</v>
      </c>
      <c r="L1676" s="633" t="s">
        <v>1454</v>
      </c>
      <c r="M1676" s="633" t="s">
        <v>1455</v>
      </c>
      <c r="N1676" s="643" t="s">
        <v>1468</v>
      </c>
      <c r="O1676" s="618">
        <v>17200</v>
      </c>
      <c r="P1676" s="619">
        <f t="shared" si="30"/>
        <v>240800</v>
      </c>
    </row>
    <row r="1677" spans="1:16" s="620" customFormat="1" ht="51.75" x14ac:dyDescent="0.3">
      <c r="A1677" s="489"/>
      <c r="B1677" s="615">
        <v>253</v>
      </c>
      <c r="C1677" s="646" t="s">
        <v>1899</v>
      </c>
      <c r="D1677" s="622" t="s">
        <v>1410</v>
      </c>
      <c r="E1677" s="624" t="s">
        <v>1837</v>
      </c>
      <c r="F1677" s="617">
        <v>14</v>
      </c>
      <c r="G1677" s="639" t="s">
        <v>717</v>
      </c>
      <c r="H1677" s="626" t="s">
        <v>918</v>
      </c>
      <c r="I1677" s="434" t="s">
        <v>797</v>
      </c>
      <c r="J1677" s="652" t="s">
        <v>1551</v>
      </c>
      <c r="K1677" s="639" t="s">
        <v>728</v>
      </c>
      <c r="L1677" s="633" t="s">
        <v>1452</v>
      </c>
      <c r="M1677" s="633" t="s">
        <v>1453</v>
      </c>
      <c r="N1677" s="643" t="s">
        <v>1468</v>
      </c>
      <c r="O1677" s="618">
        <v>17200</v>
      </c>
      <c r="P1677" s="619">
        <f t="shared" si="30"/>
        <v>240800</v>
      </c>
    </row>
    <row r="1678" spans="1:16" s="620" customFormat="1" ht="51.75" x14ac:dyDescent="0.3">
      <c r="A1678" s="489"/>
      <c r="B1678" s="615">
        <v>254</v>
      </c>
      <c r="C1678" s="646" t="s">
        <v>1900</v>
      </c>
      <c r="D1678" s="622" t="s">
        <v>1412</v>
      </c>
      <c r="E1678" s="624" t="s">
        <v>1837</v>
      </c>
      <c r="F1678" s="617">
        <v>14</v>
      </c>
      <c r="G1678" s="639" t="s">
        <v>717</v>
      </c>
      <c r="H1678" s="626" t="s">
        <v>918</v>
      </c>
      <c r="I1678" s="434" t="s">
        <v>797</v>
      </c>
      <c r="J1678" s="652" t="s">
        <v>1551</v>
      </c>
      <c r="K1678" s="639" t="s">
        <v>728</v>
      </c>
      <c r="L1678" s="632" t="s">
        <v>1456</v>
      </c>
      <c r="M1678" s="632" t="s">
        <v>1457</v>
      </c>
      <c r="N1678" s="643" t="s">
        <v>1468</v>
      </c>
      <c r="O1678" s="618">
        <v>17200</v>
      </c>
      <c r="P1678" s="619">
        <f t="shared" si="30"/>
        <v>240800</v>
      </c>
    </row>
    <row r="1679" spans="1:16" s="620" customFormat="1" ht="51.75" x14ac:dyDescent="0.3">
      <c r="A1679" s="489"/>
      <c r="B1679" s="615">
        <v>255</v>
      </c>
      <c r="C1679" s="646" t="s">
        <v>1901</v>
      </c>
      <c r="D1679" s="622" t="s">
        <v>1409</v>
      </c>
      <c r="E1679" s="624" t="s">
        <v>1837</v>
      </c>
      <c r="F1679" s="617">
        <v>14</v>
      </c>
      <c r="G1679" s="639" t="s">
        <v>717</v>
      </c>
      <c r="H1679" s="626" t="s">
        <v>918</v>
      </c>
      <c r="I1679" s="434" t="s">
        <v>797</v>
      </c>
      <c r="J1679" s="652" t="s">
        <v>1551</v>
      </c>
      <c r="K1679" s="639" t="s">
        <v>728</v>
      </c>
      <c r="L1679" s="633" t="s">
        <v>1458</v>
      </c>
      <c r="M1679" s="633" t="s">
        <v>1459</v>
      </c>
      <c r="N1679" s="643" t="s">
        <v>1468</v>
      </c>
      <c r="O1679" s="618">
        <v>17200</v>
      </c>
      <c r="P1679" s="619">
        <f t="shared" si="30"/>
        <v>240800</v>
      </c>
    </row>
    <row r="1680" spans="1:16" s="620" customFormat="1" ht="51.75" x14ac:dyDescent="0.3">
      <c r="A1680" s="489"/>
      <c r="B1680" s="615">
        <v>256</v>
      </c>
      <c r="C1680" s="646" t="s">
        <v>1902</v>
      </c>
      <c r="D1680" s="622" t="s">
        <v>1411</v>
      </c>
      <c r="E1680" s="624" t="s">
        <v>1837</v>
      </c>
      <c r="F1680" s="617">
        <v>14</v>
      </c>
      <c r="G1680" s="639" t="s">
        <v>717</v>
      </c>
      <c r="H1680" s="626" t="s">
        <v>918</v>
      </c>
      <c r="I1680" s="434" t="s">
        <v>797</v>
      </c>
      <c r="J1680" s="652" t="s">
        <v>1551</v>
      </c>
      <c r="K1680" s="639" t="s">
        <v>728</v>
      </c>
      <c r="L1680" s="632" t="s">
        <v>1460</v>
      </c>
      <c r="M1680" s="632" t="s">
        <v>1461</v>
      </c>
      <c r="N1680" s="643" t="s">
        <v>1468</v>
      </c>
      <c r="O1680" s="618">
        <v>17200</v>
      </c>
      <c r="P1680" s="619">
        <f t="shared" si="30"/>
        <v>240800</v>
      </c>
    </row>
    <row r="1681" spans="1:16" s="620" customFormat="1" ht="51.75" x14ac:dyDescent="0.3">
      <c r="A1681" s="489"/>
      <c r="B1681" s="615">
        <v>257</v>
      </c>
      <c r="C1681" s="646" t="s">
        <v>1903</v>
      </c>
      <c r="D1681" s="622" t="s">
        <v>1316</v>
      </c>
      <c r="E1681" s="624" t="s">
        <v>1837</v>
      </c>
      <c r="F1681" s="617">
        <v>14</v>
      </c>
      <c r="G1681" s="639" t="s">
        <v>717</v>
      </c>
      <c r="H1681" s="626" t="s">
        <v>921</v>
      </c>
      <c r="I1681" s="434" t="s">
        <v>782</v>
      </c>
      <c r="J1681" s="652" t="s">
        <v>1551</v>
      </c>
      <c r="K1681" s="639" t="s">
        <v>728</v>
      </c>
      <c r="L1681" s="633" t="s">
        <v>1469</v>
      </c>
      <c r="M1681" s="633" t="s">
        <v>1470</v>
      </c>
      <c r="N1681" s="643" t="s">
        <v>1468</v>
      </c>
      <c r="O1681" s="618">
        <v>17200</v>
      </c>
      <c r="P1681" s="619">
        <f t="shared" si="30"/>
        <v>240800</v>
      </c>
    </row>
    <row r="1682" spans="1:16" s="620" customFormat="1" ht="51.75" x14ac:dyDescent="0.3">
      <c r="A1682" s="489"/>
      <c r="B1682" s="615">
        <v>258</v>
      </c>
      <c r="C1682" s="646" t="s">
        <v>1904</v>
      </c>
      <c r="D1682" s="622" t="s">
        <v>1422</v>
      </c>
      <c r="E1682" s="624" t="s">
        <v>1837</v>
      </c>
      <c r="F1682" s="617">
        <v>14</v>
      </c>
      <c r="G1682" s="639" t="s">
        <v>717</v>
      </c>
      <c r="H1682" s="626" t="s">
        <v>925</v>
      </c>
      <c r="I1682" s="434" t="s">
        <v>782</v>
      </c>
      <c r="J1682" s="652" t="s">
        <v>1551</v>
      </c>
      <c r="K1682" s="639" t="s">
        <v>728</v>
      </c>
      <c r="L1682" s="699" t="s">
        <v>1480</v>
      </c>
      <c r="M1682" s="699" t="s">
        <v>1481</v>
      </c>
      <c r="N1682" s="643" t="s">
        <v>1468</v>
      </c>
      <c r="O1682" s="618">
        <v>17200</v>
      </c>
      <c r="P1682" s="619">
        <f t="shared" si="30"/>
        <v>240800</v>
      </c>
    </row>
    <row r="1683" spans="1:16" s="620" customFormat="1" ht="51.75" x14ac:dyDescent="0.3">
      <c r="A1683" s="489"/>
      <c r="B1683" s="615">
        <v>259</v>
      </c>
      <c r="C1683" s="646" t="s">
        <v>1905</v>
      </c>
      <c r="D1683" s="622" t="s">
        <v>1334</v>
      </c>
      <c r="E1683" s="624" t="s">
        <v>1837</v>
      </c>
      <c r="F1683" s="617">
        <v>14</v>
      </c>
      <c r="G1683" s="639" t="s">
        <v>717</v>
      </c>
      <c r="H1683" s="626" t="s">
        <v>925</v>
      </c>
      <c r="I1683" s="434" t="s">
        <v>782</v>
      </c>
      <c r="J1683" s="652" t="s">
        <v>1551</v>
      </c>
      <c r="K1683" s="639" t="s">
        <v>728</v>
      </c>
      <c r="L1683" s="694" t="s">
        <v>1482</v>
      </c>
      <c r="M1683" s="694" t="s">
        <v>1483</v>
      </c>
      <c r="N1683" s="643" t="s">
        <v>1468</v>
      </c>
      <c r="O1683" s="618">
        <v>17200</v>
      </c>
      <c r="P1683" s="619">
        <f t="shared" si="30"/>
        <v>240800</v>
      </c>
    </row>
    <row r="1684" spans="1:16" s="620" customFormat="1" ht="51.75" x14ac:dyDescent="0.3">
      <c r="A1684" s="489"/>
      <c r="B1684" s="615">
        <v>260</v>
      </c>
      <c r="C1684" s="646" t="s">
        <v>1906</v>
      </c>
      <c r="D1684" s="622" t="s">
        <v>1421</v>
      </c>
      <c r="E1684" s="624" t="s">
        <v>1837</v>
      </c>
      <c r="F1684" s="617">
        <v>14</v>
      </c>
      <c r="G1684" s="639" t="s">
        <v>717</v>
      </c>
      <c r="H1684" s="626" t="s">
        <v>925</v>
      </c>
      <c r="I1684" s="434" t="s">
        <v>782</v>
      </c>
      <c r="J1684" s="652" t="s">
        <v>1551</v>
      </c>
      <c r="K1684" s="639" t="s">
        <v>728</v>
      </c>
      <c r="L1684" s="633" t="s">
        <v>1484</v>
      </c>
      <c r="M1684" s="633" t="s">
        <v>1485</v>
      </c>
      <c r="N1684" s="643" t="s">
        <v>1468</v>
      </c>
      <c r="O1684" s="618">
        <v>17200</v>
      </c>
      <c r="P1684" s="619">
        <f t="shared" si="30"/>
        <v>240800</v>
      </c>
    </row>
    <row r="1685" spans="1:16" s="620" customFormat="1" ht="51.75" x14ac:dyDescent="0.3">
      <c r="A1685" s="489"/>
      <c r="B1685" s="615">
        <v>261</v>
      </c>
      <c r="C1685" s="646" t="s">
        <v>1907</v>
      </c>
      <c r="D1685" s="622" t="s">
        <v>1330</v>
      </c>
      <c r="E1685" s="624" t="s">
        <v>1837</v>
      </c>
      <c r="F1685" s="617">
        <v>14</v>
      </c>
      <c r="G1685" s="639" t="s">
        <v>717</v>
      </c>
      <c r="H1685" s="626" t="s">
        <v>925</v>
      </c>
      <c r="I1685" s="434" t="s">
        <v>782</v>
      </c>
      <c r="J1685" s="652" t="s">
        <v>1551</v>
      </c>
      <c r="K1685" s="639" t="s">
        <v>728</v>
      </c>
      <c r="L1685" s="699" t="s">
        <v>1486</v>
      </c>
      <c r="M1685" s="699" t="s">
        <v>1487</v>
      </c>
      <c r="N1685" s="643" t="s">
        <v>1468</v>
      </c>
      <c r="O1685" s="618">
        <v>17200</v>
      </c>
      <c r="P1685" s="619">
        <f t="shared" si="30"/>
        <v>240800</v>
      </c>
    </row>
    <row r="1686" spans="1:16" s="620" customFormat="1" ht="51.75" x14ac:dyDescent="0.3">
      <c r="A1686" s="489"/>
      <c r="B1686" s="615">
        <v>262</v>
      </c>
      <c r="C1686" s="646" t="s">
        <v>1908</v>
      </c>
      <c r="D1686" s="622" t="s">
        <v>1332</v>
      </c>
      <c r="E1686" s="624" t="s">
        <v>1837</v>
      </c>
      <c r="F1686" s="617">
        <v>14</v>
      </c>
      <c r="G1686" s="639" t="s">
        <v>717</v>
      </c>
      <c r="H1686" s="626" t="s">
        <v>925</v>
      </c>
      <c r="I1686" s="434" t="s">
        <v>782</v>
      </c>
      <c r="J1686" s="652" t="s">
        <v>1551</v>
      </c>
      <c r="K1686" s="639" t="s">
        <v>728</v>
      </c>
      <c r="L1686" s="632" t="s">
        <v>1488</v>
      </c>
      <c r="M1686" s="632" t="s">
        <v>1489</v>
      </c>
      <c r="N1686" s="643" t="s">
        <v>1468</v>
      </c>
      <c r="O1686" s="618">
        <v>17200</v>
      </c>
      <c r="P1686" s="619">
        <f t="shared" si="30"/>
        <v>240800</v>
      </c>
    </row>
    <row r="1687" spans="1:16" ht="17.25" hidden="1" x14ac:dyDescent="0.3">
      <c r="B1687" s="16">
        <v>263</v>
      </c>
      <c r="C1687" s="107"/>
      <c r="D1687" s="77"/>
      <c r="E1687" s="72"/>
      <c r="F1687" s="93"/>
      <c r="G1687" s="68"/>
      <c r="H1687" s="93"/>
      <c r="I1687" s="68"/>
      <c r="J1687" s="93"/>
      <c r="K1687" s="68"/>
      <c r="L1687" s="16"/>
      <c r="M1687" s="16"/>
      <c r="N1687" s="94"/>
      <c r="O1687" s="118">
        <v>0</v>
      </c>
      <c r="P1687" s="351">
        <f t="shared" si="30"/>
        <v>0</v>
      </c>
    </row>
    <row r="1688" spans="1:16" ht="17.25" hidden="1" x14ac:dyDescent="0.3">
      <c r="B1688" s="16">
        <v>264</v>
      </c>
      <c r="C1688" s="107"/>
      <c r="D1688" s="77"/>
      <c r="E1688" s="72"/>
      <c r="F1688" s="93"/>
      <c r="G1688" s="68"/>
      <c r="H1688" s="93"/>
      <c r="I1688" s="68"/>
      <c r="J1688" s="93"/>
      <c r="K1688" s="68"/>
      <c r="L1688" s="16"/>
      <c r="M1688" s="16"/>
      <c r="N1688" s="94"/>
      <c r="O1688" s="118">
        <v>0</v>
      </c>
      <c r="P1688" s="351">
        <f t="shared" si="30"/>
        <v>0</v>
      </c>
    </row>
    <row r="1689" spans="1:16" ht="17.25" hidden="1" x14ac:dyDescent="0.3">
      <c r="B1689" s="16">
        <v>265</v>
      </c>
      <c r="C1689" s="107"/>
      <c r="D1689" s="77"/>
      <c r="E1689" s="72"/>
      <c r="F1689" s="93"/>
      <c r="G1689" s="68"/>
      <c r="H1689" s="93"/>
      <c r="I1689" s="68"/>
      <c r="J1689" s="93"/>
      <c r="K1689" s="68"/>
      <c r="L1689" s="16"/>
      <c r="M1689" s="16"/>
      <c r="N1689" s="94"/>
      <c r="O1689" s="118">
        <v>0</v>
      </c>
      <c r="P1689" s="351">
        <f t="shared" si="30"/>
        <v>0</v>
      </c>
    </row>
    <row r="1690" spans="1:16" ht="17.25" hidden="1" x14ac:dyDescent="0.3">
      <c r="B1690" s="16">
        <v>266</v>
      </c>
      <c r="C1690" s="107"/>
      <c r="D1690" s="77"/>
      <c r="E1690" s="72"/>
      <c r="F1690" s="93"/>
      <c r="G1690" s="68"/>
      <c r="H1690" s="93"/>
      <c r="I1690" s="68"/>
      <c r="J1690" s="93"/>
      <c r="K1690" s="68"/>
      <c r="L1690" s="16"/>
      <c r="M1690" s="16"/>
      <c r="N1690" s="94"/>
      <c r="O1690" s="118">
        <v>0</v>
      </c>
      <c r="P1690" s="351">
        <f t="shared" si="30"/>
        <v>0</v>
      </c>
    </row>
    <row r="1691" spans="1:16" ht="17.25" hidden="1" x14ac:dyDescent="0.3">
      <c r="B1691" s="16">
        <v>267</v>
      </c>
      <c r="C1691" s="107"/>
      <c r="D1691" s="77"/>
      <c r="E1691" s="72"/>
      <c r="F1691" s="93"/>
      <c r="G1691" s="68"/>
      <c r="H1691" s="93"/>
      <c r="I1691" s="68"/>
      <c r="J1691" s="93"/>
      <c r="K1691" s="68"/>
      <c r="L1691" s="16"/>
      <c r="M1691" s="16"/>
      <c r="N1691" s="94"/>
      <c r="O1691" s="118">
        <v>0</v>
      </c>
      <c r="P1691" s="351">
        <f t="shared" si="30"/>
        <v>0</v>
      </c>
    </row>
    <row r="1692" spans="1:16" ht="17.25" hidden="1" x14ac:dyDescent="0.3">
      <c r="B1692" s="16">
        <v>268</v>
      </c>
      <c r="C1692" s="107"/>
      <c r="D1692" s="77"/>
      <c r="E1692" s="72"/>
      <c r="F1692" s="93"/>
      <c r="G1692" s="68"/>
      <c r="H1692" s="93"/>
      <c r="I1692" s="68"/>
      <c r="J1692" s="93"/>
      <c r="K1692" s="68"/>
      <c r="L1692" s="16"/>
      <c r="M1692" s="16"/>
      <c r="N1692" s="94"/>
      <c r="O1692" s="118">
        <v>0</v>
      </c>
      <c r="P1692" s="351">
        <f t="shared" si="30"/>
        <v>0</v>
      </c>
    </row>
    <row r="1693" spans="1:16" ht="17.25" hidden="1" x14ac:dyDescent="0.3">
      <c r="B1693" s="16">
        <v>269</v>
      </c>
      <c r="C1693" s="107"/>
      <c r="D1693" s="77"/>
      <c r="E1693" s="72"/>
      <c r="F1693" s="93"/>
      <c r="G1693" s="68"/>
      <c r="H1693" s="93"/>
      <c r="I1693" s="68"/>
      <c r="J1693" s="93"/>
      <c r="K1693" s="68"/>
      <c r="L1693" s="16"/>
      <c r="M1693" s="16"/>
      <c r="N1693" s="94"/>
      <c r="O1693" s="118">
        <v>0</v>
      </c>
      <c r="P1693" s="351">
        <f t="shared" si="30"/>
        <v>0</v>
      </c>
    </row>
    <row r="1694" spans="1:16" ht="17.25" hidden="1" x14ac:dyDescent="0.3">
      <c r="B1694" s="16">
        <v>270</v>
      </c>
      <c r="C1694" s="107"/>
      <c r="D1694" s="77"/>
      <c r="E1694" s="72"/>
      <c r="F1694" s="93"/>
      <c r="G1694" s="68"/>
      <c r="H1694" s="93"/>
      <c r="I1694" s="68"/>
      <c r="J1694" s="93"/>
      <c r="K1694" s="68"/>
      <c r="L1694" s="16"/>
      <c r="M1694" s="16"/>
      <c r="N1694" s="94"/>
      <c r="O1694" s="118">
        <v>0</v>
      </c>
      <c r="P1694" s="351">
        <f t="shared" si="30"/>
        <v>0</v>
      </c>
    </row>
    <row r="1695" spans="1:16" ht="17.25" hidden="1" x14ac:dyDescent="0.3">
      <c r="B1695" s="16">
        <v>271</v>
      </c>
      <c r="C1695" s="107"/>
      <c r="D1695" s="77"/>
      <c r="E1695" s="72"/>
      <c r="F1695" s="93"/>
      <c r="G1695" s="68"/>
      <c r="H1695" s="93"/>
      <c r="I1695" s="68"/>
      <c r="J1695" s="93"/>
      <c r="K1695" s="68"/>
      <c r="L1695" s="16"/>
      <c r="M1695" s="16"/>
      <c r="N1695" s="94"/>
      <c r="O1695" s="118">
        <v>0</v>
      </c>
      <c r="P1695" s="351">
        <f t="shared" si="30"/>
        <v>0</v>
      </c>
    </row>
    <row r="1696" spans="1:16" ht="17.25" hidden="1" x14ac:dyDescent="0.3">
      <c r="B1696" s="16">
        <v>272</v>
      </c>
      <c r="C1696" s="107"/>
      <c r="D1696" s="77"/>
      <c r="E1696" s="72"/>
      <c r="F1696" s="93"/>
      <c r="G1696" s="68"/>
      <c r="H1696" s="93"/>
      <c r="I1696" s="68"/>
      <c r="J1696" s="93"/>
      <c r="K1696" s="68"/>
      <c r="L1696" s="16"/>
      <c r="M1696" s="16"/>
      <c r="N1696" s="94"/>
      <c r="O1696" s="118">
        <v>0</v>
      </c>
      <c r="P1696" s="351">
        <f t="shared" si="30"/>
        <v>0</v>
      </c>
    </row>
    <row r="1697" spans="2:16" ht="17.25" hidden="1" x14ac:dyDescent="0.3">
      <c r="B1697" s="16">
        <v>273</v>
      </c>
      <c r="C1697" s="107"/>
      <c r="D1697" s="77"/>
      <c r="E1697" s="72"/>
      <c r="F1697" s="93"/>
      <c r="G1697" s="68"/>
      <c r="H1697" s="93"/>
      <c r="I1697" s="68"/>
      <c r="J1697" s="93"/>
      <c r="K1697" s="68"/>
      <c r="L1697" s="16"/>
      <c r="M1697" s="16"/>
      <c r="N1697" s="94"/>
      <c r="O1697" s="118">
        <v>0</v>
      </c>
      <c r="P1697" s="351">
        <f t="shared" si="30"/>
        <v>0</v>
      </c>
    </row>
    <row r="1698" spans="2:16" ht="17.25" hidden="1" x14ac:dyDescent="0.3">
      <c r="B1698" s="16">
        <v>274</v>
      </c>
      <c r="C1698" s="107"/>
      <c r="D1698" s="77"/>
      <c r="E1698" s="72"/>
      <c r="F1698" s="93"/>
      <c r="G1698" s="68"/>
      <c r="H1698" s="93"/>
      <c r="I1698" s="68"/>
      <c r="J1698" s="93"/>
      <c r="K1698" s="68"/>
      <c r="L1698" s="16"/>
      <c r="M1698" s="16"/>
      <c r="N1698" s="94"/>
      <c r="O1698" s="118">
        <v>0</v>
      </c>
      <c r="P1698" s="351">
        <f t="shared" si="30"/>
        <v>0</v>
      </c>
    </row>
    <row r="1699" spans="2:16" ht="17.25" hidden="1" x14ac:dyDescent="0.3">
      <c r="B1699" s="16">
        <v>275</v>
      </c>
      <c r="C1699" s="107"/>
      <c r="D1699" s="77"/>
      <c r="E1699" s="72"/>
      <c r="F1699" s="93"/>
      <c r="G1699" s="68"/>
      <c r="H1699" s="93"/>
      <c r="I1699" s="68"/>
      <c r="J1699" s="93"/>
      <c r="K1699" s="68"/>
      <c r="L1699" s="16"/>
      <c r="M1699" s="16"/>
      <c r="N1699" s="94"/>
      <c r="O1699" s="118">
        <v>0</v>
      </c>
      <c r="P1699" s="351">
        <f t="shared" si="30"/>
        <v>0</v>
      </c>
    </row>
    <row r="1700" spans="2:16" ht="17.25" hidden="1" x14ac:dyDescent="0.3">
      <c r="B1700" s="16">
        <v>276</v>
      </c>
      <c r="C1700" s="107"/>
      <c r="D1700" s="77"/>
      <c r="E1700" s="72"/>
      <c r="F1700" s="93"/>
      <c r="G1700" s="68"/>
      <c r="H1700" s="93"/>
      <c r="I1700" s="68"/>
      <c r="J1700" s="93"/>
      <c r="K1700" s="68"/>
      <c r="L1700" s="16"/>
      <c r="M1700" s="16"/>
      <c r="N1700" s="94"/>
      <c r="O1700" s="118">
        <v>0</v>
      </c>
      <c r="P1700" s="351">
        <f t="shared" si="30"/>
        <v>0</v>
      </c>
    </row>
    <row r="1701" spans="2:16" ht="17.25" hidden="1" x14ac:dyDescent="0.3">
      <c r="B1701" s="16">
        <v>277</v>
      </c>
      <c r="C1701" s="107"/>
      <c r="D1701" s="77"/>
      <c r="E1701" s="72"/>
      <c r="F1701" s="93"/>
      <c r="G1701" s="68"/>
      <c r="H1701" s="93"/>
      <c r="I1701" s="68"/>
      <c r="J1701" s="93"/>
      <c r="K1701" s="68"/>
      <c r="L1701" s="16"/>
      <c r="M1701" s="16"/>
      <c r="N1701" s="94"/>
      <c r="O1701" s="118">
        <v>0</v>
      </c>
      <c r="P1701" s="351">
        <f t="shared" si="30"/>
        <v>0</v>
      </c>
    </row>
    <row r="1702" spans="2:16" ht="17.25" hidden="1" x14ac:dyDescent="0.3">
      <c r="B1702" s="16">
        <v>278</v>
      </c>
      <c r="C1702" s="107"/>
      <c r="D1702" s="77"/>
      <c r="E1702" s="72"/>
      <c r="F1702" s="93"/>
      <c r="G1702" s="68"/>
      <c r="H1702" s="93"/>
      <c r="I1702" s="68"/>
      <c r="J1702" s="93"/>
      <c r="K1702" s="68"/>
      <c r="L1702" s="16"/>
      <c r="M1702" s="16"/>
      <c r="N1702" s="94"/>
      <c r="O1702" s="118">
        <v>0</v>
      </c>
      <c r="P1702" s="351">
        <f t="shared" si="30"/>
        <v>0</v>
      </c>
    </row>
    <row r="1703" spans="2:16" ht="17.25" hidden="1" x14ac:dyDescent="0.3">
      <c r="B1703" s="16">
        <v>279</v>
      </c>
      <c r="C1703" s="107"/>
      <c r="D1703" s="77"/>
      <c r="E1703" s="72"/>
      <c r="F1703" s="93"/>
      <c r="G1703" s="68"/>
      <c r="H1703" s="93"/>
      <c r="I1703" s="68"/>
      <c r="J1703" s="93"/>
      <c r="K1703" s="68"/>
      <c r="L1703" s="16"/>
      <c r="M1703" s="16"/>
      <c r="N1703" s="94"/>
      <c r="O1703" s="118">
        <v>0</v>
      </c>
      <c r="P1703" s="351">
        <f t="shared" si="30"/>
        <v>0</v>
      </c>
    </row>
    <row r="1704" spans="2:16" ht="17.25" hidden="1" x14ac:dyDescent="0.3">
      <c r="B1704" s="16">
        <v>280</v>
      </c>
      <c r="C1704" s="107"/>
      <c r="D1704" s="77"/>
      <c r="E1704" s="72"/>
      <c r="F1704" s="93"/>
      <c r="G1704" s="68"/>
      <c r="H1704" s="93"/>
      <c r="I1704" s="68"/>
      <c r="J1704" s="93"/>
      <c r="K1704" s="68"/>
      <c r="L1704" s="16"/>
      <c r="M1704" s="16"/>
      <c r="N1704" s="94"/>
      <c r="O1704" s="118">
        <v>0</v>
      </c>
      <c r="P1704" s="351">
        <f t="shared" si="30"/>
        <v>0</v>
      </c>
    </row>
    <row r="1705" spans="2:16" ht="17.25" hidden="1" x14ac:dyDescent="0.3">
      <c r="B1705" s="16">
        <v>281</v>
      </c>
      <c r="C1705" s="107"/>
      <c r="D1705" s="77"/>
      <c r="E1705" s="72"/>
      <c r="F1705" s="93"/>
      <c r="G1705" s="68"/>
      <c r="H1705" s="93"/>
      <c r="I1705" s="68"/>
      <c r="J1705" s="93"/>
      <c r="K1705" s="68"/>
      <c r="L1705" s="16"/>
      <c r="M1705" s="16"/>
      <c r="N1705" s="94"/>
      <c r="O1705" s="118">
        <v>0</v>
      </c>
      <c r="P1705" s="351">
        <f t="shared" si="30"/>
        <v>0</v>
      </c>
    </row>
    <row r="1706" spans="2:16" ht="17.25" hidden="1" x14ac:dyDescent="0.3">
      <c r="B1706" s="16">
        <v>282</v>
      </c>
      <c r="C1706" s="107"/>
      <c r="D1706" s="77"/>
      <c r="E1706" s="72"/>
      <c r="F1706" s="93"/>
      <c r="G1706" s="68"/>
      <c r="H1706" s="93"/>
      <c r="I1706" s="68"/>
      <c r="J1706" s="93"/>
      <c r="K1706" s="68"/>
      <c r="L1706" s="16"/>
      <c r="M1706" s="16"/>
      <c r="N1706" s="94"/>
      <c r="O1706" s="118">
        <v>0</v>
      </c>
      <c r="P1706" s="351">
        <f t="shared" si="30"/>
        <v>0</v>
      </c>
    </row>
    <row r="1707" spans="2:16" ht="17.25" hidden="1" x14ac:dyDescent="0.3">
      <c r="B1707" s="16">
        <v>283</v>
      </c>
      <c r="C1707" s="107"/>
      <c r="D1707" s="77"/>
      <c r="E1707" s="72"/>
      <c r="F1707" s="93"/>
      <c r="G1707" s="68"/>
      <c r="H1707" s="93"/>
      <c r="I1707" s="68"/>
      <c r="J1707" s="93"/>
      <c r="K1707" s="68"/>
      <c r="L1707" s="16"/>
      <c r="M1707" s="16"/>
      <c r="N1707" s="94"/>
      <c r="O1707" s="118">
        <v>0</v>
      </c>
      <c r="P1707" s="351">
        <f t="shared" si="30"/>
        <v>0</v>
      </c>
    </row>
    <row r="1708" spans="2:16" ht="17.25" hidden="1" x14ac:dyDescent="0.3">
      <c r="B1708" s="16">
        <v>284</v>
      </c>
      <c r="C1708" s="107"/>
      <c r="D1708" s="77"/>
      <c r="E1708" s="72"/>
      <c r="F1708" s="93"/>
      <c r="G1708" s="68"/>
      <c r="H1708" s="93"/>
      <c r="I1708" s="68"/>
      <c r="J1708" s="93"/>
      <c r="K1708" s="68"/>
      <c r="L1708" s="16"/>
      <c r="M1708" s="16"/>
      <c r="N1708" s="94"/>
      <c r="O1708" s="118">
        <v>0</v>
      </c>
      <c r="P1708" s="351">
        <f t="shared" si="30"/>
        <v>0</v>
      </c>
    </row>
    <row r="1709" spans="2:16" ht="17.25" hidden="1" x14ac:dyDescent="0.3">
      <c r="B1709" s="16">
        <v>285</v>
      </c>
      <c r="C1709" s="107"/>
      <c r="D1709" s="77"/>
      <c r="E1709" s="72"/>
      <c r="F1709" s="93"/>
      <c r="G1709" s="68"/>
      <c r="H1709" s="93"/>
      <c r="I1709" s="68"/>
      <c r="J1709" s="93"/>
      <c r="K1709" s="68"/>
      <c r="L1709" s="16"/>
      <c r="M1709" s="16"/>
      <c r="N1709" s="94"/>
      <c r="O1709" s="118">
        <v>0</v>
      </c>
      <c r="P1709" s="351">
        <f t="shared" si="30"/>
        <v>0</v>
      </c>
    </row>
    <row r="1710" spans="2:16" ht="17.25" hidden="1" x14ac:dyDescent="0.3">
      <c r="B1710" s="16">
        <v>286</v>
      </c>
      <c r="C1710" s="107"/>
      <c r="D1710" s="77"/>
      <c r="E1710" s="72"/>
      <c r="F1710" s="93"/>
      <c r="G1710" s="68"/>
      <c r="H1710" s="93"/>
      <c r="I1710" s="68"/>
      <c r="J1710" s="93"/>
      <c r="K1710" s="68"/>
      <c r="L1710" s="16"/>
      <c r="M1710" s="16"/>
      <c r="N1710" s="94"/>
      <c r="O1710" s="118">
        <v>0</v>
      </c>
      <c r="P1710" s="351">
        <f t="shared" si="30"/>
        <v>0</v>
      </c>
    </row>
    <row r="1711" spans="2:16" ht="17.25" hidden="1" x14ac:dyDescent="0.3">
      <c r="B1711" s="16">
        <v>287</v>
      </c>
      <c r="C1711" s="107"/>
      <c r="D1711" s="77"/>
      <c r="E1711" s="72"/>
      <c r="F1711" s="93"/>
      <c r="G1711" s="68"/>
      <c r="H1711" s="93"/>
      <c r="I1711" s="68"/>
      <c r="J1711" s="93"/>
      <c r="K1711" s="68"/>
      <c r="L1711" s="16"/>
      <c r="M1711" s="16"/>
      <c r="N1711" s="94"/>
      <c r="O1711" s="118">
        <v>0</v>
      </c>
      <c r="P1711" s="351">
        <f t="shared" si="30"/>
        <v>0</v>
      </c>
    </row>
    <row r="1712" spans="2:16" ht="17.25" hidden="1" x14ac:dyDescent="0.3">
      <c r="B1712" s="16">
        <v>288</v>
      </c>
      <c r="C1712" s="107"/>
      <c r="D1712" s="77"/>
      <c r="E1712" s="72"/>
      <c r="F1712" s="93"/>
      <c r="G1712" s="68"/>
      <c r="H1712" s="93"/>
      <c r="I1712" s="68"/>
      <c r="J1712" s="93"/>
      <c r="K1712" s="68"/>
      <c r="L1712" s="16"/>
      <c r="M1712" s="16"/>
      <c r="N1712" s="94"/>
      <c r="O1712" s="118">
        <v>0</v>
      </c>
      <c r="P1712" s="351">
        <f t="shared" si="30"/>
        <v>0</v>
      </c>
    </row>
    <row r="1713" spans="2:16" ht="17.25" hidden="1" x14ac:dyDescent="0.3">
      <c r="B1713" s="16">
        <v>289</v>
      </c>
      <c r="C1713" s="107"/>
      <c r="D1713" s="77"/>
      <c r="E1713" s="72"/>
      <c r="F1713" s="93"/>
      <c r="G1713" s="68"/>
      <c r="H1713" s="93"/>
      <c r="I1713" s="68"/>
      <c r="J1713" s="93"/>
      <c r="K1713" s="68"/>
      <c r="L1713" s="16"/>
      <c r="M1713" s="16"/>
      <c r="N1713" s="94"/>
      <c r="O1713" s="118">
        <v>0</v>
      </c>
      <c r="P1713" s="351">
        <f t="shared" si="30"/>
        <v>0</v>
      </c>
    </row>
    <row r="1714" spans="2:16" ht="17.25" hidden="1" x14ac:dyDescent="0.3">
      <c r="B1714" s="16">
        <v>290</v>
      </c>
      <c r="C1714" s="107"/>
      <c r="D1714" s="77"/>
      <c r="E1714" s="72"/>
      <c r="F1714" s="93"/>
      <c r="G1714" s="68"/>
      <c r="H1714" s="93"/>
      <c r="I1714" s="68"/>
      <c r="J1714" s="93"/>
      <c r="K1714" s="68"/>
      <c r="L1714" s="16"/>
      <c r="M1714" s="16"/>
      <c r="N1714" s="94"/>
      <c r="O1714" s="118">
        <v>0</v>
      </c>
      <c r="P1714" s="351">
        <f t="shared" si="30"/>
        <v>0</v>
      </c>
    </row>
    <row r="1715" spans="2:16" ht="17.25" hidden="1" x14ac:dyDescent="0.3">
      <c r="B1715" s="16">
        <v>291</v>
      </c>
      <c r="C1715" s="107"/>
      <c r="D1715" s="77"/>
      <c r="E1715" s="72"/>
      <c r="F1715" s="93"/>
      <c r="G1715" s="68"/>
      <c r="H1715" s="93"/>
      <c r="I1715" s="68"/>
      <c r="J1715" s="93"/>
      <c r="K1715" s="68"/>
      <c r="L1715" s="16"/>
      <c r="M1715" s="16"/>
      <c r="N1715" s="94"/>
      <c r="O1715" s="118">
        <v>0</v>
      </c>
      <c r="P1715" s="351">
        <f t="shared" si="30"/>
        <v>0</v>
      </c>
    </row>
    <row r="1716" spans="2:16" ht="17.25" hidden="1" x14ac:dyDescent="0.3">
      <c r="B1716" s="16">
        <v>292</v>
      </c>
      <c r="C1716" s="107"/>
      <c r="D1716" s="77"/>
      <c r="E1716" s="72"/>
      <c r="F1716" s="93"/>
      <c r="G1716" s="68"/>
      <c r="H1716" s="93"/>
      <c r="I1716" s="68"/>
      <c r="J1716" s="93"/>
      <c r="K1716" s="68"/>
      <c r="L1716" s="16"/>
      <c r="M1716" s="16"/>
      <c r="N1716" s="94"/>
      <c r="O1716" s="118">
        <v>0</v>
      </c>
      <c r="P1716" s="351">
        <f t="shared" si="30"/>
        <v>0</v>
      </c>
    </row>
    <row r="1717" spans="2:16" ht="17.25" hidden="1" x14ac:dyDescent="0.3">
      <c r="B1717" s="16">
        <v>293</v>
      </c>
      <c r="C1717" s="107"/>
      <c r="D1717" s="77"/>
      <c r="E1717" s="72"/>
      <c r="F1717" s="93"/>
      <c r="G1717" s="68"/>
      <c r="H1717" s="93"/>
      <c r="I1717" s="68"/>
      <c r="J1717" s="93"/>
      <c r="K1717" s="68"/>
      <c r="L1717" s="16"/>
      <c r="M1717" s="16"/>
      <c r="N1717" s="94"/>
      <c r="O1717" s="118">
        <v>0</v>
      </c>
      <c r="P1717" s="351">
        <f t="shared" si="30"/>
        <v>0</v>
      </c>
    </row>
    <row r="1718" spans="2:16" ht="17.25" hidden="1" x14ac:dyDescent="0.3">
      <c r="B1718" s="16">
        <v>294</v>
      </c>
      <c r="C1718" s="107"/>
      <c r="D1718" s="77"/>
      <c r="E1718" s="72"/>
      <c r="F1718" s="93"/>
      <c r="G1718" s="68"/>
      <c r="H1718" s="93"/>
      <c r="I1718" s="68"/>
      <c r="J1718" s="93"/>
      <c r="K1718" s="68"/>
      <c r="L1718" s="16"/>
      <c r="M1718" s="16"/>
      <c r="N1718" s="94"/>
      <c r="O1718" s="118">
        <v>0</v>
      </c>
      <c r="P1718" s="351">
        <f t="shared" si="30"/>
        <v>0</v>
      </c>
    </row>
    <row r="1719" spans="2:16" ht="17.25" hidden="1" x14ac:dyDescent="0.3">
      <c r="B1719" s="16">
        <v>295</v>
      </c>
      <c r="C1719" s="107"/>
      <c r="D1719" s="77"/>
      <c r="E1719" s="72"/>
      <c r="F1719" s="93"/>
      <c r="G1719" s="68"/>
      <c r="H1719" s="93"/>
      <c r="I1719" s="68"/>
      <c r="J1719" s="93"/>
      <c r="K1719" s="68"/>
      <c r="L1719" s="16"/>
      <c r="M1719" s="16"/>
      <c r="N1719" s="94"/>
      <c r="O1719" s="118">
        <v>0</v>
      </c>
      <c r="P1719" s="351">
        <f t="shared" si="30"/>
        <v>0</v>
      </c>
    </row>
    <row r="1720" spans="2:16" ht="17.25" hidden="1" x14ac:dyDescent="0.3">
      <c r="B1720" s="16">
        <v>296</v>
      </c>
      <c r="C1720" s="107"/>
      <c r="D1720" s="77"/>
      <c r="E1720" s="72"/>
      <c r="F1720" s="93"/>
      <c r="G1720" s="68"/>
      <c r="H1720" s="93"/>
      <c r="I1720" s="68"/>
      <c r="J1720" s="93"/>
      <c r="K1720" s="68"/>
      <c r="L1720" s="16"/>
      <c r="M1720" s="16"/>
      <c r="N1720" s="94"/>
      <c r="O1720" s="118">
        <v>0</v>
      </c>
      <c r="P1720" s="351">
        <f t="shared" si="30"/>
        <v>0</v>
      </c>
    </row>
    <row r="1721" spans="2:16" ht="17.25" hidden="1" x14ac:dyDescent="0.3">
      <c r="B1721" s="16">
        <v>297</v>
      </c>
      <c r="C1721" s="107"/>
      <c r="D1721" s="77"/>
      <c r="E1721" s="72"/>
      <c r="F1721" s="93"/>
      <c r="G1721" s="68"/>
      <c r="H1721" s="93"/>
      <c r="I1721" s="68"/>
      <c r="J1721" s="93"/>
      <c r="K1721" s="68"/>
      <c r="L1721" s="16"/>
      <c r="M1721" s="16"/>
      <c r="N1721" s="94"/>
      <c r="O1721" s="118">
        <v>0</v>
      </c>
      <c r="P1721" s="351">
        <f t="shared" si="30"/>
        <v>0</v>
      </c>
    </row>
    <row r="1722" spans="2:16" ht="17.25" hidden="1" x14ac:dyDescent="0.3">
      <c r="B1722" s="16">
        <v>298</v>
      </c>
      <c r="C1722" s="107"/>
      <c r="D1722" s="77"/>
      <c r="E1722" s="72"/>
      <c r="F1722" s="93"/>
      <c r="G1722" s="68"/>
      <c r="H1722" s="93"/>
      <c r="I1722" s="68"/>
      <c r="J1722" s="93"/>
      <c r="K1722" s="68"/>
      <c r="L1722" s="16"/>
      <c r="M1722" s="16"/>
      <c r="N1722" s="94"/>
      <c r="O1722" s="118">
        <v>0</v>
      </c>
      <c r="P1722" s="351">
        <f t="shared" si="30"/>
        <v>0</v>
      </c>
    </row>
    <row r="1723" spans="2:16" ht="17.25" hidden="1" x14ac:dyDescent="0.3">
      <c r="B1723" s="16">
        <v>299</v>
      </c>
      <c r="C1723" s="107"/>
      <c r="D1723" s="77"/>
      <c r="E1723" s="72"/>
      <c r="F1723" s="93"/>
      <c r="G1723" s="68"/>
      <c r="H1723" s="93"/>
      <c r="I1723" s="68"/>
      <c r="J1723" s="93"/>
      <c r="K1723" s="68"/>
      <c r="L1723" s="16"/>
      <c r="M1723" s="16"/>
      <c r="N1723" s="94"/>
      <c r="O1723" s="118">
        <v>0</v>
      </c>
      <c r="P1723" s="351">
        <f t="shared" si="30"/>
        <v>0</v>
      </c>
    </row>
    <row r="1724" spans="2:16" ht="17.25" hidden="1" x14ac:dyDescent="0.3">
      <c r="B1724" s="16">
        <v>300</v>
      </c>
      <c r="C1724" s="107"/>
      <c r="D1724" s="77"/>
      <c r="E1724" s="72"/>
      <c r="F1724" s="93"/>
      <c r="G1724" s="68"/>
      <c r="H1724" s="93"/>
      <c r="I1724" s="68"/>
      <c r="J1724" s="93"/>
      <c r="K1724" s="68"/>
      <c r="L1724" s="16"/>
      <c r="M1724" s="16"/>
      <c r="N1724" s="94"/>
      <c r="O1724" s="118">
        <v>0</v>
      </c>
      <c r="P1724" s="351">
        <f t="shared" si="30"/>
        <v>0</v>
      </c>
    </row>
    <row r="1725" spans="2:16" ht="34.5" hidden="1" x14ac:dyDescent="0.3">
      <c r="C1725" s="402"/>
      <c r="D1725" s="403" t="s">
        <v>566</v>
      </c>
      <c r="E1725" s="72"/>
      <c r="F1725" s="93"/>
      <c r="G1725" s="68"/>
      <c r="H1725" s="93"/>
      <c r="I1725" s="68"/>
      <c r="J1725" s="93"/>
      <c r="K1725" s="68"/>
      <c r="L1725" s="16"/>
      <c r="M1725" s="16"/>
      <c r="N1725" s="94"/>
      <c r="O1725" s="118">
        <v>0</v>
      </c>
      <c r="P1725" s="351">
        <f t="shared" si="30"/>
        <v>0</v>
      </c>
    </row>
    <row r="1726" spans="2:16" hidden="1" x14ac:dyDescent="0.3"/>
  </sheetData>
  <sheetProtection algorithmName="SHA-512" hashValue="twAi/oJOZN/9zpn18NaDxzTwGLVE7xD+iJTtR/hCUKya7DUf9bqEmRcmSOvzoafSJR02UtMtpHnKPFg/TiJs2g==" saltValue="BLJoNigU4fZOYMmpctJSJQ==" spinCount="100000" sheet="1" formatCells="0" formatColumns="0" formatRows="0" insertColumns="0" insertRows="0"/>
  <mergeCells count="175">
    <mergeCell ref="Q1373:Q1374"/>
    <mergeCell ref="O1373:O1374"/>
    <mergeCell ref="J1268:J1269"/>
    <mergeCell ref="J1373:J1374"/>
    <mergeCell ref="D1268:D1269"/>
    <mergeCell ref="E1268:E1269"/>
    <mergeCell ref="I1268:I1269"/>
    <mergeCell ref="F1268:F1269"/>
    <mergeCell ref="G1268:G1269"/>
    <mergeCell ref="P1268:P1269"/>
    <mergeCell ref="N1268:N1269"/>
    <mergeCell ref="B1267:C1267"/>
    <mergeCell ref="B1268:B1269"/>
    <mergeCell ref="C1268:C1269"/>
    <mergeCell ref="G1373:G1374"/>
    <mergeCell ref="H1373:I1373"/>
    <mergeCell ref="B1372:N1372"/>
    <mergeCell ref="B1373:B1374"/>
    <mergeCell ref="C1373:C1374"/>
    <mergeCell ref="D1373:D1374"/>
    <mergeCell ref="E1373:E1374"/>
    <mergeCell ref="N1373:N1374"/>
    <mergeCell ref="F1373:F1374"/>
    <mergeCell ref="K1373:L1373"/>
    <mergeCell ref="M1373:M1374"/>
    <mergeCell ref="H1268:H1269"/>
    <mergeCell ref="K1268:K1269"/>
    <mergeCell ref="L1268:M1268"/>
    <mergeCell ref="B649:C649"/>
    <mergeCell ref="B650:B651"/>
    <mergeCell ref="C650:C651"/>
    <mergeCell ref="D650:D651"/>
    <mergeCell ref="F650:F651"/>
    <mergeCell ref="D541:O541"/>
    <mergeCell ref="I959:I960"/>
    <mergeCell ref="B959:B960"/>
    <mergeCell ref="C959:C960"/>
    <mergeCell ref="D959:D960"/>
    <mergeCell ref="E959:E960"/>
    <mergeCell ref="G959:G960"/>
    <mergeCell ref="J959:J960"/>
    <mergeCell ref="B958:C958"/>
    <mergeCell ref="F959:F960"/>
    <mergeCell ref="I650:I651"/>
    <mergeCell ref="J542:J543"/>
    <mergeCell ref="J650:J651"/>
    <mergeCell ref="K542:L542"/>
    <mergeCell ref="E542:E543"/>
    <mergeCell ref="F542:F543"/>
    <mergeCell ref="G542:G543"/>
    <mergeCell ref="N959:N960"/>
    <mergeCell ref="T16:T17"/>
    <mergeCell ref="S16:S17"/>
    <mergeCell ref="E437:E438"/>
    <mergeCell ref="F437:F438"/>
    <mergeCell ref="G437:G438"/>
    <mergeCell ref="T437:T438"/>
    <mergeCell ref="T121:T122"/>
    <mergeCell ref="B542:B543"/>
    <mergeCell ref="C542:C543"/>
    <mergeCell ref="D542:D543"/>
    <mergeCell ref="B541:C541"/>
    <mergeCell ref="J121:J122"/>
    <mergeCell ref="J226:J227"/>
    <mergeCell ref="J331:J332"/>
    <mergeCell ref="J437:J438"/>
    <mergeCell ref="M437:M438"/>
    <mergeCell ref="S437:S438"/>
    <mergeCell ref="F331:F332"/>
    <mergeCell ref="S331:S332"/>
    <mergeCell ref="G331:G332"/>
    <mergeCell ref="I121:I122"/>
    <mergeCell ref="S225:T225"/>
    <mergeCell ref="I542:I543"/>
    <mergeCell ref="K226:L226"/>
    <mergeCell ref="C16:C17"/>
    <mergeCell ref="D16:D17"/>
    <mergeCell ref="E16:E17"/>
    <mergeCell ref="I16:I17"/>
    <mergeCell ref="K16:L16"/>
    <mergeCell ref="B15:C15"/>
    <mergeCell ref="J16:J17"/>
    <mergeCell ref="B7:N7"/>
    <mergeCell ref="F16:F17"/>
    <mergeCell ref="G16:G17"/>
    <mergeCell ref="H16:H17"/>
    <mergeCell ref="M16:M17"/>
    <mergeCell ref="T226:T227"/>
    <mergeCell ref="S226:S227"/>
    <mergeCell ref="B2:N2"/>
    <mergeCell ref="M542:M543"/>
    <mergeCell ref="N542:N543"/>
    <mergeCell ref="O542:O543"/>
    <mergeCell ref="B331:B332"/>
    <mergeCell ref="C331:C332"/>
    <mergeCell ref="D331:D332"/>
    <mergeCell ref="E331:E332"/>
    <mergeCell ref="I331:I332"/>
    <mergeCell ref="K331:L331"/>
    <mergeCell ref="M331:M332"/>
    <mergeCell ref="T331:T332"/>
    <mergeCell ref="M226:M227"/>
    <mergeCell ref="D226:D227"/>
    <mergeCell ref="B225:C225"/>
    <mergeCell ref="B226:B227"/>
    <mergeCell ref="C226:C227"/>
    <mergeCell ref="B3:N3"/>
    <mergeCell ref="B4:N4"/>
    <mergeCell ref="B6:N6"/>
    <mergeCell ref="B5:N5"/>
    <mergeCell ref="B16:B17"/>
    <mergeCell ref="K121:L121"/>
    <mergeCell ref="S121:S122"/>
    <mergeCell ref="F121:F122"/>
    <mergeCell ref="M121:M122"/>
    <mergeCell ref="G121:G122"/>
    <mergeCell ref="D1267:N1267"/>
    <mergeCell ref="H226:H227"/>
    <mergeCell ref="H331:H332"/>
    <mergeCell ref="H437:H438"/>
    <mergeCell ref="H542:H543"/>
    <mergeCell ref="K650:K651"/>
    <mergeCell ref="L650:M650"/>
    <mergeCell ref="I226:I227"/>
    <mergeCell ref="H121:H122"/>
    <mergeCell ref="G650:G651"/>
    <mergeCell ref="O959:O960"/>
    <mergeCell ref="I1423:I1424"/>
    <mergeCell ref="J1423:J1424"/>
    <mergeCell ref="B120:C120"/>
    <mergeCell ref="H650:H651"/>
    <mergeCell ref="H959:H960"/>
    <mergeCell ref="K959:K960"/>
    <mergeCell ref="L959:M959"/>
    <mergeCell ref="P959:P960"/>
    <mergeCell ref="E650:E651"/>
    <mergeCell ref="E226:E227"/>
    <mergeCell ref="B330:C330"/>
    <mergeCell ref="F226:F227"/>
    <mergeCell ref="G226:G227"/>
    <mergeCell ref="I437:I438"/>
    <mergeCell ref="K437:L437"/>
    <mergeCell ref="B121:B122"/>
    <mergeCell ref="C121:C122"/>
    <mergeCell ref="D121:D122"/>
    <mergeCell ref="E121:E122"/>
    <mergeCell ref="B436:C436"/>
    <mergeCell ref="B437:B438"/>
    <mergeCell ref="C437:C438"/>
    <mergeCell ref="B1422:C1422"/>
    <mergeCell ref="D437:D438"/>
    <mergeCell ref="D1422:N1422"/>
    <mergeCell ref="K1423:K1424"/>
    <mergeCell ref="L1423:M1423"/>
    <mergeCell ref="P1423:P1424"/>
    <mergeCell ref="P1373:P1374"/>
    <mergeCell ref="B8:N8"/>
    <mergeCell ref="I9:K9"/>
    <mergeCell ref="L9:N9"/>
    <mergeCell ref="N16:R16"/>
    <mergeCell ref="N121:R121"/>
    <mergeCell ref="N226:R226"/>
    <mergeCell ref="N331:R331"/>
    <mergeCell ref="N437:R437"/>
    <mergeCell ref="N648:T648"/>
    <mergeCell ref="N649:T649"/>
    <mergeCell ref="O650:S650"/>
    <mergeCell ref="N650:N651"/>
    <mergeCell ref="B1423:B1424"/>
    <mergeCell ref="C1423:C1424"/>
    <mergeCell ref="D1423:D1424"/>
    <mergeCell ref="E1423:E1424"/>
    <mergeCell ref="F1423:F1424"/>
    <mergeCell ref="G1423:G1424"/>
    <mergeCell ref="H1423:H1424"/>
  </mergeCells>
  <phoneticPr fontId="5" type="noConversion"/>
  <dataValidations count="2">
    <dataValidation type="list" allowBlank="1" showInputMessage="1" showErrorMessage="1" sqref="G1263:H1265 G434:H435 G645:H646 G329:H329 G224:H224 G540:H540 G119:H119 G1420:H1420 G18:G118 G1425:G1725 G123:G223 G228:G328 G333:G433 G439:G539 G544:G644 G1270:G1370 F1375:F1394 G961:G1262 G652:G952" xr:uid="{00000000-0002-0000-0200-000000000000}">
      <formula1>"ECCDE, Primary, JSS"</formula1>
    </dataValidation>
    <dataValidation type="list" allowBlank="1" showInputMessage="1" showErrorMessage="1" sqref="H18:H118 H123:H223 H228:H328 H333:H433 H439:H539 H544:H644 I1270:I1370 I1425:I1725 I961:I1261 I652:I952" xr:uid="{E08115BD-CF96-4F39-9736-4825D57CE6A8}">
      <formula1>"Rural, Urban"</formula1>
    </dataValidation>
  </dataValidations>
  <hyperlinks>
    <hyperlink ref="B4:N4" location="'Infrastructure Projects'!B648" display="Renovation: this includes any renovation, upgrade or rehabilitation of an already established structure such as schools, classroom blocks, toilets, etc" xr:uid="{00000000-0004-0000-0200-000000000000}"/>
    <hyperlink ref="B6:N6" location="'Infrastructure Projects'!B1266" display="Water Supply &amp; Sanitation: this includes construction of water supply systems such as boreholes, taps, etc and waste disposal systems such as incinerators, etc" xr:uid="{00000000-0004-0000-0200-000001000000}"/>
    <hyperlink ref="B5:N5" location="'Infrastructure Projects'!B957" display="Furniture and equipment: this includes procurement of furniture such as desks, chairs, tables, shelves, etc and equipments such as generators, ICT equipments, etc" xr:uid="{00000000-0004-0000-0200-000002000000}"/>
    <hyperlink ref="B3:N3" location="'Infrastructure Projects'!B13" display="Construction: this includes all consturctions such as new schools, classroom blocks, perimeter fencing, toilets, ICT centres, laboratories, libraries, etc" xr:uid="{00000000-0004-0000-0200-000003000000}"/>
    <hyperlink ref="B7:N7" location="'Infrastructure Projects'!B1372" display="Geophysical Survey: this includes details of the geophysical survey across the recommended locations for sinking of boreholes" xr:uid="{B2DA69CE-1C4E-40BC-8008-545C5199529C}"/>
    <hyperlink ref="B8:N8" location="'Infrastructure Projects'!B1421" display="Teaching and Learning Materials (TLMs): this includes the list of beneficiary school for distribution of textbooks" xr:uid="{6BDE0C1D-F751-458D-B9F8-EA03C87000E1}"/>
  </hyperlinks>
  <pageMargins left="0.19685039370078741" right="0.19685039370078741" top="0.15748031496062992" bottom="0.15748031496062992" header="0.31496062992125984" footer="0.31496062992125984"/>
  <pageSetup paperSize="8" scale="45" orientation="landscape" r:id="rId1"/>
  <rowBreaks count="1" manualBreakCount="1">
    <brk id="645" max="16383" man="1"/>
  </rowBreaks>
  <extLst>
    <ext xmlns:x14="http://schemas.microsoft.com/office/spreadsheetml/2009/9/main" uri="{CCE6A557-97BC-4b89-ADB6-D9C93CAAB3DF}">
      <x14:dataValidations xmlns:xm="http://schemas.microsoft.com/office/excel/2006/main" count="1">
        <x14:dataValidation type="list" allowBlank="1" showInputMessage="1" showErrorMessage="1" xr:uid="{22E93ABA-00BD-4D48-AF7E-E0B8AE02162D}">
          <x14:formula1>
            <xm:f>'Total budget summary'!$G$69:$G$80</xm:f>
          </x14:formula1>
          <xm:sqref>K1270:K1370 J123:J223 J228:J328 J333:J433 J439:J539 J544:J644 P1375:P1414 K1425:K1725 J18:J118 K961:K1261 K652:K952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theme="6" tint="-0.499984740745262"/>
  </sheetPr>
  <dimension ref="B1:C10"/>
  <sheetViews>
    <sheetView zoomScale="50" zoomScaleNormal="50" workbookViewId="0">
      <selection activeCell="B5" sqref="B5:C5"/>
    </sheetView>
  </sheetViews>
  <sheetFormatPr defaultColWidth="44.140625" defaultRowHeight="16.5" x14ac:dyDescent="0.25"/>
  <cols>
    <col min="1" max="1" width="2.85546875" style="2" customWidth="1"/>
    <col min="2" max="2" width="27.42578125" style="2" customWidth="1"/>
    <col min="3" max="3" width="76.140625" style="2" customWidth="1"/>
    <col min="4" max="16384" width="44.140625" style="2"/>
  </cols>
  <sheetData>
    <row r="1" spans="2:3" ht="12" customHeight="1" x14ac:dyDescent="0.25"/>
    <row r="2" spans="2:3" s="29" customFormat="1" ht="17.25" x14ac:dyDescent="0.25">
      <c r="B2" s="30" t="s">
        <v>71</v>
      </c>
      <c r="C2" s="30" t="s">
        <v>72</v>
      </c>
    </row>
    <row r="3" spans="2:3" ht="82.5" x14ac:dyDescent="0.25">
      <c r="B3" s="22" t="s">
        <v>73</v>
      </c>
      <c r="C3" s="3" t="s">
        <v>94</v>
      </c>
    </row>
    <row r="4" spans="2:3" ht="49.5" x14ac:dyDescent="0.25">
      <c r="B4" s="23" t="s">
        <v>74</v>
      </c>
      <c r="C4" s="3" t="s">
        <v>77</v>
      </c>
    </row>
    <row r="5" spans="2:3" ht="66" x14ac:dyDescent="0.25">
      <c r="B5" s="24" t="s">
        <v>75</v>
      </c>
      <c r="C5" s="3" t="s">
        <v>90</v>
      </c>
    </row>
    <row r="6" spans="2:3" ht="66" x14ac:dyDescent="0.25">
      <c r="B6" s="21" t="s">
        <v>117</v>
      </c>
      <c r="C6" s="3" t="s">
        <v>91</v>
      </c>
    </row>
    <row r="7" spans="2:3" ht="66" x14ac:dyDescent="0.25">
      <c r="B7" s="25" t="s">
        <v>76</v>
      </c>
      <c r="C7" s="3" t="s">
        <v>92</v>
      </c>
    </row>
    <row r="8" spans="2:3" ht="49.5" x14ac:dyDescent="0.25">
      <c r="B8" s="26" t="s">
        <v>78</v>
      </c>
      <c r="C8" s="3" t="s">
        <v>123</v>
      </c>
    </row>
    <row r="9" spans="2:3" ht="66" x14ac:dyDescent="0.25">
      <c r="B9" s="27" t="s">
        <v>79</v>
      </c>
      <c r="C9" s="3" t="s">
        <v>95</v>
      </c>
    </row>
    <row r="10" spans="2:3" ht="82.5" x14ac:dyDescent="0.25">
      <c r="B10" s="28" t="s">
        <v>80</v>
      </c>
      <c r="C10" s="3" t="s">
        <v>93</v>
      </c>
    </row>
  </sheetData>
  <hyperlinks>
    <hyperlink ref="B3" location="'Welcome Page'!A1" display="Welcome Page" xr:uid="{00000000-0004-0000-0100-000000000000}"/>
    <hyperlink ref="B4" location="'Description of sheets'!A1" display="Description of sheets" xr:uid="{00000000-0004-0000-0100-000001000000}"/>
    <hyperlink ref="B7" location="'Infrastructure Projects'!A1" display="Infrastructure Projects" xr:uid="{00000000-0004-0000-0100-000002000000}"/>
    <hyperlink ref="B8" location="'Activity costing '!A1" display="Activity costing" xr:uid="{00000000-0004-0000-0100-000003000000}"/>
    <hyperlink ref="B9" location="'Total budget summary'!A1" display="Total budget summary" xr:uid="{00000000-0004-0000-0100-000004000000}"/>
    <hyperlink ref="B10" location="Dashboard!A1" display="Dashboard" xr:uid="{00000000-0004-0000-0100-000005000000}"/>
    <hyperlink ref="B5" location="'Unit Cost Set-Up'!A1" display="Unit Cost Set-Up" xr:uid="{00000000-0004-0000-0100-000006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7" tint="0.39997558519241921"/>
  </sheetPr>
  <dimension ref="A1:AL201"/>
  <sheetViews>
    <sheetView showGridLines="0" view="pageBreakPreview" topLeftCell="E76" zoomScale="58" zoomScaleNormal="115" workbookViewId="0">
      <selection activeCell="J121" sqref="J121"/>
    </sheetView>
  </sheetViews>
  <sheetFormatPr defaultColWidth="8.7109375" defaultRowHeight="16.5" x14ac:dyDescent="0.25"/>
  <cols>
    <col min="1" max="1" width="1.5703125" style="133" customWidth="1"/>
    <col min="2" max="2" width="2.42578125" style="133" customWidth="1"/>
    <col min="3" max="3" width="8.7109375" style="133" customWidth="1"/>
    <col min="4" max="4" width="47.28515625" style="133" customWidth="1"/>
    <col min="5" max="5" width="25.5703125" style="133" customWidth="1"/>
    <col min="6" max="6" width="17" style="133" customWidth="1"/>
    <col min="7" max="7" width="25.7109375" style="133" customWidth="1"/>
    <col min="8" max="8" width="23" style="133" customWidth="1"/>
    <col min="9" max="9" width="20.85546875" style="133" customWidth="1"/>
    <col min="10" max="10" width="22.85546875" style="133" customWidth="1"/>
    <col min="11" max="11" width="19.42578125" style="133" customWidth="1"/>
    <col min="12" max="12" width="28.85546875" style="133" customWidth="1"/>
    <col min="13" max="13" width="29" style="133" bestFit="1" customWidth="1"/>
    <col min="14" max="14" width="26.85546875" style="133" customWidth="1"/>
    <col min="15" max="15" width="53.7109375" style="133" bestFit="1" customWidth="1"/>
    <col min="16" max="16" width="22.5703125" style="133" customWidth="1"/>
    <col min="17" max="17" width="24.42578125" style="133" customWidth="1"/>
    <col min="18" max="18" width="25.85546875" style="133" customWidth="1"/>
    <col min="19" max="19" width="21.42578125" style="133" customWidth="1"/>
    <col min="20" max="20" width="23.85546875" style="133" customWidth="1"/>
    <col min="21" max="21" width="20.140625" style="133" customWidth="1"/>
    <col min="22" max="22" width="16.42578125" style="133" customWidth="1"/>
    <col min="23" max="23" width="22.85546875" style="133" customWidth="1"/>
    <col min="24" max="24" width="18.5703125" style="133" customWidth="1"/>
    <col min="25" max="25" width="24.42578125" style="133" customWidth="1"/>
    <col min="26" max="26" width="34.7109375" style="133" customWidth="1"/>
    <col min="27" max="27" width="22.42578125" style="133" customWidth="1"/>
    <col min="28" max="28" width="25.42578125" style="133" customWidth="1"/>
    <col min="29" max="38" width="8.7109375" style="133"/>
    <col min="39" max="16384" width="8.7109375" style="2"/>
  </cols>
  <sheetData>
    <row r="1" spans="1:38" ht="5.0999999999999996" customHeight="1" thickBot="1" x14ac:dyDescent="0.3"/>
    <row r="2" spans="1:38" ht="21.95" customHeight="1" thickBot="1" x14ac:dyDescent="0.3">
      <c r="B2" s="868" t="s">
        <v>33</v>
      </c>
      <c r="C2" s="869"/>
      <c r="D2" s="869"/>
      <c r="E2" s="869"/>
      <c r="F2" s="869"/>
      <c r="G2" s="869"/>
      <c r="H2" s="869"/>
      <c r="I2" s="870"/>
      <c r="J2" s="134"/>
    </row>
    <row r="3" spans="1:38" ht="5.0999999999999996" customHeight="1" thickBot="1" x14ac:dyDescent="0.3">
      <c r="B3" s="135"/>
      <c r="C3" s="136"/>
      <c r="D3" s="136"/>
      <c r="E3" s="136"/>
      <c r="F3" s="136"/>
      <c r="G3" s="136"/>
      <c r="H3" s="136"/>
      <c r="I3" s="136"/>
      <c r="J3" s="136"/>
    </row>
    <row r="4" spans="1:38" ht="25.5" customHeight="1" thickBot="1" x14ac:dyDescent="0.3">
      <c r="B4" s="873" t="s">
        <v>128</v>
      </c>
      <c r="C4" s="874"/>
      <c r="D4" s="874"/>
      <c r="E4" s="874"/>
      <c r="F4" s="874"/>
      <c r="G4" s="874"/>
      <c r="H4" s="874"/>
      <c r="I4" s="874"/>
      <c r="J4" s="874"/>
      <c r="K4" s="874"/>
      <c r="L4" s="874"/>
      <c r="M4" s="874"/>
      <c r="N4" s="874"/>
      <c r="O4" s="874"/>
      <c r="P4" s="874"/>
      <c r="Q4" s="874"/>
      <c r="R4" s="874"/>
      <c r="S4" s="874"/>
      <c r="T4" s="874"/>
      <c r="U4" s="874"/>
      <c r="V4" s="874"/>
      <c r="W4" s="874"/>
      <c r="X4" s="874"/>
      <c r="Y4" s="874"/>
      <c r="Z4" s="875"/>
    </row>
    <row r="5" spans="1:38" s="48" customFormat="1" ht="25.5" customHeight="1" x14ac:dyDescent="0.25">
      <c r="A5" s="137"/>
      <c r="B5" s="138"/>
      <c r="C5" s="138"/>
      <c r="D5" s="138"/>
      <c r="E5" s="138"/>
      <c r="F5" s="138"/>
      <c r="G5" s="138"/>
      <c r="H5" s="138"/>
      <c r="I5" s="138"/>
      <c r="J5" s="138"/>
      <c r="K5" s="138"/>
      <c r="L5" s="138"/>
      <c r="M5" s="138"/>
      <c r="N5" s="138"/>
      <c r="O5" s="138"/>
      <c r="P5" s="138"/>
      <c r="Q5" s="138"/>
      <c r="R5" s="138"/>
      <c r="S5" s="138"/>
      <c r="T5" s="138"/>
      <c r="U5" s="138"/>
      <c r="V5" s="138"/>
      <c r="W5" s="138"/>
      <c r="X5" s="138"/>
      <c r="Y5" s="138"/>
      <c r="Z5" s="138"/>
      <c r="AA5" s="137"/>
      <c r="AB5" s="137"/>
      <c r="AC5" s="137"/>
      <c r="AD5" s="137"/>
      <c r="AE5" s="137"/>
      <c r="AF5" s="137"/>
      <c r="AG5" s="137"/>
      <c r="AH5" s="137"/>
      <c r="AI5" s="137"/>
      <c r="AJ5" s="137"/>
      <c r="AK5" s="137"/>
      <c r="AL5" s="137"/>
    </row>
    <row r="6" spans="1:38" s="48" customFormat="1" ht="25.5" customHeight="1" x14ac:dyDescent="0.25">
      <c r="A6" s="137"/>
      <c r="B6" s="138"/>
      <c r="C6" s="138"/>
      <c r="D6" s="138"/>
      <c r="E6" s="138"/>
      <c r="F6" s="138"/>
      <c r="G6" s="138"/>
      <c r="H6" s="139" t="s">
        <v>539</v>
      </c>
      <c r="I6" s="140" t="s">
        <v>540</v>
      </c>
      <c r="J6" s="138"/>
      <c r="K6" s="138"/>
      <c r="L6" s="138"/>
      <c r="M6" s="138"/>
      <c r="N6" s="138"/>
      <c r="O6" s="138"/>
      <c r="P6" s="138"/>
      <c r="Q6" s="138"/>
      <c r="R6" s="138"/>
      <c r="S6" s="138"/>
      <c r="T6" s="138"/>
      <c r="U6" s="138"/>
      <c r="V6" s="138"/>
      <c r="W6" s="138"/>
      <c r="X6" s="138"/>
      <c r="Y6" s="138"/>
      <c r="Z6" s="138"/>
      <c r="AA6" s="137"/>
      <c r="AB6" s="137"/>
      <c r="AC6" s="137"/>
      <c r="AD6" s="137"/>
      <c r="AE6" s="137"/>
      <c r="AF6" s="137"/>
      <c r="AG6" s="137"/>
      <c r="AH6" s="137"/>
      <c r="AI6" s="137"/>
      <c r="AJ6" s="137"/>
      <c r="AK6" s="137"/>
      <c r="AL6" s="137"/>
    </row>
    <row r="7" spans="1:38" s="48" customFormat="1" ht="25.5" customHeight="1" x14ac:dyDescent="0.25">
      <c r="A7" s="141"/>
      <c r="B7" s="142"/>
      <c r="C7" s="852" t="s">
        <v>463</v>
      </c>
      <c r="D7" s="853"/>
      <c r="E7" s="853"/>
      <c r="F7" s="853"/>
      <c r="G7" s="853"/>
      <c r="H7" s="853"/>
      <c r="I7" s="854"/>
      <c r="J7" s="138"/>
      <c r="K7" s="138"/>
      <c r="L7" s="138"/>
      <c r="M7" s="138"/>
      <c r="N7" s="138"/>
      <c r="O7" s="138"/>
      <c r="P7" s="138"/>
      <c r="Q7" s="138"/>
      <c r="R7" s="138"/>
      <c r="S7" s="138"/>
      <c r="T7" s="138"/>
      <c r="U7" s="138"/>
      <c r="V7" s="138"/>
      <c r="W7" s="138"/>
      <c r="X7" s="138"/>
      <c r="Y7" s="138"/>
      <c r="Z7" s="138"/>
      <c r="AA7" s="137"/>
      <c r="AB7" s="137"/>
      <c r="AC7" s="137"/>
      <c r="AD7" s="137"/>
      <c r="AE7" s="137"/>
      <c r="AF7" s="137"/>
      <c r="AG7" s="137"/>
      <c r="AH7" s="137"/>
      <c r="AI7" s="137"/>
      <c r="AJ7" s="137"/>
      <c r="AK7" s="137"/>
      <c r="AL7" s="137"/>
    </row>
    <row r="8" spans="1:38" s="48" customFormat="1" ht="25.5" customHeight="1" x14ac:dyDescent="0.25">
      <c r="A8" s="137"/>
      <c r="B8" s="138"/>
      <c r="C8" s="865" t="s">
        <v>695</v>
      </c>
      <c r="D8" s="865"/>
      <c r="E8" s="865"/>
      <c r="F8" s="865"/>
      <c r="G8" s="865"/>
      <c r="H8" s="865"/>
      <c r="I8" s="865"/>
      <c r="J8" s="364"/>
      <c r="K8" s="129"/>
      <c r="L8" s="129"/>
      <c r="M8" s="129"/>
      <c r="N8" s="129"/>
      <c r="O8" s="129"/>
      <c r="P8" s="129"/>
      <c r="Q8" s="138"/>
      <c r="R8" s="138"/>
      <c r="S8" s="138"/>
      <c r="T8" s="138"/>
      <c r="U8" s="138"/>
      <c r="V8" s="138"/>
      <c r="W8" s="138"/>
      <c r="X8" s="138"/>
      <c r="Y8" s="138"/>
      <c r="Z8" s="138"/>
      <c r="AA8" s="137"/>
      <c r="AB8" s="137"/>
      <c r="AC8" s="137"/>
      <c r="AD8" s="137"/>
      <c r="AE8" s="137"/>
      <c r="AF8" s="137"/>
      <c r="AG8" s="137"/>
      <c r="AH8" s="137"/>
      <c r="AI8" s="137"/>
      <c r="AJ8" s="137"/>
      <c r="AK8" s="137"/>
      <c r="AL8" s="137"/>
    </row>
    <row r="9" spans="1:38" s="48" customFormat="1" ht="25.5" customHeight="1" x14ac:dyDescent="0.25">
      <c r="A9" s="137"/>
      <c r="B9" s="138"/>
      <c r="C9" s="865" t="s">
        <v>696</v>
      </c>
      <c r="D9" s="865"/>
      <c r="E9" s="865"/>
      <c r="F9" s="865"/>
      <c r="G9" s="865"/>
      <c r="H9" s="865"/>
      <c r="I9" s="865"/>
      <c r="J9" s="365"/>
      <c r="K9" s="138"/>
      <c r="L9" s="138"/>
      <c r="M9" s="138"/>
      <c r="N9" s="138"/>
      <c r="O9" s="138"/>
      <c r="P9" s="138"/>
      <c r="Q9" s="138"/>
      <c r="R9" s="138"/>
      <c r="S9" s="138"/>
      <c r="T9" s="138"/>
      <c r="U9" s="138"/>
      <c r="V9" s="138"/>
      <c r="W9" s="138"/>
      <c r="X9" s="138"/>
      <c r="Y9" s="138"/>
      <c r="Z9" s="138"/>
      <c r="AA9" s="137"/>
      <c r="AB9" s="137"/>
      <c r="AC9" s="137"/>
      <c r="AD9" s="137"/>
      <c r="AE9" s="137"/>
      <c r="AF9" s="137"/>
      <c r="AG9" s="137"/>
      <c r="AH9" s="137"/>
      <c r="AI9" s="137"/>
      <c r="AJ9" s="137"/>
      <c r="AK9" s="137"/>
      <c r="AL9" s="137"/>
    </row>
    <row r="10" spans="1:38" s="48" customFormat="1" ht="25.5" customHeight="1" x14ac:dyDescent="0.25">
      <c r="A10" s="137"/>
      <c r="B10" s="138"/>
      <c r="C10" s="866" t="s">
        <v>697</v>
      </c>
      <c r="D10" s="866"/>
      <c r="E10" s="866"/>
      <c r="F10" s="866"/>
      <c r="G10" s="866"/>
      <c r="H10" s="866"/>
      <c r="I10" s="866"/>
      <c r="J10" s="365"/>
      <c r="K10" s="138"/>
      <c r="L10" s="138"/>
      <c r="M10" s="138"/>
      <c r="N10" s="138"/>
      <c r="O10" s="138"/>
      <c r="P10" s="138"/>
      <c r="Q10" s="138"/>
      <c r="R10" s="138"/>
      <c r="S10" s="138"/>
      <c r="T10" s="138"/>
      <c r="U10" s="138"/>
      <c r="V10" s="138"/>
      <c r="W10" s="138"/>
      <c r="X10" s="138"/>
      <c r="Y10" s="138"/>
      <c r="Z10" s="138"/>
      <c r="AA10" s="137"/>
      <c r="AB10" s="137"/>
      <c r="AC10" s="137"/>
      <c r="AD10" s="137"/>
      <c r="AE10" s="137"/>
      <c r="AF10" s="137"/>
      <c r="AG10" s="137"/>
      <c r="AH10" s="137"/>
      <c r="AI10" s="137"/>
      <c r="AJ10" s="137"/>
      <c r="AK10" s="137"/>
      <c r="AL10" s="137"/>
    </row>
    <row r="11" spans="1:38" s="48" customFormat="1" ht="25.5" customHeight="1" x14ac:dyDescent="0.25">
      <c r="A11" s="137"/>
      <c r="B11" s="138"/>
      <c r="C11" s="866" t="s">
        <v>698</v>
      </c>
      <c r="D11" s="867"/>
      <c r="E11" s="867"/>
      <c r="F11" s="867"/>
      <c r="G11" s="867"/>
      <c r="H11" s="867"/>
      <c r="I11" s="867"/>
      <c r="J11" s="365"/>
      <c r="K11" s="138"/>
      <c r="L11" s="138"/>
      <c r="M11" s="138"/>
      <c r="N11" s="138"/>
      <c r="O11" s="138"/>
      <c r="P11" s="138"/>
      <c r="Q11" s="138"/>
      <c r="R11" s="138"/>
      <c r="S11" s="138"/>
      <c r="T11" s="138"/>
      <c r="U11" s="138"/>
      <c r="V11" s="138"/>
      <c r="W11" s="138"/>
      <c r="X11" s="138"/>
      <c r="Y11" s="138"/>
      <c r="Z11" s="138"/>
      <c r="AA11" s="137"/>
      <c r="AB11" s="137"/>
      <c r="AC11" s="137"/>
      <c r="AD11" s="137"/>
      <c r="AE11" s="137"/>
      <c r="AF11" s="137"/>
      <c r="AG11" s="137"/>
      <c r="AH11" s="137"/>
      <c r="AI11" s="137"/>
      <c r="AJ11" s="137"/>
      <c r="AK11" s="137"/>
      <c r="AL11" s="137"/>
    </row>
    <row r="12" spans="1:38" s="48" customFormat="1" ht="25.5" customHeight="1" x14ac:dyDescent="0.25">
      <c r="A12" s="137"/>
      <c r="B12" s="138"/>
      <c r="C12" s="866" t="s">
        <v>699</v>
      </c>
      <c r="D12" s="866"/>
      <c r="E12" s="866"/>
      <c r="F12" s="866"/>
      <c r="G12" s="866"/>
      <c r="H12" s="866"/>
      <c r="I12" s="866"/>
      <c r="J12" s="364"/>
      <c r="K12" s="129"/>
      <c r="L12" s="129"/>
      <c r="M12" s="129"/>
      <c r="N12" s="129"/>
      <c r="O12" s="129"/>
      <c r="P12" s="129"/>
      <c r="Q12" s="138"/>
      <c r="R12" s="138"/>
      <c r="S12" s="138"/>
      <c r="T12" s="138"/>
      <c r="U12" s="138"/>
      <c r="V12" s="138"/>
      <c r="W12" s="138"/>
      <c r="X12" s="138"/>
      <c r="Y12" s="138"/>
      <c r="Z12" s="138"/>
      <c r="AA12" s="137"/>
      <c r="AB12" s="137"/>
      <c r="AC12" s="137"/>
      <c r="AD12" s="137"/>
      <c r="AE12" s="137"/>
      <c r="AF12" s="137"/>
      <c r="AG12" s="137"/>
      <c r="AH12" s="137"/>
      <c r="AI12" s="137"/>
      <c r="AJ12" s="137"/>
      <c r="AK12" s="137"/>
      <c r="AL12" s="137"/>
    </row>
    <row r="13" spans="1:38" ht="39.6" customHeight="1" x14ac:dyDescent="0.25"/>
    <row r="14" spans="1:38" ht="18.95" customHeight="1" x14ac:dyDescent="0.25">
      <c r="C14" s="840" t="s">
        <v>35</v>
      </c>
      <c r="D14" s="840" t="s">
        <v>104</v>
      </c>
      <c r="E14" s="840" t="s">
        <v>562</v>
      </c>
      <c r="F14" s="840" t="s">
        <v>111</v>
      </c>
      <c r="G14" s="840" t="s">
        <v>517</v>
      </c>
      <c r="H14" s="832" t="s">
        <v>189</v>
      </c>
      <c r="I14" s="876" t="s">
        <v>108</v>
      </c>
      <c r="J14" s="840" t="s">
        <v>124</v>
      </c>
      <c r="K14" s="840" t="s">
        <v>114</v>
      </c>
      <c r="L14" s="837" t="s">
        <v>519</v>
      </c>
      <c r="M14" s="837" t="s">
        <v>520</v>
      </c>
      <c r="N14" s="840" t="s">
        <v>131</v>
      </c>
      <c r="O14" s="832" t="s">
        <v>190</v>
      </c>
      <c r="P14" s="832" t="s">
        <v>191</v>
      </c>
      <c r="Q14" s="880" t="s">
        <v>53</v>
      </c>
      <c r="R14" s="881"/>
      <c r="S14" s="881"/>
      <c r="T14" s="881"/>
      <c r="U14" s="881"/>
      <c r="V14" s="881"/>
      <c r="W14" s="881"/>
      <c r="X14" s="840" t="s">
        <v>516</v>
      </c>
      <c r="Y14" s="832" t="s">
        <v>563</v>
      </c>
      <c r="Z14" s="143" t="s">
        <v>107</v>
      </c>
    </row>
    <row r="15" spans="1:38" ht="14.45" customHeight="1" x14ac:dyDescent="0.25">
      <c r="C15" s="841"/>
      <c r="D15" s="841"/>
      <c r="E15" s="841"/>
      <c r="F15" s="841"/>
      <c r="G15" s="841"/>
      <c r="H15" s="832"/>
      <c r="I15" s="877"/>
      <c r="J15" s="841"/>
      <c r="K15" s="841"/>
      <c r="L15" s="838"/>
      <c r="M15" s="838"/>
      <c r="N15" s="841"/>
      <c r="O15" s="832"/>
      <c r="P15" s="832"/>
      <c r="Q15" s="863" t="s">
        <v>54</v>
      </c>
      <c r="R15" s="864"/>
      <c r="S15" s="828"/>
      <c r="T15" s="863" t="s">
        <v>55</v>
      </c>
      <c r="U15" s="828"/>
      <c r="V15" s="863" t="s">
        <v>58</v>
      </c>
      <c r="W15" s="828"/>
      <c r="X15" s="841"/>
      <c r="Y15" s="832"/>
      <c r="Z15" s="144"/>
    </row>
    <row r="16" spans="1:38" ht="51" customHeight="1" x14ac:dyDescent="0.25">
      <c r="C16" s="842"/>
      <c r="D16" s="842"/>
      <c r="E16" s="842"/>
      <c r="F16" s="842"/>
      <c r="G16" s="842"/>
      <c r="H16" s="832"/>
      <c r="I16" s="878"/>
      <c r="J16" s="842"/>
      <c r="K16" s="842"/>
      <c r="L16" s="839"/>
      <c r="M16" s="839"/>
      <c r="N16" s="842"/>
      <c r="O16" s="832"/>
      <c r="P16" s="832"/>
      <c r="Q16" s="145" t="s">
        <v>98</v>
      </c>
      <c r="R16" s="145" t="s">
        <v>125</v>
      </c>
      <c r="S16" s="145" t="s">
        <v>282</v>
      </c>
      <c r="T16" s="145" t="s">
        <v>56</v>
      </c>
      <c r="U16" s="145" t="s">
        <v>57</v>
      </c>
      <c r="V16" s="145" t="s">
        <v>56</v>
      </c>
      <c r="W16" s="145" t="s">
        <v>57</v>
      </c>
      <c r="X16" s="842"/>
      <c r="Y16" s="832"/>
      <c r="Z16" s="146"/>
    </row>
    <row r="17" spans="1:27" ht="16.5" customHeight="1" x14ac:dyDescent="0.25">
      <c r="C17" s="845" t="s">
        <v>593</v>
      </c>
      <c r="D17" s="846"/>
      <c r="E17" s="846"/>
      <c r="F17" s="846"/>
      <c r="G17" s="846"/>
      <c r="H17" s="846"/>
      <c r="I17" s="846"/>
      <c r="J17" s="846"/>
      <c r="K17" s="846"/>
      <c r="L17" s="846"/>
      <c r="M17" s="846"/>
      <c r="N17" s="846"/>
      <c r="O17" s="846"/>
      <c r="P17" s="846"/>
      <c r="Q17" s="147"/>
      <c r="R17" s="147"/>
      <c r="S17" s="147"/>
      <c r="T17" s="147"/>
      <c r="U17" s="147"/>
      <c r="V17" s="147"/>
      <c r="W17" s="147"/>
      <c r="X17" s="147"/>
      <c r="Y17" s="147"/>
      <c r="Z17" s="148"/>
    </row>
    <row r="18" spans="1:27" ht="23.1" customHeight="1" x14ac:dyDescent="0.25">
      <c r="C18" s="847" t="s">
        <v>112</v>
      </c>
      <c r="D18" s="848"/>
      <c r="E18" s="848"/>
      <c r="F18" s="848"/>
      <c r="G18" s="848"/>
      <c r="H18" s="848"/>
      <c r="I18" s="848"/>
      <c r="J18" s="848"/>
      <c r="K18" s="848"/>
      <c r="L18" s="848"/>
      <c r="M18" s="848"/>
      <c r="N18" s="848"/>
      <c r="O18" s="149"/>
      <c r="P18" s="149"/>
      <c r="Q18" s="149"/>
      <c r="R18" s="149"/>
      <c r="S18" s="149"/>
      <c r="T18" s="149"/>
      <c r="U18" s="149"/>
      <c r="V18" s="149"/>
      <c r="W18" s="149"/>
      <c r="X18" s="149"/>
      <c r="Y18" s="149"/>
      <c r="Z18" s="150"/>
    </row>
    <row r="19" spans="1:27" ht="99" x14ac:dyDescent="0.3">
      <c r="C19" s="151" t="s">
        <v>454</v>
      </c>
      <c r="D19" s="857" t="s">
        <v>105</v>
      </c>
      <c r="E19" s="209" t="str">
        <f>'Infrastructure Projects'!D15</f>
        <v>CONSTRUCTION OF UBE STANDARD BLOCK OF 3-CLASSROOMS, OFFICE, STORE AND 6NO. VENTILATED IMPROVED PIT TOILETS</v>
      </c>
      <c r="F19" s="701">
        <v>2401</v>
      </c>
      <c r="G19" s="211">
        <f>SUM('Infrastructure Projects'!F18:F118)</f>
        <v>2</v>
      </c>
      <c r="H19" s="130" t="s">
        <v>1182</v>
      </c>
      <c r="I19" s="151">
        <v>240</v>
      </c>
      <c r="J19" s="130" t="s">
        <v>1791</v>
      </c>
      <c r="K19" s="153" t="s">
        <v>783</v>
      </c>
      <c r="L19" s="154">
        <v>45962</v>
      </c>
      <c r="M19" s="154">
        <v>46053</v>
      </c>
      <c r="N19" s="533" t="s">
        <v>1792</v>
      </c>
      <c r="O19" s="212">
        <f>'Infrastructure Projects'!U15</f>
        <v>219055114.80000001</v>
      </c>
      <c r="P19" s="68" t="s">
        <v>734</v>
      </c>
      <c r="Q19" s="156">
        <v>0</v>
      </c>
      <c r="R19" s="156">
        <v>219055114.80000001</v>
      </c>
      <c r="S19" s="156">
        <v>0</v>
      </c>
      <c r="T19" s="157"/>
      <c r="U19" s="156">
        <v>0</v>
      </c>
      <c r="V19" s="151"/>
      <c r="W19" s="156">
        <v>0</v>
      </c>
      <c r="X19" s="213">
        <f>(F19-G19)</f>
        <v>2399</v>
      </c>
      <c r="Y19" s="214">
        <f>O19-(Q19+R19+S19+U19+W19)</f>
        <v>0</v>
      </c>
      <c r="Z19" s="157"/>
    </row>
    <row r="20" spans="1:27" ht="66" x14ac:dyDescent="0.3">
      <c r="C20" s="151" t="s">
        <v>455</v>
      </c>
      <c r="D20" s="858"/>
      <c r="E20" s="210" t="str">
        <f>'Infrastructure Projects'!D120</f>
        <v>3NO. BLOCKS OF TWIN COMPARTMENT VENTILATED IMPROVED PIT (VIP) TOILETS</v>
      </c>
      <c r="F20" s="151">
        <v>397</v>
      </c>
      <c r="G20" s="211">
        <f>SUM('Infrastructure Projects'!F123:F223)</f>
        <v>6</v>
      </c>
      <c r="H20" s="130" t="s">
        <v>1182</v>
      </c>
      <c r="I20" s="151">
        <v>2732</v>
      </c>
      <c r="J20" s="648" t="s">
        <v>1797</v>
      </c>
      <c r="K20" s="153" t="s">
        <v>783</v>
      </c>
      <c r="L20" s="154">
        <v>45962</v>
      </c>
      <c r="M20" s="154">
        <v>46053</v>
      </c>
      <c r="N20" s="533" t="s">
        <v>1792</v>
      </c>
      <c r="O20" s="212">
        <f>'Infrastructure Projects'!U120</f>
        <v>151714249.08000001</v>
      </c>
      <c r="P20" s="68" t="s">
        <v>728</v>
      </c>
      <c r="Q20" s="156">
        <v>0</v>
      </c>
      <c r="R20" s="156">
        <v>151714249.08000001</v>
      </c>
      <c r="S20" s="156">
        <v>0</v>
      </c>
      <c r="T20" s="157"/>
      <c r="U20" s="156">
        <v>0</v>
      </c>
      <c r="V20" s="151"/>
      <c r="W20" s="156">
        <v>0</v>
      </c>
      <c r="X20" s="213">
        <f t="shared" ref="X20:X27" si="0">(F20-G20)</f>
        <v>391</v>
      </c>
      <c r="Y20" s="214">
        <f t="shared" ref="Y20:Y27" si="1">O20-(Q20+R20+S20+U20+W20)</f>
        <v>0</v>
      </c>
      <c r="Z20" s="157"/>
    </row>
    <row r="21" spans="1:27" ht="66" hidden="1" x14ac:dyDescent="0.3">
      <c r="A21" s="133" t="s">
        <v>313</v>
      </c>
      <c r="C21" s="151" t="s">
        <v>456</v>
      </c>
      <c r="D21" s="858"/>
      <c r="E21" s="210">
        <f>'Infrastructure Projects'!D225</f>
        <v>0</v>
      </c>
      <c r="F21" s="151"/>
      <c r="G21" s="211">
        <f>SUM('Infrastructure Projects'!F228:F328)</f>
        <v>0</v>
      </c>
      <c r="H21" s="130"/>
      <c r="I21" s="160"/>
      <c r="J21" s="648" t="s">
        <v>1791</v>
      </c>
      <c r="K21" s="153"/>
      <c r="L21" s="154"/>
      <c r="M21" s="154">
        <v>46053</v>
      </c>
      <c r="N21" s="151"/>
      <c r="O21" s="212">
        <f>'Infrastructure Projects'!U225</f>
        <v>0</v>
      </c>
      <c r="P21" s="68"/>
      <c r="Q21" s="156">
        <v>0</v>
      </c>
      <c r="R21" s="156">
        <v>0</v>
      </c>
      <c r="S21" s="156">
        <v>0</v>
      </c>
      <c r="T21" s="157"/>
      <c r="U21" s="156">
        <v>0</v>
      </c>
      <c r="V21" s="151"/>
      <c r="W21" s="156">
        <v>0</v>
      </c>
      <c r="X21" s="213">
        <f t="shared" si="0"/>
        <v>0</v>
      </c>
      <c r="Y21" s="214">
        <f t="shared" si="1"/>
        <v>0</v>
      </c>
      <c r="Z21" s="161"/>
    </row>
    <row r="22" spans="1:27" ht="66" hidden="1" x14ac:dyDescent="0.3">
      <c r="C22" s="151" t="s">
        <v>457</v>
      </c>
      <c r="D22" s="858"/>
      <c r="E22" s="210">
        <f>'Infrastructure Projects'!D330</f>
        <v>0</v>
      </c>
      <c r="F22" s="151"/>
      <c r="G22" s="211">
        <f>SUM('Infrastructure Projects'!F333:F433)</f>
        <v>0</v>
      </c>
      <c r="H22" s="130"/>
      <c r="I22" s="160"/>
      <c r="J22" s="648" t="s">
        <v>1791</v>
      </c>
      <c r="K22" s="153"/>
      <c r="L22" s="154"/>
      <c r="M22" s="154">
        <v>46053</v>
      </c>
      <c r="N22" s="151"/>
      <c r="O22" s="212">
        <f>'Infrastructure Projects'!U330</f>
        <v>0</v>
      </c>
      <c r="P22" s="68"/>
      <c r="Q22" s="156">
        <v>0</v>
      </c>
      <c r="R22" s="156">
        <v>0</v>
      </c>
      <c r="S22" s="156">
        <v>0</v>
      </c>
      <c r="T22" s="157"/>
      <c r="U22" s="156">
        <v>0</v>
      </c>
      <c r="V22" s="151"/>
      <c r="W22" s="156">
        <v>0</v>
      </c>
      <c r="X22" s="213">
        <f t="shared" si="0"/>
        <v>0</v>
      </c>
      <c r="Y22" s="214">
        <f t="shared" si="1"/>
        <v>0</v>
      </c>
      <c r="Z22" s="161"/>
    </row>
    <row r="23" spans="1:27" ht="66" hidden="1" x14ac:dyDescent="0.3">
      <c r="C23" s="151" t="s">
        <v>458</v>
      </c>
      <c r="D23" s="858"/>
      <c r="E23" s="210">
        <f>'Infrastructure Projects'!D436</f>
        <v>0</v>
      </c>
      <c r="F23" s="151"/>
      <c r="G23" s="211">
        <f>SUM('Infrastructure Projects'!F439:F539)</f>
        <v>0</v>
      </c>
      <c r="H23" s="130"/>
      <c r="I23" s="160"/>
      <c r="J23" s="648" t="s">
        <v>1791</v>
      </c>
      <c r="K23" s="153"/>
      <c r="L23" s="154"/>
      <c r="M23" s="154">
        <v>46053</v>
      </c>
      <c r="N23" s="151"/>
      <c r="O23" s="212">
        <f>'Infrastructure Projects'!U436</f>
        <v>0</v>
      </c>
      <c r="P23" s="68"/>
      <c r="Q23" s="156">
        <v>0</v>
      </c>
      <c r="R23" s="156">
        <v>0</v>
      </c>
      <c r="S23" s="156">
        <v>0</v>
      </c>
      <c r="T23" s="157"/>
      <c r="U23" s="156">
        <v>0</v>
      </c>
      <c r="V23" s="151"/>
      <c r="W23" s="156">
        <v>0</v>
      </c>
      <c r="X23" s="213">
        <f t="shared" si="0"/>
        <v>0</v>
      </c>
      <c r="Y23" s="214">
        <f t="shared" si="1"/>
        <v>0</v>
      </c>
      <c r="Z23" s="161"/>
    </row>
    <row r="24" spans="1:27" ht="132" x14ac:dyDescent="0.3">
      <c r="C24" s="151" t="s">
        <v>459</v>
      </c>
      <c r="D24" s="858"/>
      <c r="E24" s="210" t="str">
        <f>'Infrastructure Projects'!D541</f>
        <v>CONSTRUCTION OF  PERIMETER FENCE AND GATE HOUSE</v>
      </c>
      <c r="F24" s="708">
        <v>3920400</v>
      </c>
      <c r="G24" s="554">
        <f>SUM('Infrastructure Projects'!F544:F644)</f>
        <v>5756</v>
      </c>
      <c r="H24" s="130" t="s">
        <v>867</v>
      </c>
      <c r="I24" s="648">
        <v>3212</v>
      </c>
      <c r="J24" s="648" t="s">
        <v>1800</v>
      </c>
      <c r="K24" s="153" t="s">
        <v>783</v>
      </c>
      <c r="L24" s="154">
        <v>45962</v>
      </c>
      <c r="M24" s="154">
        <v>46053</v>
      </c>
      <c r="N24" s="533" t="s">
        <v>1792</v>
      </c>
      <c r="O24" s="212">
        <f>'Infrastructure Projects'!P541</f>
        <v>887201916.33000684</v>
      </c>
      <c r="P24" s="68" t="s">
        <v>734</v>
      </c>
      <c r="Q24" s="156">
        <v>0</v>
      </c>
      <c r="R24" s="156">
        <v>809458025.32000005</v>
      </c>
      <c r="S24" s="156">
        <v>0</v>
      </c>
      <c r="T24" s="157"/>
      <c r="U24" s="156">
        <v>0</v>
      </c>
      <c r="V24" s="151"/>
      <c r="W24" s="156">
        <v>0</v>
      </c>
      <c r="X24" s="213">
        <f t="shared" si="0"/>
        <v>3914644</v>
      </c>
      <c r="Y24" s="214">
        <f t="shared" si="1"/>
        <v>77743891.010006785</v>
      </c>
      <c r="Z24" s="161" t="s">
        <v>1537</v>
      </c>
    </row>
    <row r="25" spans="1:27" ht="82.5" x14ac:dyDescent="0.3">
      <c r="C25" s="151" t="s">
        <v>460</v>
      </c>
      <c r="D25" s="162" t="s">
        <v>43</v>
      </c>
      <c r="E25" s="210" t="str">
        <f>'Infrastructure Projects'!D649</f>
        <v>Reha/Renovation of Classrooms, Offices, Stores, Libraries and Toilets (Whole School Approach).</v>
      </c>
      <c r="F25" s="151">
        <v>502</v>
      </c>
      <c r="G25" s="211">
        <f>SUM('Infrastructure Projects'!F652:F762)</f>
        <v>9</v>
      </c>
      <c r="H25" s="130" t="s">
        <v>867</v>
      </c>
      <c r="I25" s="151">
        <v>3280</v>
      </c>
      <c r="J25" s="648" t="s">
        <v>1798</v>
      </c>
      <c r="K25" s="153" t="s">
        <v>783</v>
      </c>
      <c r="L25" s="154">
        <v>45962</v>
      </c>
      <c r="M25" s="154">
        <v>46053</v>
      </c>
      <c r="N25" s="533" t="s">
        <v>1792</v>
      </c>
      <c r="O25" s="212">
        <f>'Infrastructure Projects'!U649</f>
        <v>1246382133.02</v>
      </c>
      <c r="P25" s="68" t="s">
        <v>734</v>
      </c>
      <c r="Q25" s="156">
        <v>0</v>
      </c>
      <c r="R25" s="156">
        <v>1246382133.02</v>
      </c>
      <c r="S25" s="156">
        <v>0</v>
      </c>
      <c r="T25" s="157"/>
      <c r="U25" s="156">
        <v>0</v>
      </c>
      <c r="V25" s="151"/>
      <c r="W25" s="156">
        <v>0</v>
      </c>
      <c r="X25" s="213">
        <f t="shared" si="0"/>
        <v>493</v>
      </c>
      <c r="Y25" s="214">
        <f t="shared" si="1"/>
        <v>0</v>
      </c>
      <c r="Z25" s="157"/>
    </row>
    <row r="26" spans="1:27" ht="115.5" x14ac:dyDescent="0.3">
      <c r="C26" s="151" t="s">
        <v>461</v>
      </c>
      <c r="D26" s="162" t="s">
        <v>106</v>
      </c>
      <c r="E26" s="210" t="str">
        <f>'Infrastructure Projects'!D958</f>
        <v>EQUIPMENT; COMPUTERS IN DIGITAL LIBRARIES, FURNITURE; CONSTRUCTION OF 2-SEATER DUAL-DESK OF STEEL/WOOD</v>
      </c>
      <c r="F26" s="708">
        <v>335760</v>
      </c>
      <c r="G26" s="554">
        <f>SUM('Infrastructure Projects'!F961:F1261)</f>
        <v>3115</v>
      </c>
      <c r="H26" s="130" t="s">
        <v>867</v>
      </c>
      <c r="I26" s="151">
        <v>6572</v>
      </c>
      <c r="J26" s="648" t="s">
        <v>1799</v>
      </c>
      <c r="K26" s="153" t="s">
        <v>1468</v>
      </c>
      <c r="L26" s="154">
        <v>45962</v>
      </c>
      <c r="M26" s="154">
        <v>46053</v>
      </c>
      <c r="N26" s="533" t="s">
        <v>1792</v>
      </c>
      <c r="O26" s="212">
        <f>'Infrastructure Projects'!P958</f>
        <v>1850309463.4399996</v>
      </c>
      <c r="P26" s="68" t="s">
        <v>734</v>
      </c>
      <c r="Q26" s="156">
        <v>0</v>
      </c>
      <c r="R26" s="156">
        <v>1927279354.45</v>
      </c>
      <c r="S26" s="156">
        <v>0</v>
      </c>
      <c r="T26" s="157"/>
      <c r="U26" s="156">
        <v>0</v>
      </c>
      <c r="V26" s="151"/>
      <c r="W26" s="156">
        <v>0</v>
      </c>
      <c r="X26" s="213">
        <f t="shared" si="0"/>
        <v>332645</v>
      </c>
      <c r="Y26" s="214">
        <f t="shared" si="1"/>
        <v>-76969891.010000467</v>
      </c>
      <c r="Z26" s="157"/>
    </row>
    <row r="27" spans="1:27" ht="132" x14ac:dyDescent="0.3">
      <c r="C27" s="151" t="s">
        <v>462</v>
      </c>
      <c r="D27" s="163" t="s">
        <v>747</v>
      </c>
      <c r="E27" s="210" t="str">
        <f>'Infrastructure Projects'!D1267</f>
        <v>DRILLING OF MOTORIZED BOREHOLES WITH  OVERHEAD STEEL STANCTION, 4000L PVC TANK  AND INSTALLATION OF SOLAR RACK/PUMPS</v>
      </c>
      <c r="F27" s="482">
        <v>3268</v>
      </c>
      <c r="G27" s="554">
        <f>'Infrastructure Projects'!P1266</f>
        <v>255675000</v>
      </c>
      <c r="H27" s="130" t="s">
        <v>867</v>
      </c>
      <c r="I27" s="151">
        <v>4282</v>
      </c>
      <c r="J27" s="648" t="s">
        <v>1793</v>
      </c>
      <c r="K27" s="153" t="s">
        <v>1468</v>
      </c>
      <c r="L27" s="154">
        <v>45962</v>
      </c>
      <c r="M27" s="154">
        <v>46053</v>
      </c>
      <c r="N27" s="533" t="s">
        <v>1792</v>
      </c>
      <c r="O27" s="212">
        <f>'Infrastructure Projects'!P1267</f>
        <v>254000000</v>
      </c>
      <c r="P27" s="68" t="s">
        <v>728</v>
      </c>
      <c r="Q27" s="156">
        <v>0</v>
      </c>
      <c r="R27" s="156">
        <v>250000000</v>
      </c>
      <c r="S27" s="156">
        <v>0</v>
      </c>
      <c r="T27" s="157"/>
      <c r="U27" s="156">
        <v>0</v>
      </c>
      <c r="V27" s="151"/>
      <c r="W27" s="156">
        <v>0</v>
      </c>
      <c r="X27" s="213">
        <f t="shared" si="0"/>
        <v>-255671732</v>
      </c>
      <c r="Y27" s="214">
        <f t="shared" si="1"/>
        <v>4000000</v>
      </c>
      <c r="Z27" s="157"/>
    </row>
    <row r="28" spans="1:27" ht="21" customHeight="1" x14ac:dyDescent="0.25">
      <c r="C28" s="151"/>
      <c r="D28" s="152" t="s">
        <v>133</v>
      </c>
      <c r="E28" s="164"/>
      <c r="F28" s="164"/>
      <c r="G28" s="164"/>
      <c r="H28" s="164"/>
      <c r="I28" s="164"/>
      <c r="J28" s="164"/>
      <c r="K28" s="164"/>
      <c r="L28" s="164"/>
      <c r="M28" s="164"/>
      <c r="N28" s="165"/>
      <c r="O28" s="214">
        <f>SUM(O19:O27)</f>
        <v>4608662876.6700058</v>
      </c>
      <c r="P28" s="158"/>
      <c r="Q28" s="214">
        <f>SUM(Q19:Q27)</f>
        <v>0</v>
      </c>
      <c r="R28" s="214">
        <f>SUM(R19:R27)</f>
        <v>4603888876.6700001</v>
      </c>
      <c r="S28" s="214">
        <f>SUM(S19:S27)</f>
        <v>0</v>
      </c>
      <c r="T28" s="879">
        <f>SUM(U19:U27,W19:W27)</f>
        <v>0</v>
      </c>
      <c r="U28" s="879"/>
      <c r="V28" s="879"/>
      <c r="W28" s="879"/>
      <c r="X28" s="164"/>
      <c r="Y28" s="214">
        <f>SUM(Y19:Y27)</f>
        <v>4774000.0000063181</v>
      </c>
      <c r="Z28" s="157"/>
    </row>
    <row r="30" spans="1:27" ht="23.1" hidden="1" customHeight="1" x14ac:dyDescent="0.25">
      <c r="C30" s="832" t="s">
        <v>35</v>
      </c>
      <c r="D30" s="832" t="s">
        <v>34</v>
      </c>
      <c r="E30" s="832" t="s">
        <v>113</v>
      </c>
      <c r="F30" s="837" t="s">
        <v>49</v>
      </c>
      <c r="G30" s="832" t="s">
        <v>96</v>
      </c>
      <c r="H30" s="832" t="s">
        <v>115</v>
      </c>
      <c r="I30" s="832" t="s">
        <v>564</v>
      </c>
      <c r="J30" s="844" t="s">
        <v>188</v>
      </c>
      <c r="K30" s="844"/>
      <c r="L30" s="844"/>
      <c r="M30" s="844"/>
      <c r="N30" s="837" t="s">
        <v>520</v>
      </c>
      <c r="O30" s="840" t="s">
        <v>518</v>
      </c>
      <c r="P30" s="837" t="s">
        <v>51</v>
      </c>
      <c r="Q30" s="832" t="s">
        <v>190</v>
      </c>
      <c r="R30" s="832" t="s">
        <v>191</v>
      </c>
      <c r="S30" s="829" t="s">
        <v>53</v>
      </c>
      <c r="T30" s="830"/>
      <c r="U30" s="830"/>
      <c r="V30" s="830"/>
      <c r="W30" s="830"/>
      <c r="X30" s="830"/>
      <c r="Y30" s="831"/>
      <c r="Z30" s="167" t="s">
        <v>415</v>
      </c>
      <c r="AA30" s="843" t="s">
        <v>107</v>
      </c>
    </row>
    <row r="31" spans="1:27" ht="16.5" hidden="1" customHeight="1" x14ac:dyDescent="0.25">
      <c r="C31" s="832"/>
      <c r="D31" s="832"/>
      <c r="E31" s="832"/>
      <c r="F31" s="838"/>
      <c r="G31" s="832"/>
      <c r="H31" s="832"/>
      <c r="I31" s="832"/>
      <c r="J31" s="844"/>
      <c r="K31" s="844"/>
      <c r="L31" s="844"/>
      <c r="M31" s="844"/>
      <c r="N31" s="838"/>
      <c r="O31" s="841"/>
      <c r="P31" s="838"/>
      <c r="Q31" s="832"/>
      <c r="R31" s="833"/>
      <c r="S31" s="826" t="s">
        <v>54</v>
      </c>
      <c r="T31" s="826"/>
      <c r="U31" s="826"/>
      <c r="V31" s="826" t="s">
        <v>55</v>
      </c>
      <c r="W31" s="826"/>
      <c r="X31" s="871" t="s">
        <v>58</v>
      </c>
      <c r="Y31" s="872"/>
      <c r="Z31" s="168"/>
      <c r="AA31" s="843"/>
    </row>
    <row r="32" spans="1:27" ht="66.599999999999994" hidden="1" customHeight="1" x14ac:dyDescent="0.25">
      <c r="C32" s="832"/>
      <c r="D32" s="832"/>
      <c r="E32" s="832"/>
      <c r="F32" s="839"/>
      <c r="G32" s="832"/>
      <c r="H32" s="832"/>
      <c r="I32" s="832"/>
      <c r="J32" s="169" t="s">
        <v>37</v>
      </c>
      <c r="K32" s="169" t="s">
        <v>38</v>
      </c>
      <c r="L32" s="169" t="s">
        <v>39</v>
      </c>
      <c r="M32" s="169" t="s">
        <v>40</v>
      </c>
      <c r="N32" s="839"/>
      <c r="O32" s="842"/>
      <c r="P32" s="839"/>
      <c r="Q32" s="832"/>
      <c r="R32" s="833"/>
      <c r="S32" s="170" t="s">
        <v>98</v>
      </c>
      <c r="T32" s="170" t="s">
        <v>63</v>
      </c>
      <c r="U32" s="170" t="s">
        <v>282</v>
      </c>
      <c r="V32" s="170" t="s">
        <v>56</v>
      </c>
      <c r="W32" s="170" t="s">
        <v>57</v>
      </c>
      <c r="X32" s="170" t="s">
        <v>56</v>
      </c>
      <c r="Y32" s="170" t="s">
        <v>57</v>
      </c>
      <c r="Z32" s="171" t="s">
        <v>521</v>
      </c>
      <c r="AA32" s="843"/>
    </row>
    <row r="33" spans="1:38" ht="16.5" hidden="1" customHeight="1" x14ac:dyDescent="0.25">
      <c r="C33" s="845" t="s">
        <v>594</v>
      </c>
      <c r="D33" s="846"/>
      <c r="E33" s="846"/>
      <c r="F33" s="846"/>
      <c r="G33" s="846"/>
      <c r="H33" s="846"/>
      <c r="I33" s="846"/>
      <c r="J33" s="147"/>
      <c r="K33" s="147"/>
      <c r="L33" s="147"/>
      <c r="M33" s="147"/>
      <c r="N33" s="147"/>
      <c r="O33" s="147"/>
      <c r="P33" s="147"/>
      <c r="Q33" s="147"/>
      <c r="R33" s="147"/>
      <c r="S33" s="172"/>
      <c r="T33" s="172"/>
      <c r="U33" s="172"/>
      <c r="V33" s="172"/>
      <c r="W33" s="172"/>
      <c r="X33" s="172"/>
      <c r="Y33" s="172"/>
      <c r="Z33" s="147"/>
      <c r="AA33" s="173"/>
    </row>
    <row r="34" spans="1:38" ht="16.5" hidden="1" customHeight="1" x14ac:dyDescent="0.25">
      <c r="C34" s="847" t="s">
        <v>116</v>
      </c>
      <c r="D34" s="848"/>
      <c r="E34" s="848"/>
      <c r="F34" s="848"/>
      <c r="G34" s="848"/>
      <c r="H34" s="848"/>
      <c r="I34" s="848"/>
      <c r="J34" s="149"/>
      <c r="K34" s="149"/>
      <c r="L34" s="149"/>
      <c r="M34" s="149"/>
      <c r="N34" s="149"/>
      <c r="O34" s="149"/>
      <c r="P34" s="149"/>
      <c r="Q34" s="149"/>
      <c r="R34" s="149"/>
      <c r="S34" s="149"/>
      <c r="T34" s="149"/>
      <c r="U34" s="149"/>
      <c r="V34" s="149"/>
      <c r="W34" s="149"/>
      <c r="X34" s="149"/>
      <c r="Y34" s="149"/>
      <c r="Z34" s="149"/>
      <c r="AA34" s="174"/>
    </row>
    <row r="35" spans="1:38" s="34" customFormat="1" ht="49.5" hidden="1" x14ac:dyDescent="0.3">
      <c r="A35" s="188"/>
      <c r="B35" s="188"/>
      <c r="C35" s="305" t="s">
        <v>565</v>
      </c>
      <c r="D35" s="305" t="s">
        <v>523</v>
      </c>
      <c r="E35" s="305" t="s">
        <v>524</v>
      </c>
      <c r="F35" s="305">
        <v>9</v>
      </c>
      <c r="G35" s="305" t="s">
        <v>525</v>
      </c>
      <c r="H35" s="305" t="s">
        <v>526</v>
      </c>
      <c r="I35" s="305" t="s">
        <v>527</v>
      </c>
      <c r="J35" s="305"/>
      <c r="K35" s="306"/>
      <c r="L35" s="305"/>
      <c r="M35" s="305"/>
      <c r="N35" s="307" t="s">
        <v>528</v>
      </c>
      <c r="O35" s="305" t="s">
        <v>529</v>
      </c>
      <c r="P35" s="308"/>
      <c r="Q35" s="309">
        <f>F35*P35</f>
        <v>0</v>
      </c>
      <c r="R35" s="310"/>
      <c r="S35" s="308">
        <v>0</v>
      </c>
      <c r="T35" s="308"/>
      <c r="U35" s="308"/>
      <c r="V35" s="188" t="s">
        <v>530</v>
      </c>
      <c r="W35" s="308"/>
      <c r="X35" s="305"/>
      <c r="Y35" s="308">
        <v>0</v>
      </c>
      <c r="Z35" s="311">
        <f>Q35-(S35+T35+U35+W35+Y35)</f>
        <v>0</v>
      </c>
      <c r="AA35" s="192"/>
      <c r="AB35" s="188"/>
      <c r="AC35" s="188"/>
      <c r="AD35" s="188"/>
      <c r="AE35" s="188"/>
      <c r="AF35" s="188"/>
      <c r="AG35" s="188"/>
      <c r="AH35" s="188"/>
      <c r="AI35" s="188"/>
      <c r="AJ35" s="188"/>
      <c r="AK35" s="188"/>
      <c r="AL35" s="188"/>
    </row>
    <row r="36" spans="1:38" ht="17.25" hidden="1" x14ac:dyDescent="0.3">
      <c r="C36" s="151" t="s">
        <v>425</v>
      </c>
      <c r="D36" s="151"/>
      <c r="E36" s="151"/>
      <c r="F36" s="151"/>
      <c r="G36" s="151"/>
      <c r="H36" s="151"/>
      <c r="I36" s="130"/>
      <c r="J36" s="151"/>
      <c r="K36" s="151"/>
      <c r="L36" s="151"/>
      <c r="M36" s="151"/>
      <c r="N36" s="175"/>
      <c r="O36" s="151"/>
      <c r="P36" s="156">
        <v>0</v>
      </c>
      <c r="Q36" s="241">
        <f t="shared" ref="Q36:Q65" si="2">F36*P36</f>
        <v>0</v>
      </c>
      <c r="R36" s="68"/>
      <c r="S36" s="156">
        <v>0</v>
      </c>
      <c r="T36" s="156">
        <v>0</v>
      </c>
      <c r="U36" s="156">
        <v>0</v>
      </c>
      <c r="V36" s="151"/>
      <c r="W36" s="156">
        <v>0</v>
      </c>
      <c r="X36" s="151"/>
      <c r="Y36" s="156">
        <v>0</v>
      </c>
      <c r="Z36" s="240">
        <f>Q36-(S36+T36+U36+W36+Y36)</f>
        <v>0</v>
      </c>
      <c r="AA36" s="176"/>
    </row>
    <row r="37" spans="1:38" ht="17.25" hidden="1" x14ac:dyDescent="0.3">
      <c r="C37" s="151" t="s">
        <v>426</v>
      </c>
      <c r="D37" s="151"/>
      <c r="E37" s="151"/>
      <c r="F37" s="151"/>
      <c r="G37" s="151"/>
      <c r="H37" s="151"/>
      <c r="I37" s="130"/>
      <c r="J37" s="151"/>
      <c r="K37" s="151"/>
      <c r="L37" s="151"/>
      <c r="M37" s="151"/>
      <c r="N37" s="175"/>
      <c r="O37" s="151"/>
      <c r="P37" s="156">
        <v>0</v>
      </c>
      <c r="Q37" s="241">
        <f t="shared" si="2"/>
        <v>0</v>
      </c>
      <c r="R37" s="68"/>
      <c r="S37" s="156">
        <v>0</v>
      </c>
      <c r="T37" s="156">
        <v>0</v>
      </c>
      <c r="U37" s="156">
        <v>0</v>
      </c>
      <c r="V37" s="151"/>
      <c r="W37" s="156">
        <v>0</v>
      </c>
      <c r="X37" s="151"/>
      <c r="Y37" s="156">
        <v>0</v>
      </c>
      <c r="Z37" s="240">
        <f>Q37-(S37+T37+U37+W37+Y37)</f>
        <v>0</v>
      </c>
      <c r="AA37" s="176"/>
    </row>
    <row r="38" spans="1:38" ht="17.25" hidden="1" x14ac:dyDescent="0.3">
      <c r="C38" s="151" t="s">
        <v>427</v>
      </c>
      <c r="D38" s="151"/>
      <c r="E38" s="151"/>
      <c r="F38" s="151"/>
      <c r="G38" s="151"/>
      <c r="H38" s="151"/>
      <c r="I38" s="130"/>
      <c r="J38" s="151"/>
      <c r="K38" s="151"/>
      <c r="L38" s="151"/>
      <c r="M38" s="151"/>
      <c r="N38" s="175"/>
      <c r="O38" s="151"/>
      <c r="P38" s="156">
        <v>0</v>
      </c>
      <c r="Q38" s="241">
        <f t="shared" si="2"/>
        <v>0</v>
      </c>
      <c r="R38" s="68"/>
      <c r="S38" s="156">
        <v>0</v>
      </c>
      <c r="T38" s="156">
        <v>0</v>
      </c>
      <c r="U38" s="156">
        <v>0</v>
      </c>
      <c r="V38" s="151"/>
      <c r="W38" s="156">
        <v>0</v>
      </c>
      <c r="X38" s="151"/>
      <c r="Y38" s="156">
        <v>0</v>
      </c>
      <c r="Z38" s="240">
        <f>Q38-(S38+T38+U38+W38+Y38)</f>
        <v>0</v>
      </c>
      <c r="AA38" s="176"/>
    </row>
    <row r="39" spans="1:38" ht="17.25" hidden="1" x14ac:dyDescent="0.3">
      <c r="C39" s="151" t="s">
        <v>428</v>
      </c>
      <c r="D39" s="151"/>
      <c r="E39" s="151"/>
      <c r="F39" s="151"/>
      <c r="G39" s="151"/>
      <c r="H39" s="151"/>
      <c r="I39" s="130"/>
      <c r="J39" s="151"/>
      <c r="K39" s="151"/>
      <c r="L39" s="151"/>
      <c r="M39" s="151"/>
      <c r="N39" s="175"/>
      <c r="O39" s="151"/>
      <c r="P39" s="156">
        <v>0</v>
      </c>
      <c r="Q39" s="241">
        <f t="shared" si="2"/>
        <v>0</v>
      </c>
      <c r="R39" s="68"/>
      <c r="S39" s="156">
        <v>0</v>
      </c>
      <c r="T39" s="156">
        <v>0</v>
      </c>
      <c r="U39" s="156">
        <v>0</v>
      </c>
      <c r="V39" s="151"/>
      <c r="W39" s="156">
        <v>0</v>
      </c>
      <c r="X39" s="151"/>
      <c r="Y39" s="156">
        <v>0</v>
      </c>
      <c r="Z39" s="240">
        <f>Q39-(S39+T39+U39+W39+Y39)</f>
        <v>0</v>
      </c>
      <c r="AA39" s="176"/>
    </row>
    <row r="40" spans="1:38" ht="17.25" hidden="1" x14ac:dyDescent="0.3">
      <c r="C40" s="151" t="s">
        <v>429</v>
      </c>
      <c r="D40" s="151"/>
      <c r="E40" s="151"/>
      <c r="F40" s="151"/>
      <c r="G40" s="151"/>
      <c r="H40" s="151"/>
      <c r="I40" s="130"/>
      <c r="J40" s="151"/>
      <c r="K40" s="151"/>
      <c r="L40" s="151"/>
      <c r="M40" s="151"/>
      <c r="N40" s="175"/>
      <c r="O40" s="151"/>
      <c r="P40" s="156">
        <v>0</v>
      </c>
      <c r="Q40" s="241">
        <f t="shared" si="2"/>
        <v>0</v>
      </c>
      <c r="R40" s="68"/>
      <c r="S40" s="156">
        <v>0</v>
      </c>
      <c r="T40" s="156">
        <v>0</v>
      </c>
      <c r="U40" s="156">
        <v>0</v>
      </c>
      <c r="V40" s="151"/>
      <c r="W40" s="156">
        <v>0</v>
      </c>
      <c r="X40" s="151"/>
      <c r="Y40" s="156">
        <v>0</v>
      </c>
      <c r="Z40" s="240">
        <f t="shared" ref="Z40:Z65" si="3">Q40-(S40+T40+U40+W40+Y40)</f>
        <v>0</v>
      </c>
      <c r="AA40" s="176"/>
    </row>
    <row r="41" spans="1:38" ht="17.25" hidden="1" x14ac:dyDescent="0.3">
      <c r="C41" s="151" t="s">
        <v>430</v>
      </c>
      <c r="D41" s="151"/>
      <c r="E41" s="151"/>
      <c r="F41" s="151"/>
      <c r="G41" s="151"/>
      <c r="H41" s="151"/>
      <c r="I41" s="130"/>
      <c r="J41" s="151"/>
      <c r="K41" s="151"/>
      <c r="L41" s="151"/>
      <c r="M41" s="151"/>
      <c r="N41" s="175"/>
      <c r="O41" s="151"/>
      <c r="P41" s="156">
        <v>0</v>
      </c>
      <c r="Q41" s="241">
        <f t="shared" si="2"/>
        <v>0</v>
      </c>
      <c r="R41" s="68"/>
      <c r="S41" s="156">
        <v>0</v>
      </c>
      <c r="T41" s="156">
        <v>0</v>
      </c>
      <c r="U41" s="156">
        <v>0</v>
      </c>
      <c r="V41" s="151"/>
      <c r="W41" s="156">
        <v>0</v>
      </c>
      <c r="X41" s="151"/>
      <c r="Y41" s="156">
        <v>0</v>
      </c>
      <c r="Z41" s="240">
        <f t="shared" si="3"/>
        <v>0</v>
      </c>
      <c r="AA41" s="176"/>
    </row>
    <row r="42" spans="1:38" ht="17.25" hidden="1" x14ac:dyDescent="0.3">
      <c r="C42" s="151" t="s">
        <v>431</v>
      </c>
      <c r="D42" s="151"/>
      <c r="E42" s="151"/>
      <c r="F42" s="151"/>
      <c r="G42" s="151"/>
      <c r="H42" s="151"/>
      <c r="I42" s="130"/>
      <c r="J42" s="151"/>
      <c r="K42" s="151"/>
      <c r="L42" s="151"/>
      <c r="M42" s="151"/>
      <c r="N42" s="175"/>
      <c r="O42" s="151"/>
      <c r="P42" s="156">
        <v>0</v>
      </c>
      <c r="Q42" s="241">
        <f t="shared" si="2"/>
        <v>0</v>
      </c>
      <c r="R42" s="68"/>
      <c r="S42" s="156">
        <v>0</v>
      </c>
      <c r="T42" s="156">
        <v>0</v>
      </c>
      <c r="U42" s="156">
        <v>0</v>
      </c>
      <c r="V42" s="151"/>
      <c r="W42" s="156">
        <v>0</v>
      </c>
      <c r="X42" s="151"/>
      <c r="Y42" s="156">
        <v>0</v>
      </c>
      <c r="Z42" s="240">
        <f t="shared" si="3"/>
        <v>0</v>
      </c>
      <c r="AA42" s="176"/>
    </row>
    <row r="43" spans="1:38" ht="17.25" hidden="1" x14ac:dyDescent="0.3">
      <c r="C43" s="151" t="s">
        <v>432</v>
      </c>
      <c r="D43" s="151"/>
      <c r="E43" s="151"/>
      <c r="F43" s="151"/>
      <c r="G43" s="151"/>
      <c r="H43" s="151"/>
      <c r="I43" s="130"/>
      <c r="J43" s="151"/>
      <c r="K43" s="151"/>
      <c r="L43" s="151"/>
      <c r="M43" s="151"/>
      <c r="N43" s="175"/>
      <c r="O43" s="151"/>
      <c r="P43" s="156">
        <v>0</v>
      </c>
      <c r="Q43" s="241">
        <f t="shared" si="2"/>
        <v>0</v>
      </c>
      <c r="R43" s="68"/>
      <c r="S43" s="156">
        <v>0</v>
      </c>
      <c r="T43" s="156">
        <v>0</v>
      </c>
      <c r="U43" s="156">
        <v>0</v>
      </c>
      <c r="V43" s="151"/>
      <c r="W43" s="156">
        <v>0</v>
      </c>
      <c r="X43" s="151"/>
      <c r="Y43" s="156">
        <v>0</v>
      </c>
      <c r="Z43" s="240">
        <f t="shared" si="3"/>
        <v>0</v>
      </c>
      <c r="AA43" s="176"/>
    </row>
    <row r="44" spans="1:38" ht="17.25" hidden="1" x14ac:dyDescent="0.3">
      <c r="C44" s="151" t="s">
        <v>433</v>
      </c>
      <c r="D44" s="151"/>
      <c r="E44" s="151"/>
      <c r="F44" s="151"/>
      <c r="G44" s="151"/>
      <c r="H44" s="151"/>
      <c r="I44" s="130"/>
      <c r="J44" s="151"/>
      <c r="K44" s="151"/>
      <c r="L44" s="151"/>
      <c r="M44" s="151"/>
      <c r="N44" s="175"/>
      <c r="O44" s="151"/>
      <c r="P44" s="156">
        <v>0</v>
      </c>
      <c r="Q44" s="241">
        <f t="shared" si="2"/>
        <v>0</v>
      </c>
      <c r="R44" s="68"/>
      <c r="S44" s="156">
        <v>0</v>
      </c>
      <c r="T44" s="156">
        <v>0</v>
      </c>
      <c r="U44" s="156">
        <v>0</v>
      </c>
      <c r="V44" s="151"/>
      <c r="W44" s="156">
        <v>0</v>
      </c>
      <c r="X44" s="151"/>
      <c r="Y44" s="156">
        <v>0</v>
      </c>
      <c r="Z44" s="240">
        <f t="shared" si="3"/>
        <v>0</v>
      </c>
      <c r="AA44" s="176"/>
    </row>
    <row r="45" spans="1:38" ht="17.25" hidden="1" x14ac:dyDescent="0.3">
      <c r="C45" s="151" t="s">
        <v>434</v>
      </c>
      <c r="D45" s="151"/>
      <c r="E45" s="151"/>
      <c r="F45" s="151"/>
      <c r="G45" s="151"/>
      <c r="H45" s="151"/>
      <c r="I45" s="130"/>
      <c r="J45" s="151"/>
      <c r="K45" s="151"/>
      <c r="L45" s="151"/>
      <c r="M45" s="151"/>
      <c r="N45" s="175"/>
      <c r="O45" s="151"/>
      <c r="P45" s="156">
        <v>0</v>
      </c>
      <c r="Q45" s="241">
        <f t="shared" si="2"/>
        <v>0</v>
      </c>
      <c r="R45" s="68"/>
      <c r="S45" s="156">
        <v>0</v>
      </c>
      <c r="T45" s="156">
        <v>0</v>
      </c>
      <c r="U45" s="156">
        <v>0</v>
      </c>
      <c r="V45" s="151"/>
      <c r="W45" s="156">
        <v>0</v>
      </c>
      <c r="X45" s="151"/>
      <c r="Y45" s="156">
        <v>0</v>
      </c>
      <c r="Z45" s="240">
        <f t="shared" si="3"/>
        <v>0</v>
      </c>
      <c r="AA45" s="176"/>
    </row>
    <row r="46" spans="1:38" ht="17.25" hidden="1" x14ac:dyDescent="0.3">
      <c r="C46" s="151" t="s">
        <v>435</v>
      </c>
      <c r="D46" s="151"/>
      <c r="E46" s="151"/>
      <c r="F46" s="151"/>
      <c r="G46" s="151"/>
      <c r="H46" s="151"/>
      <c r="I46" s="130"/>
      <c r="J46" s="151"/>
      <c r="K46" s="151"/>
      <c r="L46" s="151"/>
      <c r="M46" s="151"/>
      <c r="N46" s="175"/>
      <c r="O46" s="151"/>
      <c r="P46" s="156">
        <v>0</v>
      </c>
      <c r="Q46" s="241">
        <f t="shared" si="2"/>
        <v>0</v>
      </c>
      <c r="R46" s="68"/>
      <c r="S46" s="156">
        <v>0</v>
      </c>
      <c r="T46" s="156">
        <v>0</v>
      </c>
      <c r="U46" s="156">
        <v>0</v>
      </c>
      <c r="V46" s="151"/>
      <c r="W46" s="156">
        <v>0</v>
      </c>
      <c r="X46" s="151"/>
      <c r="Y46" s="156">
        <v>0</v>
      </c>
      <c r="Z46" s="240">
        <f t="shared" si="3"/>
        <v>0</v>
      </c>
      <c r="AA46" s="176"/>
    </row>
    <row r="47" spans="1:38" ht="17.25" hidden="1" x14ac:dyDescent="0.3">
      <c r="C47" s="151" t="s">
        <v>436</v>
      </c>
      <c r="D47" s="151"/>
      <c r="E47" s="151"/>
      <c r="F47" s="151"/>
      <c r="G47" s="151"/>
      <c r="H47" s="151"/>
      <c r="I47" s="130"/>
      <c r="J47" s="151"/>
      <c r="K47" s="151"/>
      <c r="L47" s="151"/>
      <c r="M47" s="151"/>
      <c r="N47" s="175"/>
      <c r="O47" s="151"/>
      <c r="P47" s="156">
        <v>0</v>
      </c>
      <c r="Q47" s="241">
        <f t="shared" si="2"/>
        <v>0</v>
      </c>
      <c r="R47" s="68"/>
      <c r="S47" s="156">
        <v>0</v>
      </c>
      <c r="T47" s="156">
        <v>0</v>
      </c>
      <c r="U47" s="156">
        <v>0</v>
      </c>
      <c r="V47" s="151"/>
      <c r="W47" s="156">
        <v>0</v>
      </c>
      <c r="X47" s="151"/>
      <c r="Y47" s="156">
        <v>0</v>
      </c>
      <c r="Z47" s="240">
        <f t="shared" si="3"/>
        <v>0</v>
      </c>
      <c r="AA47" s="176"/>
    </row>
    <row r="48" spans="1:38" ht="17.25" hidden="1" x14ac:dyDescent="0.3">
      <c r="C48" s="151" t="s">
        <v>437</v>
      </c>
      <c r="D48" s="151"/>
      <c r="E48" s="151"/>
      <c r="F48" s="151"/>
      <c r="G48" s="151"/>
      <c r="H48" s="151"/>
      <c r="I48" s="130"/>
      <c r="J48" s="151"/>
      <c r="K48" s="151"/>
      <c r="L48" s="151"/>
      <c r="M48" s="151"/>
      <c r="N48" s="175"/>
      <c r="O48" s="151"/>
      <c r="P48" s="156">
        <v>0</v>
      </c>
      <c r="Q48" s="241">
        <f t="shared" si="2"/>
        <v>0</v>
      </c>
      <c r="R48" s="68"/>
      <c r="S48" s="156">
        <v>0</v>
      </c>
      <c r="T48" s="156">
        <v>0</v>
      </c>
      <c r="U48" s="156">
        <v>0</v>
      </c>
      <c r="V48" s="151"/>
      <c r="W48" s="156">
        <v>0</v>
      </c>
      <c r="X48" s="151"/>
      <c r="Y48" s="156">
        <v>0</v>
      </c>
      <c r="Z48" s="240">
        <f t="shared" si="3"/>
        <v>0</v>
      </c>
      <c r="AA48" s="176"/>
    </row>
    <row r="49" spans="3:27" ht="17.25" hidden="1" x14ac:dyDescent="0.3">
      <c r="C49" s="151" t="s">
        <v>438</v>
      </c>
      <c r="D49" s="151"/>
      <c r="E49" s="151"/>
      <c r="F49" s="151"/>
      <c r="G49" s="151"/>
      <c r="H49" s="151"/>
      <c r="I49" s="130"/>
      <c r="J49" s="151"/>
      <c r="K49" s="151"/>
      <c r="L49" s="151"/>
      <c r="M49" s="151"/>
      <c r="N49" s="175"/>
      <c r="O49" s="151"/>
      <c r="P49" s="156">
        <v>0</v>
      </c>
      <c r="Q49" s="241">
        <f t="shared" si="2"/>
        <v>0</v>
      </c>
      <c r="R49" s="68"/>
      <c r="S49" s="156">
        <v>0</v>
      </c>
      <c r="T49" s="156">
        <v>0</v>
      </c>
      <c r="U49" s="156">
        <v>0</v>
      </c>
      <c r="V49" s="151"/>
      <c r="W49" s="156">
        <v>0</v>
      </c>
      <c r="X49" s="151"/>
      <c r="Y49" s="156">
        <v>0</v>
      </c>
      <c r="Z49" s="240">
        <f t="shared" si="3"/>
        <v>0</v>
      </c>
      <c r="AA49" s="176"/>
    </row>
    <row r="50" spans="3:27" ht="17.25" hidden="1" x14ac:dyDescent="0.3">
      <c r="C50" s="151" t="s">
        <v>439</v>
      </c>
      <c r="D50" s="151"/>
      <c r="E50" s="151"/>
      <c r="F50" s="151"/>
      <c r="G50" s="151"/>
      <c r="H50" s="151"/>
      <c r="I50" s="130"/>
      <c r="J50" s="151"/>
      <c r="K50" s="151"/>
      <c r="L50" s="151"/>
      <c r="M50" s="151"/>
      <c r="N50" s="175"/>
      <c r="O50" s="151"/>
      <c r="P50" s="156">
        <v>0</v>
      </c>
      <c r="Q50" s="241">
        <f t="shared" si="2"/>
        <v>0</v>
      </c>
      <c r="R50" s="68"/>
      <c r="S50" s="156">
        <v>0</v>
      </c>
      <c r="T50" s="156">
        <v>0</v>
      </c>
      <c r="U50" s="156">
        <v>0</v>
      </c>
      <c r="V50" s="151"/>
      <c r="W50" s="156">
        <v>0</v>
      </c>
      <c r="X50" s="151"/>
      <c r="Y50" s="156">
        <v>0</v>
      </c>
      <c r="Z50" s="240">
        <f t="shared" si="3"/>
        <v>0</v>
      </c>
      <c r="AA50" s="176"/>
    </row>
    <row r="51" spans="3:27" ht="17.25" hidden="1" x14ac:dyDescent="0.3">
      <c r="C51" s="151" t="s">
        <v>440</v>
      </c>
      <c r="D51" s="151"/>
      <c r="E51" s="151"/>
      <c r="F51" s="151"/>
      <c r="G51" s="151"/>
      <c r="H51" s="151"/>
      <c r="I51" s="130"/>
      <c r="J51" s="151"/>
      <c r="K51" s="151"/>
      <c r="L51" s="151"/>
      <c r="M51" s="151"/>
      <c r="N51" s="175"/>
      <c r="O51" s="151"/>
      <c r="P51" s="156">
        <v>0</v>
      </c>
      <c r="Q51" s="241">
        <f t="shared" si="2"/>
        <v>0</v>
      </c>
      <c r="R51" s="68"/>
      <c r="S51" s="156">
        <v>0</v>
      </c>
      <c r="T51" s="156">
        <v>0</v>
      </c>
      <c r="U51" s="156">
        <v>0</v>
      </c>
      <c r="V51" s="151"/>
      <c r="W51" s="156">
        <v>0</v>
      </c>
      <c r="X51" s="151"/>
      <c r="Y51" s="156">
        <v>0</v>
      </c>
      <c r="Z51" s="240">
        <f t="shared" si="3"/>
        <v>0</v>
      </c>
      <c r="AA51" s="176"/>
    </row>
    <row r="52" spans="3:27" ht="17.25" hidden="1" x14ac:dyDescent="0.3">
      <c r="C52" s="151" t="s">
        <v>441</v>
      </c>
      <c r="D52" s="151"/>
      <c r="E52" s="151"/>
      <c r="F52" s="151"/>
      <c r="G52" s="151"/>
      <c r="H52" s="151"/>
      <c r="I52" s="130"/>
      <c r="J52" s="151"/>
      <c r="K52" s="151"/>
      <c r="L52" s="151"/>
      <c r="M52" s="151"/>
      <c r="N52" s="175"/>
      <c r="O52" s="151"/>
      <c r="P52" s="156">
        <v>0</v>
      </c>
      <c r="Q52" s="241">
        <f t="shared" si="2"/>
        <v>0</v>
      </c>
      <c r="R52" s="68"/>
      <c r="S52" s="156">
        <v>0</v>
      </c>
      <c r="T52" s="156">
        <v>0</v>
      </c>
      <c r="U52" s="156">
        <v>0</v>
      </c>
      <c r="V52" s="151"/>
      <c r="W52" s="156">
        <v>0</v>
      </c>
      <c r="X52" s="151"/>
      <c r="Y52" s="156">
        <v>0</v>
      </c>
      <c r="Z52" s="240">
        <f t="shared" si="3"/>
        <v>0</v>
      </c>
      <c r="AA52" s="176"/>
    </row>
    <row r="53" spans="3:27" ht="17.25" hidden="1" x14ac:dyDescent="0.3">
      <c r="C53" s="151" t="s">
        <v>442</v>
      </c>
      <c r="D53" s="151"/>
      <c r="E53" s="151"/>
      <c r="F53" s="151"/>
      <c r="G53" s="151"/>
      <c r="H53" s="151"/>
      <c r="I53" s="130"/>
      <c r="J53" s="151"/>
      <c r="K53" s="151"/>
      <c r="L53" s="151"/>
      <c r="M53" s="151"/>
      <c r="N53" s="175"/>
      <c r="O53" s="151"/>
      <c r="P53" s="156">
        <v>0</v>
      </c>
      <c r="Q53" s="241">
        <f t="shared" si="2"/>
        <v>0</v>
      </c>
      <c r="R53" s="68"/>
      <c r="S53" s="156">
        <v>0</v>
      </c>
      <c r="T53" s="156">
        <v>0</v>
      </c>
      <c r="U53" s="156">
        <v>0</v>
      </c>
      <c r="V53" s="151"/>
      <c r="W53" s="156">
        <v>0</v>
      </c>
      <c r="X53" s="151"/>
      <c r="Y53" s="156">
        <v>0</v>
      </c>
      <c r="Z53" s="240">
        <f t="shared" si="3"/>
        <v>0</v>
      </c>
      <c r="AA53" s="176"/>
    </row>
    <row r="54" spans="3:27" ht="17.25" hidden="1" x14ac:dyDescent="0.3">
      <c r="C54" s="151" t="s">
        <v>443</v>
      </c>
      <c r="D54" s="151"/>
      <c r="E54" s="151"/>
      <c r="F54" s="151"/>
      <c r="G54" s="151"/>
      <c r="H54" s="151"/>
      <c r="I54" s="130"/>
      <c r="J54" s="151"/>
      <c r="K54" s="151"/>
      <c r="L54" s="151"/>
      <c r="M54" s="151"/>
      <c r="N54" s="175"/>
      <c r="O54" s="151"/>
      <c r="P54" s="156">
        <v>0</v>
      </c>
      <c r="Q54" s="241">
        <f t="shared" si="2"/>
        <v>0</v>
      </c>
      <c r="R54" s="68"/>
      <c r="S54" s="156">
        <v>0</v>
      </c>
      <c r="T54" s="156">
        <v>0</v>
      </c>
      <c r="U54" s="156">
        <v>0</v>
      </c>
      <c r="V54" s="151"/>
      <c r="W54" s="156">
        <v>0</v>
      </c>
      <c r="X54" s="151"/>
      <c r="Y54" s="156">
        <v>0</v>
      </c>
      <c r="Z54" s="240">
        <f t="shared" si="3"/>
        <v>0</v>
      </c>
      <c r="AA54" s="176"/>
    </row>
    <row r="55" spans="3:27" ht="17.25" hidden="1" x14ac:dyDescent="0.3">
      <c r="C55" s="151" t="s">
        <v>444</v>
      </c>
      <c r="D55" s="151"/>
      <c r="E55" s="151"/>
      <c r="F55" s="151"/>
      <c r="G55" s="151"/>
      <c r="H55" s="151"/>
      <c r="I55" s="130"/>
      <c r="J55" s="151"/>
      <c r="K55" s="151"/>
      <c r="L55" s="151"/>
      <c r="M55" s="151"/>
      <c r="N55" s="175"/>
      <c r="O55" s="151"/>
      <c r="P55" s="156">
        <v>0</v>
      </c>
      <c r="Q55" s="241">
        <f t="shared" si="2"/>
        <v>0</v>
      </c>
      <c r="R55" s="68"/>
      <c r="S55" s="156">
        <v>0</v>
      </c>
      <c r="T55" s="156">
        <v>0</v>
      </c>
      <c r="U55" s="156">
        <v>0</v>
      </c>
      <c r="V55" s="151"/>
      <c r="W55" s="156">
        <v>0</v>
      </c>
      <c r="X55" s="151"/>
      <c r="Y55" s="156">
        <v>0</v>
      </c>
      <c r="Z55" s="240">
        <f t="shared" si="3"/>
        <v>0</v>
      </c>
      <c r="AA55" s="176"/>
    </row>
    <row r="56" spans="3:27" ht="17.25" hidden="1" x14ac:dyDescent="0.3">
      <c r="C56" s="151" t="s">
        <v>445</v>
      </c>
      <c r="D56" s="151"/>
      <c r="E56" s="151"/>
      <c r="F56" s="151"/>
      <c r="G56" s="151"/>
      <c r="H56" s="151"/>
      <c r="I56" s="130"/>
      <c r="J56" s="151"/>
      <c r="K56" s="151"/>
      <c r="L56" s="151"/>
      <c r="M56" s="151"/>
      <c r="N56" s="175"/>
      <c r="O56" s="151"/>
      <c r="P56" s="156">
        <v>0</v>
      </c>
      <c r="Q56" s="241">
        <f t="shared" si="2"/>
        <v>0</v>
      </c>
      <c r="R56" s="68"/>
      <c r="S56" s="156">
        <v>0</v>
      </c>
      <c r="T56" s="156">
        <v>0</v>
      </c>
      <c r="U56" s="156">
        <v>0</v>
      </c>
      <c r="V56" s="151"/>
      <c r="W56" s="156">
        <v>0</v>
      </c>
      <c r="X56" s="151"/>
      <c r="Y56" s="156">
        <v>0</v>
      </c>
      <c r="Z56" s="240">
        <f t="shared" si="3"/>
        <v>0</v>
      </c>
      <c r="AA56" s="176"/>
    </row>
    <row r="57" spans="3:27" ht="17.25" hidden="1" x14ac:dyDescent="0.3">
      <c r="C57" s="151" t="s">
        <v>446</v>
      </c>
      <c r="D57" s="151"/>
      <c r="E57" s="151"/>
      <c r="F57" s="151"/>
      <c r="G57" s="151"/>
      <c r="H57" s="151"/>
      <c r="I57" s="130"/>
      <c r="J57" s="151"/>
      <c r="K57" s="151"/>
      <c r="L57" s="151"/>
      <c r="M57" s="151"/>
      <c r="N57" s="175"/>
      <c r="O57" s="151"/>
      <c r="P57" s="156">
        <v>0</v>
      </c>
      <c r="Q57" s="241">
        <f t="shared" si="2"/>
        <v>0</v>
      </c>
      <c r="R57" s="68"/>
      <c r="S57" s="156">
        <v>0</v>
      </c>
      <c r="T57" s="156">
        <v>0</v>
      </c>
      <c r="U57" s="156">
        <v>0</v>
      </c>
      <c r="V57" s="151"/>
      <c r="W57" s="156">
        <v>0</v>
      </c>
      <c r="X57" s="151"/>
      <c r="Y57" s="156">
        <v>0</v>
      </c>
      <c r="Z57" s="240">
        <f t="shared" si="3"/>
        <v>0</v>
      </c>
      <c r="AA57" s="176"/>
    </row>
    <row r="58" spans="3:27" ht="17.25" hidden="1" x14ac:dyDescent="0.3">
      <c r="C58" s="151" t="s">
        <v>447</v>
      </c>
      <c r="D58" s="151"/>
      <c r="E58" s="151"/>
      <c r="F58" s="151"/>
      <c r="G58" s="151"/>
      <c r="H58" s="151"/>
      <c r="I58" s="130"/>
      <c r="J58" s="151"/>
      <c r="K58" s="151"/>
      <c r="L58" s="151"/>
      <c r="M58" s="151"/>
      <c r="N58" s="175"/>
      <c r="O58" s="151"/>
      <c r="P58" s="156">
        <v>0</v>
      </c>
      <c r="Q58" s="241">
        <f t="shared" si="2"/>
        <v>0</v>
      </c>
      <c r="R58" s="68"/>
      <c r="S58" s="156">
        <v>0</v>
      </c>
      <c r="T58" s="156">
        <v>0</v>
      </c>
      <c r="U58" s="156">
        <v>0</v>
      </c>
      <c r="V58" s="151"/>
      <c r="W58" s="156">
        <v>0</v>
      </c>
      <c r="X58" s="151"/>
      <c r="Y58" s="156">
        <v>0</v>
      </c>
      <c r="Z58" s="240">
        <f t="shared" si="3"/>
        <v>0</v>
      </c>
      <c r="AA58" s="176"/>
    </row>
    <row r="59" spans="3:27" ht="17.25" hidden="1" x14ac:dyDescent="0.3">
      <c r="C59" s="151" t="s">
        <v>448</v>
      </c>
      <c r="D59" s="151"/>
      <c r="E59" s="151"/>
      <c r="F59" s="151"/>
      <c r="G59" s="151"/>
      <c r="H59" s="151"/>
      <c r="I59" s="130"/>
      <c r="J59" s="151"/>
      <c r="K59" s="151"/>
      <c r="L59" s="151"/>
      <c r="M59" s="151"/>
      <c r="N59" s="175"/>
      <c r="O59" s="151"/>
      <c r="P59" s="156">
        <v>0</v>
      </c>
      <c r="Q59" s="241">
        <f t="shared" si="2"/>
        <v>0</v>
      </c>
      <c r="R59" s="68"/>
      <c r="S59" s="156">
        <v>0</v>
      </c>
      <c r="T59" s="156">
        <v>0</v>
      </c>
      <c r="U59" s="156">
        <v>0</v>
      </c>
      <c r="V59" s="151"/>
      <c r="W59" s="156">
        <v>0</v>
      </c>
      <c r="X59" s="151"/>
      <c r="Y59" s="156">
        <v>0</v>
      </c>
      <c r="Z59" s="240">
        <f t="shared" si="3"/>
        <v>0</v>
      </c>
      <c r="AA59" s="176"/>
    </row>
    <row r="60" spans="3:27" ht="17.25" hidden="1" x14ac:dyDescent="0.3">
      <c r="C60" s="151" t="s">
        <v>449</v>
      </c>
      <c r="D60" s="151"/>
      <c r="E60" s="151"/>
      <c r="F60" s="151"/>
      <c r="G60" s="151"/>
      <c r="H60" s="151"/>
      <c r="I60" s="130"/>
      <c r="J60" s="151"/>
      <c r="K60" s="151"/>
      <c r="L60" s="151"/>
      <c r="M60" s="151"/>
      <c r="N60" s="175"/>
      <c r="O60" s="151"/>
      <c r="P60" s="156">
        <v>0</v>
      </c>
      <c r="Q60" s="241">
        <f t="shared" si="2"/>
        <v>0</v>
      </c>
      <c r="R60" s="68"/>
      <c r="S60" s="156">
        <v>0</v>
      </c>
      <c r="T60" s="156">
        <v>0</v>
      </c>
      <c r="U60" s="156">
        <v>0</v>
      </c>
      <c r="V60" s="151"/>
      <c r="W60" s="156">
        <v>0</v>
      </c>
      <c r="X60" s="151"/>
      <c r="Y60" s="156">
        <v>0</v>
      </c>
      <c r="Z60" s="240">
        <f t="shared" si="3"/>
        <v>0</v>
      </c>
      <c r="AA60" s="176"/>
    </row>
    <row r="61" spans="3:27" ht="17.25" hidden="1" x14ac:dyDescent="0.3">
      <c r="C61" s="151" t="s">
        <v>450</v>
      </c>
      <c r="D61" s="151"/>
      <c r="E61" s="151"/>
      <c r="F61" s="151"/>
      <c r="G61" s="151"/>
      <c r="H61" s="151"/>
      <c r="I61" s="130"/>
      <c r="J61" s="151"/>
      <c r="K61" s="151"/>
      <c r="L61" s="151"/>
      <c r="M61" s="151"/>
      <c r="N61" s="175"/>
      <c r="O61" s="151"/>
      <c r="P61" s="156">
        <v>0</v>
      </c>
      <c r="Q61" s="241">
        <f t="shared" si="2"/>
        <v>0</v>
      </c>
      <c r="R61" s="68"/>
      <c r="S61" s="156">
        <v>0</v>
      </c>
      <c r="T61" s="156">
        <v>0</v>
      </c>
      <c r="U61" s="156">
        <v>0</v>
      </c>
      <c r="V61" s="151"/>
      <c r="W61" s="156">
        <v>0</v>
      </c>
      <c r="X61" s="151"/>
      <c r="Y61" s="156">
        <v>0</v>
      </c>
      <c r="Z61" s="240">
        <f t="shared" si="3"/>
        <v>0</v>
      </c>
      <c r="AA61" s="176"/>
    </row>
    <row r="62" spans="3:27" ht="17.25" hidden="1" x14ac:dyDescent="0.3">
      <c r="C62" s="151" t="s">
        <v>451</v>
      </c>
      <c r="D62" s="151"/>
      <c r="E62" s="151"/>
      <c r="F62" s="151"/>
      <c r="G62" s="151"/>
      <c r="H62" s="151"/>
      <c r="I62" s="130"/>
      <c r="J62" s="151"/>
      <c r="K62" s="151"/>
      <c r="L62" s="151"/>
      <c r="M62" s="151"/>
      <c r="N62" s="175"/>
      <c r="O62" s="151"/>
      <c r="P62" s="156">
        <v>0</v>
      </c>
      <c r="Q62" s="241">
        <f t="shared" si="2"/>
        <v>0</v>
      </c>
      <c r="R62" s="68"/>
      <c r="S62" s="156">
        <v>0</v>
      </c>
      <c r="T62" s="156">
        <v>0</v>
      </c>
      <c r="U62" s="156">
        <v>0</v>
      </c>
      <c r="V62" s="151"/>
      <c r="W62" s="156">
        <v>0</v>
      </c>
      <c r="X62" s="151"/>
      <c r="Y62" s="156">
        <v>0</v>
      </c>
      <c r="Z62" s="240">
        <f t="shared" si="3"/>
        <v>0</v>
      </c>
      <c r="AA62" s="176"/>
    </row>
    <row r="63" spans="3:27" ht="17.25" hidden="1" x14ac:dyDescent="0.3">
      <c r="C63" s="151" t="s">
        <v>452</v>
      </c>
      <c r="D63" s="151"/>
      <c r="E63" s="151"/>
      <c r="F63" s="151"/>
      <c r="G63" s="151"/>
      <c r="H63" s="151"/>
      <c r="I63" s="130"/>
      <c r="J63" s="151"/>
      <c r="K63" s="151"/>
      <c r="L63" s="151"/>
      <c r="M63" s="151"/>
      <c r="N63" s="175"/>
      <c r="O63" s="151"/>
      <c r="P63" s="156">
        <v>0</v>
      </c>
      <c r="Q63" s="241">
        <f t="shared" si="2"/>
        <v>0</v>
      </c>
      <c r="R63" s="68"/>
      <c r="S63" s="156">
        <v>0</v>
      </c>
      <c r="T63" s="156">
        <v>0</v>
      </c>
      <c r="U63" s="156">
        <v>0</v>
      </c>
      <c r="V63" s="151"/>
      <c r="W63" s="156">
        <v>0</v>
      </c>
      <c r="X63" s="151"/>
      <c r="Y63" s="156">
        <v>0</v>
      </c>
      <c r="Z63" s="240">
        <f t="shared" si="3"/>
        <v>0</v>
      </c>
      <c r="AA63" s="176"/>
    </row>
    <row r="64" spans="3:27" ht="17.25" hidden="1" x14ac:dyDescent="0.3">
      <c r="C64" s="151" t="s">
        <v>453</v>
      </c>
      <c r="D64" s="151"/>
      <c r="E64" s="151"/>
      <c r="F64" s="151"/>
      <c r="G64" s="151"/>
      <c r="H64" s="151"/>
      <c r="I64" s="130"/>
      <c r="J64" s="151"/>
      <c r="K64" s="151"/>
      <c r="L64" s="151"/>
      <c r="M64" s="151"/>
      <c r="N64" s="175"/>
      <c r="O64" s="151"/>
      <c r="P64" s="156">
        <v>0</v>
      </c>
      <c r="Q64" s="241">
        <f t="shared" si="2"/>
        <v>0</v>
      </c>
      <c r="R64" s="68"/>
      <c r="S64" s="156">
        <v>0</v>
      </c>
      <c r="T64" s="156">
        <v>0</v>
      </c>
      <c r="U64" s="156">
        <v>0</v>
      </c>
      <c r="V64" s="151"/>
      <c r="W64" s="156">
        <v>0</v>
      </c>
      <c r="X64" s="151"/>
      <c r="Y64" s="156">
        <v>0</v>
      </c>
      <c r="Z64" s="240">
        <f t="shared" si="3"/>
        <v>0</v>
      </c>
      <c r="AA64" s="176"/>
    </row>
    <row r="65" spans="1:38" ht="17.25" hidden="1" x14ac:dyDescent="0.3">
      <c r="C65" s="151" t="s">
        <v>572</v>
      </c>
      <c r="D65" s="151"/>
      <c r="E65" s="151"/>
      <c r="F65" s="151"/>
      <c r="G65" s="151"/>
      <c r="H65" s="151"/>
      <c r="I65" s="130"/>
      <c r="J65" s="151"/>
      <c r="K65" s="151"/>
      <c r="L65" s="151"/>
      <c r="M65" s="151"/>
      <c r="N65" s="151"/>
      <c r="O65" s="151"/>
      <c r="P65" s="156">
        <v>0</v>
      </c>
      <c r="Q65" s="241">
        <f t="shared" si="2"/>
        <v>0</v>
      </c>
      <c r="R65" s="68"/>
      <c r="S65" s="156">
        <v>0</v>
      </c>
      <c r="T65" s="156">
        <v>0</v>
      </c>
      <c r="U65" s="156">
        <v>0</v>
      </c>
      <c r="V65" s="151"/>
      <c r="W65" s="156">
        <v>0</v>
      </c>
      <c r="X65" s="151"/>
      <c r="Y65" s="156">
        <v>0</v>
      </c>
      <c r="Z65" s="240">
        <f t="shared" si="3"/>
        <v>0</v>
      </c>
      <c r="AA65" s="176"/>
    </row>
    <row r="66" spans="1:38" hidden="1" x14ac:dyDescent="0.25">
      <c r="C66" s="859" t="s">
        <v>83</v>
      </c>
      <c r="D66" s="859"/>
      <c r="E66" s="159"/>
      <c r="F66" s="159"/>
      <c r="G66" s="159"/>
      <c r="H66" s="159"/>
      <c r="I66" s="159"/>
      <c r="J66" s="159"/>
      <c r="K66" s="159"/>
      <c r="L66" s="159"/>
      <c r="M66" s="159"/>
      <c r="N66" s="159"/>
      <c r="O66" s="159"/>
      <c r="P66" s="155"/>
      <c r="Q66" s="241">
        <f>SUM(Q35:Q65)</f>
        <v>0</v>
      </c>
      <c r="R66" s="158"/>
      <c r="S66" s="214">
        <f>SUM(S35:S65)</f>
        <v>0</v>
      </c>
      <c r="T66" s="214">
        <f>SUM(T35:T65)</f>
        <v>0</v>
      </c>
      <c r="U66" s="214">
        <f>SUM(U35:U65)</f>
        <v>0</v>
      </c>
      <c r="V66" s="834">
        <f>SUM(W35:W65,Y35:Y65)</f>
        <v>0</v>
      </c>
      <c r="W66" s="835"/>
      <c r="X66" s="835"/>
      <c r="Y66" s="836"/>
      <c r="Z66" s="242">
        <f>SUM(Z35:Z65)</f>
        <v>0</v>
      </c>
      <c r="AA66" s="176"/>
    </row>
    <row r="67" spans="1:38" x14ac:dyDescent="0.25">
      <c r="C67" s="178"/>
      <c r="D67" s="178"/>
      <c r="P67" s="179"/>
      <c r="Q67" s="179"/>
      <c r="Z67" s="179"/>
    </row>
    <row r="68" spans="1:38" ht="16.5" customHeight="1" x14ac:dyDescent="0.25">
      <c r="C68" s="832" t="s">
        <v>35</v>
      </c>
      <c r="D68" s="832" t="s">
        <v>34</v>
      </c>
      <c r="E68" s="832" t="s">
        <v>113</v>
      </c>
      <c r="F68" s="837" t="s">
        <v>49</v>
      </c>
      <c r="G68" s="832" t="s">
        <v>96</v>
      </c>
      <c r="H68" s="832" t="s">
        <v>115</v>
      </c>
      <c r="I68" s="832" t="s">
        <v>189</v>
      </c>
      <c r="J68" s="844" t="s">
        <v>188</v>
      </c>
      <c r="K68" s="844"/>
      <c r="L68" s="844"/>
      <c r="M68" s="844"/>
      <c r="N68" s="837" t="s">
        <v>520</v>
      </c>
      <c r="O68" s="840" t="s">
        <v>131</v>
      </c>
      <c r="P68" s="837" t="s">
        <v>51</v>
      </c>
      <c r="Q68" s="832" t="s">
        <v>190</v>
      </c>
      <c r="R68" s="832" t="s">
        <v>191</v>
      </c>
      <c r="S68" s="829" t="s">
        <v>53</v>
      </c>
      <c r="T68" s="830"/>
      <c r="U68" s="830"/>
      <c r="V68" s="830"/>
      <c r="W68" s="830"/>
      <c r="X68" s="830"/>
      <c r="Y68" s="831"/>
      <c r="Z68" s="166" t="s">
        <v>59</v>
      </c>
      <c r="AA68" s="843" t="s">
        <v>107</v>
      </c>
    </row>
    <row r="69" spans="1:38" ht="16.5" customHeight="1" x14ac:dyDescent="0.25">
      <c r="C69" s="832"/>
      <c r="D69" s="832"/>
      <c r="E69" s="832"/>
      <c r="F69" s="838"/>
      <c r="G69" s="832"/>
      <c r="H69" s="832"/>
      <c r="I69" s="832"/>
      <c r="J69" s="844"/>
      <c r="K69" s="844"/>
      <c r="L69" s="844"/>
      <c r="M69" s="844"/>
      <c r="N69" s="838"/>
      <c r="O69" s="841"/>
      <c r="P69" s="838"/>
      <c r="Q69" s="832"/>
      <c r="R69" s="833"/>
      <c r="S69" s="826" t="s">
        <v>54</v>
      </c>
      <c r="T69" s="826"/>
      <c r="U69" s="826"/>
      <c r="V69" s="826" t="s">
        <v>55</v>
      </c>
      <c r="W69" s="826"/>
      <c r="X69" s="826" t="s">
        <v>58</v>
      </c>
      <c r="Y69" s="826"/>
      <c r="Z69" s="180"/>
      <c r="AA69" s="843"/>
    </row>
    <row r="70" spans="1:38" ht="49.5" x14ac:dyDescent="0.25">
      <c r="C70" s="832"/>
      <c r="D70" s="832"/>
      <c r="E70" s="832"/>
      <c r="F70" s="839"/>
      <c r="G70" s="832"/>
      <c r="H70" s="832"/>
      <c r="I70" s="832"/>
      <c r="J70" s="169" t="s">
        <v>37</v>
      </c>
      <c r="K70" s="169" t="s">
        <v>38</v>
      </c>
      <c r="L70" s="169" t="s">
        <v>39</v>
      </c>
      <c r="M70" s="169" t="s">
        <v>40</v>
      </c>
      <c r="N70" s="839"/>
      <c r="O70" s="842"/>
      <c r="P70" s="839"/>
      <c r="Q70" s="832"/>
      <c r="R70" s="832"/>
      <c r="S70" s="181" t="s">
        <v>98</v>
      </c>
      <c r="T70" s="181" t="s">
        <v>63</v>
      </c>
      <c r="U70" s="181" t="s">
        <v>282</v>
      </c>
      <c r="V70" s="181" t="s">
        <v>56</v>
      </c>
      <c r="W70" s="181" t="s">
        <v>57</v>
      </c>
      <c r="X70" s="181" t="s">
        <v>56</v>
      </c>
      <c r="Y70" s="181" t="s">
        <v>57</v>
      </c>
      <c r="Z70" s="182" t="s">
        <v>521</v>
      </c>
      <c r="AA70" s="843"/>
    </row>
    <row r="71" spans="1:38" ht="16.5" customHeight="1" x14ac:dyDescent="0.25">
      <c r="C71" s="849" t="s">
        <v>616</v>
      </c>
      <c r="D71" s="850"/>
      <c r="E71" s="850"/>
      <c r="F71" s="850"/>
      <c r="G71" s="850"/>
      <c r="H71" s="850"/>
      <c r="I71" s="851"/>
      <c r="J71" s="185"/>
      <c r="K71" s="185"/>
      <c r="L71" s="185"/>
      <c r="M71" s="185"/>
      <c r="N71" s="185"/>
      <c r="O71" s="185"/>
      <c r="P71" s="185"/>
      <c r="Q71" s="185"/>
      <c r="R71" s="185"/>
      <c r="S71" s="185"/>
      <c r="T71" s="185"/>
      <c r="U71" s="185"/>
      <c r="V71" s="185"/>
      <c r="W71" s="185"/>
      <c r="X71" s="185"/>
      <c r="Y71" s="185"/>
      <c r="Z71" s="183"/>
      <c r="AA71" s="186"/>
    </row>
    <row r="72" spans="1:38" ht="31.5" customHeight="1" x14ac:dyDescent="0.25">
      <c r="C72" s="847" t="s">
        <v>140</v>
      </c>
      <c r="D72" s="848"/>
      <c r="E72" s="848"/>
      <c r="F72" s="848"/>
      <c r="G72" s="848"/>
      <c r="H72" s="848"/>
      <c r="I72" s="848"/>
      <c r="J72" s="848"/>
      <c r="K72" s="848"/>
      <c r="L72" s="848"/>
      <c r="M72" s="848"/>
      <c r="N72" s="149"/>
      <c r="O72" s="187"/>
      <c r="P72" s="187"/>
      <c r="Q72" s="187"/>
      <c r="R72" s="187"/>
      <c r="S72" s="187"/>
      <c r="T72" s="187"/>
      <c r="U72" s="187"/>
      <c r="V72" s="187"/>
      <c r="W72" s="187"/>
      <c r="X72" s="187"/>
      <c r="Y72" s="187"/>
      <c r="Z72" s="149"/>
      <c r="AA72" s="174"/>
    </row>
    <row r="73" spans="1:38" s="34" customFormat="1" ht="152.25" customHeight="1" x14ac:dyDescent="0.3">
      <c r="A73" s="188"/>
      <c r="B73" s="188"/>
      <c r="C73" s="151" t="s">
        <v>473</v>
      </c>
      <c r="D73" s="151" t="s">
        <v>1790</v>
      </c>
      <c r="E73" s="151" t="s">
        <v>866</v>
      </c>
      <c r="F73" s="151">
        <v>750</v>
      </c>
      <c r="G73" s="151" t="s">
        <v>1812</v>
      </c>
      <c r="H73" s="151" t="s">
        <v>779</v>
      </c>
      <c r="I73" s="130" t="s">
        <v>867</v>
      </c>
      <c r="J73" s="189"/>
      <c r="K73" s="190"/>
      <c r="L73" s="189"/>
      <c r="M73" s="713"/>
      <c r="N73" s="435">
        <v>46142</v>
      </c>
      <c r="O73" s="436" t="s">
        <v>868</v>
      </c>
      <c r="P73" s="191">
        <v>102000</v>
      </c>
      <c r="Q73" s="244">
        <f>F73*P73</f>
        <v>76500000</v>
      </c>
      <c r="R73" s="68"/>
      <c r="S73" s="191">
        <v>0</v>
      </c>
      <c r="T73" s="191">
        <v>76500000</v>
      </c>
      <c r="U73" s="191">
        <v>0</v>
      </c>
      <c r="V73" s="192"/>
      <c r="W73" s="191">
        <v>0</v>
      </c>
      <c r="X73" s="192"/>
      <c r="Y73" s="191">
        <v>0</v>
      </c>
      <c r="Z73" s="243">
        <f>Q73-(S73+T73+U73+W73+Y73)</f>
        <v>0</v>
      </c>
      <c r="AA73" s="192"/>
      <c r="AB73" s="188"/>
      <c r="AC73" s="188"/>
      <c r="AD73" s="188"/>
      <c r="AE73" s="188"/>
      <c r="AF73" s="188"/>
      <c r="AG73" s="188"/>
      <c r="AH73" s="188"/>
      <c r="AI73" s="188"/>
      <c r="AJ73" s="188"/>
      <c r="AK73" s="188"/>
      <c r="AL73" s="188"/>
    </row>
    <row r="74" spans="1:38" s="34" customFormat="1" ht="82.5" x14ac:dyDescent="0.3">
      <c r="A74" s="188"/>
      <c r="B74" s="188"/>
      <c r="C74" s="151" t="s">
        <v>474</v>
      </c>
      <c r="D74" s="437" t="s">
        <v>1552</v>
      </c>
      <c r="E74" s="151" t="s">
        <v>870</v>
      </c>
      <c r="F74" s="151">
        <v>1</v>
      </c>
      <c r="G74" s="151" t="s">
        <v>871</v>
      </c>
      <c r="H74" s="151" t="s">
        <v>779</v>
      </c>
      <c r="I74" s="130" t="s">
        <v>867</v>
      </c>
      <c r="J74" s="189"/>
      <c r="K74" s="190"/>
      <c r="L74" s="189"/>
      <c r="M74" s="713"/>
      <c r="N74" s="655">
        <v>46142</v>
      </c>
      <c r="O74" s="151" t="s">
        <v>872</v>
      </c>
      <c r="P74" s="156">
        <v>149779220.47</v>
      </c>
      <c r="Q74" s="244">
        <f t="shared" ref="Q74:Q122" si="4">F74*P74</f>
        <v>149779220.47</v>
      </c>
      <c r="R74" s="68"/>
      <c r="S74" s="191">
        <v>0</v>
      </c>
      <c r="T74" s="476">
        <v>149779220.47</v>
      </c>
      <c r="U74" s="191">
        <v>0</v>
      </c>
      <c r="V74" s="176"/>
      <c r="W74" s="191">
        <v>0</v>
      </c>
      <c r="X74" s="176"/>
      <c r="Y74" s="191">
        <v>0</v>
      </c>
      <c r="Z74" s="243">
        <f>Q74-(S74+T74+U74+W74+Y74)</f>
        <v>0</v>
      </c>
      <c r="AA74" s="176" t="s">
        <v>1832</v>
      </c>
      <c r="AB74" s="188"/>
      <c r="AC74" s="188"/>
      <c r="AD74" s="188"/>
      <c r="AE74" s="188"/>
      <c r="AF74" s="188"/>
      <c r="AG74" s="188"/>
      <c r="AH74" s="188"/>
      <c r="AI74" s="188"/>
      <c r="AJ74" s="188"/>
      <c r="AK74" s="188"/>
      <c r="AL74" s="188"/>
    </row>
    <row r="75" spans="1:38" s="34" customFormat="1" ht="49.5" x14ac:dyDescent="0.3">
      <c r="A75" s="188"/>
      <c r="B75" s="188"/>
      <c r="C75" s="151" t="s">
        <v>475</v>
      </c>
      <c r="D75" s="151" t="s">
        <v>873</v>
      </c>
      <c r="E75" s="151" t="s">
        <v>874</v>
      </c>
      <c r="F75" s="151">
        <v>3</v>
      </c>
      <c r="G75" s="151" t="s">
        <v>1813</v>
      </c>
      <c r="H75" s="151">
        <v>1200</v>
      </c>
      <c r="I75" s="130" t="s">
        <v>867</v>
      </c>
      <c r="J75" s="189"/>
      <c r="K75" s="190"/>
      <c r="L75" s="189"/>
      <c r="M75" s="713"/>
      <c r="N75" s="655">
        <v>46142</v>
      </c>
      <c r="O75" s="151" t="s">
        <v>875</v>
      </c>
      <c r="P75" s="156">
        <v>16452991.98</v>
      </c>
      <c r="Q75" s="241">
        <f t="shared" si="4"/>
        <v>49358975.939999998</v>
      </c>
      <c r="R75" s="68"/>
      <c r="S75" s="194">
        <v>0</v>
      </c>
      <c r="T75" s="474">
        <v>49358975.939999998</v>
      </c>
      <c r="U75" s="194">
        <v>0</v>
      </c>
      <c r="V75" s="195"/>
      <c r="W75" s="194">
        <v>0</v>
      </c>
      <c r="X75" s="195"/>
      <c r="Y75" s="194">
        <v>0</v>
      </c>
      <c r="Z75" s="240">
        <f>Q75-(S75+T75+U75+W75+Y75)</f>
        <v>0</v>
      </c>
      <c r="AA75" s="192"/>
      <c r="AB75" s="188"/>
      <c r="AC75" s="188"/>
      <c r="AD75" s="188"/>
      <c r="AE75" s="188"/>
      <c r="AF75" s="188"/>
      <c r="AG75" s="188"/>
      <c r="AH75" s="188"/>
      <c r="AI75" s="188"/>
      <c r="AJ75" s="188"/>
      <c r="AK75" s="188"/>
      <c r="AL75" s="188"/>
    </row>
    <row r="76" spans="1:38" s="34" customFormat="1" ht="136.5" customHeight="1" x14ac:dyDescent="0.3">
      <c r="A76" s="188"/>
      <c r="B76" s="188"/>
      <c r="C76" s="151" t="s">
        <v>476</v>
      </c>
      <c r="D76" s="438" t="s">
        <v>876</v>
      </c>
      <c r="E76" s="151" t="s">
        <v>877</v>
      </c>
      <c r="F76" s="151">
        <v>115</v>
      </c>
      <c r="G76" s="151" t="s">
        <v>1815</v>
      </c>
      <c r="H76" s="151" t="s">
        <v>779</v>
      </c>
      <c r="I76" s="130" t="s">
        <v>867</v>
      </c>
      <c r="J76" s="189"/>
      <c r="K76" s="190"/>
      <c r="L76" s="189"/>
      <c r="M76" s="713"/>
      <c r="N76" s="655">
        <v>46142</v>
      </c>
      <c r="O76" s="151" t="s">
        <v>878</v>
      </c>
      <c r="P76" s="156">
        <v>170000</v>
      </c>
      <c r="Q76" s="241">
        <f t="shared" si="4"/>
        <v>19550000</v>
      </c>
      <c r="R76" s="68"/>
      <c r="S76" s="156">
        <v>0</v>
      </c>
      <c r="T76" s="474">
        <v>19550000</v>
      </c>
      <c r="U76" s="156">
        <v>0</v>
      </c>
      <c r="V76" s="151"/>
      <c r="W76" s="156">
        <v>0</v>
      </c>
      <c r="X76" s="151"/>
      <c r="Y76" s="156">
        <v>0</v>
      </c>
      <c r="Z76" s="240">
        <f>Q76-(S76+T76+U76+W76+Y76)</f>
        <v>0</v>
      </c>
      <c r="AA76" s="176" t="s">
        <v>1829</v>
      </c>
      <c r="AB76" s="188"/>
      <c r="AC76" s="188"/>
      <c r="AD76" s="188"/>
      <c r="AE76" s="188"/>
      <c r="AF76" s="188"/>
      <c r="AG76" s="188"/>
      <c r="AH76" s="188"/>
      <c r="AI76" s="188"/>
      <c r="AJ76" s="188"/>
      <c r="AK76" s="188"/>
      <c r="AL76" s="188"/>
    </row>
    <row r="77" spans="1:38" ht="17.25" hidden="1" x14ac:dyDescent="0.3">
      <c r="C77" s="151" t="s">
        <v>477</v>
      </c>
      <c r="D77" s="438"/>
      <c r="E77" s="151"/>
      <c r="F77" s="151"/>
      <c r="G77" s="151"/>
      <c r="H77" s="151"/>
      <c r="I77" s="130"/>
      <c r="J77" s="151"/>
      <c r="K77" s="130"/>
      <c r="L77" s="151"/>
      <c r="M77" s="704"/>
      <c r="N77" s="435"/>
      <c r="O77" s="151"/>
      <c r="P77" s="156">
        <v>0</v>
      </c>
      <c r="Q77" s="241">
        <f t="shared" si="4"/>
        <v>0</v>
      </c>
      <c r="R77" s="68"/>
      <c r="S77" s="156">
        <v>0</v>
      </c>
      <c r="T77" s="474">
        <v>0</v>
      </c>
      <c r="U77" s="156">
        <v>0</v>
      </c>
      <c r="V77" s="151"/>
      <c r="W77" s="156">
        <v>0</v>
      </c>
      <c r="X77" s="151"/>
      <c r="Y77" s="156">
        <v>0</v>
      </c>
      <c r="Z77" s="240">
        <f>Q77-(S77+T77+U77+W77+Y77)</f>
        <v>0</v>
      </c>
      <c r="AA77" s="176"/>
    </row>
    <row r="78" spans="1:38" ht="17.25" hidden="1" x14ac:dyDescent="0.3">
      <c r="C78" s="151" t="s">
        <v>478</v>
      </c>
      <c r="D78" s="151"/>
      <c r="E78" s="151"/>
      <c r="F78" s="151"/>
      <c r="G78" s="151"/>
      <c r="H78" s="151"/>
      <c r="I78" s="130"/>
      <c r="J78" s="151"/>
      <c r="K78" s="130"/>
      <c r="L78" s="151"/>
      <c r="M78" s="704"/>
      <c r="N78" s="435"/>
      <c r="O78" s="151"/>
      <c r="P78" s="156">
        <v>0</v>
      </c>
      <c r="Q78" s="241">
        <f t="shared" si="4"/>
        <v>0</v>
      </c>
      <c r="R78" s="68"/>
      <c r="S78" s="156">
        <v>0</v>
      </c>
      <c r="T78" s="474">
        <v>0</v>
      </c>
      <c r="U78" s="156">
        <v>0</v>
      </c>
      <c r="V78" s="151"/>
      <c r="W78" s="156">
        <v>0</v>
      </c>
      <c r="X78" s="151"/>
      <c r="Y78" s="156">
        <v>0</v>
      </c>
      <c r="Z78" s="240">
        <f t="shared" ref="Z78:Z122" si="5">Q78-(S78+T78+U78+W78+Y78)</f>
        <v>0</v>
      </c>
      <c r="AA78" s="176"/>
    </row>
    <row r="79" spans="1:38" ht="17.25" hidden="1" x14ac:dyDescent="0.3">
      <c r="C79" s="151" t="s">
        <v>479</v>
      </c>
      <c r="D79" s="438"/>
      <c r="E79" s="151"/>
      <c r="F79" s="151"/>
      <c r="G79" s="151"/>
      <c r="H79" s="151"/>
      <c r="I79" s="130"/>
      <c r="J79" s="151"/>
      <c r="K79" s="130"/>
      <c r="L79" s="151"/>
      <c r="M79" s="704"/>
      <c r="N79" s="435"/>
      <c r="O79" s="151"/>
      <c r="P79" s="156">
        <v>0</v>
      </c>
      <c r="Q79" s="241">
        <f t="shared" si="4"/>
        <v>0</v>
      </c>
      <c r="R79" s="68"/>
      <c r="S79" s="156">
        <v>0</v>
      </c>
      <c r="T79" s="474">
        <v>0</v>
      </c>
      <c r="U79" s="156">
        <v>0</v>
      </c>
      <c r="V79" s="151"/>
      <c r="W79" s="156">
        <v>0</v>
      </c>
      <c r="X79" s="151"/>
      <c r="Y79" s="156">
        <v>0</v>
      </c>
      <c r="Z79" s="240">
        <f t="shared" si="5"/>
        <v>0</v>
      </c>
      <c r="AA79" s="176"/>
    </row>
    <row r="80" spans="1:38" ht="17.25" hidden="1" x14ac:dyDescent="0.3">
      <c r="C80" s="151" t="s">
        <v>480</v>
      </c>
      <c r="D80" s="151"/>
      <c r="E80" s="151"/>
      <c r="F80" s="151"/>
      <c r="G80" s="151"/>
      <c r="H80" s="151"/>
      <c r="I80" s="130"/>
      <c r="J80" s="151"/>
      <c r="K80" s="130"/>
      <c r="L80" s="151"/>
      <c r="M80" s="704"/>
      <c r="N80" s="151"/>
      <c r="O80" s="151"/>
      <c r="P80" s="156">
        <v>0</v>
      </c>
      <c r="Q80" s="241">
        <f t="shared" si="4"/>
        <v>0</v>
      </c>
      <c r="R80" s="68"/>
      <c r="S80" s="156">
        <v>0</v>
      </c>
      <c r="T80" s="474">
        <v>0</v>
      </c>
      <c r="U80" s="156">
        <v>0</v>
      </c>
      <c r="V80" s="151"/>
      <c r="W80" s="156">
        <v>0</v>
      </c>
      <c r="X80" s="151"/>
      <c r="Y80" s="156">
        <v>0</v>
      </c>
      <c r="Z80" s="240">
        <f t="shared" si="5"/>
        <v>0</v>
      </c>
      <c r="AA80" s="176"/>
    </row>
    <row r="81" spans="3:27" ht="17.25" hidden="1" x14ac:dyDescent="0.3">
      <c r="C81" s="151" t="s">
        <v>481</v>
      </c>
      <c r="D81" s="189"/>
      <c r="E81" s="151"/>
      <c r="F81" s="151"/>
      <c r="G81" s="151"/>
      <c r="H81" s="151"/>
      <c r="I81" s="130"/>
      <c r="J81" s="151"/>
      <c r="K81" s="130"/>
      <c r="L81" s="151"/>
      <c r="M81" s="704"/>
      <c r="N81" s="151"/>
      <c r="O81" s="151"/>
      <c r="P81" s="156">
        <v>0</v>
      </c>
      <c r="Q81" s="241">
        <f t="shared" si="4"/>
        <v>0</v>
      </c>
      <c r="R81" s="68"/>
      <c r="S81" s="156">
        <v>0</v>
      </c>
      <c r="T81" s="474">
        <v>0</v>
      </c>
      <c r="U81" s="156">
        <v>0</v>
      </c>
      <c r="V81" s="151"/>
      <c r="W81" s="156">
        <v>0</v>
      </c>
      <c r="X81" s="151"/>
      <c r="Y81" s="156">
        <v>0</v>
      </c>
      <c r="Z81" s="240">
        <f t="shared" si="5"/>
        <v>0</v>
      </c>
      <c r="AA81" s="176"/>
    </row>
    <row r="82" spans="3:27" ht="17.25" hidden="1" x14ac:dyDescent="0.3">
      <c r="C82" s="151" t="s">
        <v>482</v>
      </c>
      <c r="D82" s="189"/>
      <c r="E82" s="151"/>
      <c r="F82" s="151"/>
      <c r="G82" s="151"/>
      <c r="H82" s="151"/>
      <c r="I82" s="130"/>
      <c r="J82" s="151"/>
      <c r="K82" s="130"/>
      <c r="L82" s="151"/>
      <c r="M82" s="704"/>
      <c r="N82" s="151"/>
      <c r="O82" s="151"/>
      <c r="P82" s="156">
        <v>0</v>
      </c>
      <c r="Q82" s="241">
        <f t="shared" si="4"/>
        <v>0</v>
      </c>
      <c r="R82" s="68"/>
      <c r="S82" s="156">
        <v>0</v>
      </c>
      <c r="T82" s="474">
        <v>0</v>
      </c>
      <c r="U82" s="156">
        <v>0</v>
      </c>
      <c r="V82" s="151"/>
      <c r="W82" s="156">
        <v>0</v>
      </c>
      <c r="X82" s="151"/>
      <c r="Y82" s="156">
        <v>0</v>
      </c>
      <c r="Z82" s="240">
        <f t="shared" si="5"/>
        <v>0</v>
      </c>
      <c r="AA82" s="176"/>
    </row>
    <row r="83" spans="3:27" ht="17.25" hidden="1" x14ac:dyDescent="0.3">
      <c r="C83" s="151" t="s">
        <v>483</v>
      </c>
      <c r="D83" s="193"/>
      <c r="E83" s="151"/>
      <c r="F83" s="151"/>
      <c r="G83" s="151"/>
      <c r="H83" s="151"/>
      <c r="I83" s="130"/>
      <c r="J83" s="151"/>
      <c r="K83" s="130"/>
      <c r="L83" s="151"/>
      <c r="M83" s="704"/>
      <c r="N83" s="151"/>
      <c r="O83" s="151"/>
      <c r="P83" s="156">
        <v>0</v>
      </c>
      <c r="Q83" s="241">
        <f t="shared" si="4"/>
        <v>0</v>
      </c>
      <c r="R83" s="68"/>
      <c r="S83" s="156">
        <v>0</v>
      </c>
      <c r="T83" s="474">
        <v>0</v>
      </c>
      <c r="U83" s="156">
        <v>0</v>
      </c>
      <c r="V83" s="151"/>
      <c r="W83" s="156">
        <v>0</v>
      </c>
      <c r="X83" s="151"/>
      <c r="Y83" s="156">
        <v>0</v>
      </c>
      <c r="Z83" s="240">
        <f t="shared" si="5"/>
        <v>0</v>
      </c>
      <c r="AA83" s="176"/>
    </row>
    <row r="84" spans="3:27" ht="17.25" hidden="1" x14ac:dyDescent="0.3">
      <c r="C84" s="151" t="s">
        <v>484</v>
      </c>
      <c r="D84" s="151"/>
      <c r="E84" s="151"/>
      <c r="F84" s="151"/>
      <c r="G84" s="151"/>
      <c r="H84" s="151"/>
      <c r="I84" s="130"/>
      <c r="J84" s="151"/>
      <c r="K84" s="130"/>
      <c r="L84" s="151"/>
      <c r="M84" s="704"/>
      <c r="N84" s="151"/>
      <c r="O84" s="151"/>
      <c r="P84" s="156">
        <v>0</v>
      </c>
      <c r="Q84" s="241">
        <f t="shared" si="4"/>
        <v>0</v>
      </c>
      <c r="R84" s="68"/>
      <c r="S84" s="156">
        <v>0</v>
      </c>
      <c r="T84" s="474">
        <v>0</v>
      </c>
      <c r="U84" s="156">
        <v>0</v>
      </c>
      <c r="V84" s="151"/>
      <c r="W84" s="156">
        <v>0</v>
      </c>
      <c r="X84" s="151"/>
      <c r="Y84" s="156">
        <v>0</v>
      </c>
      <c r="Z84" s="240">
        <f t="shared" si="5"/>
        <v>0</v>
      </c>
      <c r="AA84" s="176"/>
    </row>
    <row r="85" spans="3:27" ht="17.25" hidden="1" x14ac:dyDescent="0.3">
      <c r="C85" s="151" t="s">
        <v>485</v>
      </c>
      <c r="D85" s="151"/>
      <c r="E85" s="151"/>
      <c r="F85" s="151"/>
      <c r="G85" s="151"/>
      <c r="H85" s="151"/>
      <c r="I85" s="130"/>
      <c r="J85" s="151"/>
      <c r="K85" s="130"/>
      <c r="L85" s="151"/>
      <c r="M85" s="704"/>
      <c r="N85" s="151"/>
      <c r="O85" s="151"/>
      <c r="P85" s="156">
        <v>0</v>
      </c>
      <c r="Q85" s="241">
        <f t="shared" si="4"/>
        <v>0</v>
      </c>
      <c r="R85" s="68"/>
      <c r="S85" s="156">
        <v>0</v>
      </c>
      <c r="T85" s="474">
        <v>0</v>
      </c>
      <c r="U85" s="156">
        <v>0</v>
      </c>
      <c r="V85" s="151"/>
      <c r="W85" s="156">
        <v>0</v>
      </c>
      <c r="X85" s="151"/>
      <c r="Y85" s="156">
        <v>0</v>
      </c>
      <c r="Z85" s="240">
        <f t="shared" si="5"/>
        <v>0</v>
      </c>
      <c r="AA85" s="176"/>
    </row>
    <row r="86" spans="3:27" ht="17.25" hidden="1" x14ac:dyDescent="0.3">
      <c r="C86" s="151" t="s">
        <v>486</v>
      </c>
      <c r="D86" s="151"/>
      <c r="E86" s="151"/>
      <c r="F86" s="151"/>
      <c r="G86" s="151"/>
      <c r="H86" s="151"/>
      <c r="I86" s="130"/>
      <c r="J86" s="151"/>
      <c r="K86" s="130"/>
      <c r="L86" s="151"/>
      <c r="M86" s="704"/>
      <c r="N86" s="151"/>
      <c r="O86" s="151"/>
      <c r="P86" s="156">
        <v>0</v>
      </c>
      <c r="Q86" s="241">
        <f t="shared" si="4"/>
        <v>0</v>
      </c>
      <c r="R86" s="68"/>
      <c r="S86" s="156">
        <v>0</v>
      </c>
      <c r="T86" s="474">
        <v>0</v>
      </c>
      <c r="U86" s="156">
        <v>0</v>
      </c>
      <c r="V86" s="151"/>
      <c r="W86" s="156">
        <v>0</v>
      </c>
      <c r="X86" s="151"/>
      <c r="Y86" s="156">
        <v>0</v>
      </c>
      <c r="Z86" s="240">
        <f t="shared" si="5"/>
        <v>0</v>
      </c>
      <c r="AA86" s="176"/>
    </row>
    <row r="87" spans="3:27" ht="17.25" hidden="1" x14ac:dyDescent="0.3">
      <c r="C87" s="151" t="s">
        <v>487</v>
      </c>
      <c r="D87" s="151"/>
      <c r="E87" s="151"/>
      <c r="F87" s="151"/>
      <c r="G87" s="151"/>
      <c r="H87" s="151"/>
      <c r="I87" s="130"/>
      <c r="J87" s="151"/>
      <c r="K87" s="130"/>
      <c r="L87" s="151"/>
      <c r="M87" s="704"/>
      <c r="N87" s="151"/>
      <c r="O87" s="151"/>
      <c r="P87" s="156">
        <v>0</v>
      </c>
      <c r="Q87" s="241">
        <f t="shared" si="4"/>
        <v>0</v>
      </c>
      <c r="R87" s="68"/>
      <c r="S87" s="156">
        <v>0</v>
      </c>
      <c r="T87" s="474">
        <v>0</v>
      </c>
      <c r="U87" s="156">
        <v>0</v>
      </c>
      <c r="V87" s="151"/>
      <c r="W87" s="156">
        <v>0</v>
      </c>
      <c r="X87" s="151"/>
      <c r="Y87" s="156">
        <v>0</v>
      </c>
      <c r="Z87" s="240">
        <f t="shared" si="5"/>
        <v>0</v>
      </c>
      <c r="AA87" s="176"/>
    </row>
    <row r="88" spans="3:27" ht="17.25" hidden="1" x14ac:dyDescent="0.3">
      <c r="C88" s="151" t="s">
        <v>488</v>
      </c>
      <c r="D88" s="151"/>
      <c r="E88" s="151"/>
      <c r="F88" s="151"/>
      <c r="G88" s="151"/>
      <c r="H88" s="151"/>
      <c r="I88" s="130"/>
      <c r="J88" s="151"/>
      <c r="K88" s="130"/>
      <c r="L88" s="151"/>
      <c r="M88" s="704"/>
      <c r="N88" s="151"/>
      <c r="O88" s="151"/>
      <c r="P88" s="156">
        <v>0</v>
      </c>
      <c r="Q88" s="241">
        <f t="shared" si="4"/>
        <v>0</v>
      </c>
      <c r="R88" s="68"/>
      <c r="S88" s="156">
        <v>0</v>
      </c>
      <c r="T88" s="474">
        <v>0</v>
      </c>
      <c r="U88" s="156">
        <v>0</v>
      </c>
      <c r="V88" s="151"/>
      <c r="W88" s="156">
        <v>0</v>
      </c>
      <c r="X88" s="151"/>
      <c r="Y88" s="156">
        <v>0</v>
      </c>
      <c r="Z88" s="240">
        <f t="shared" si="5"/>
        <v>0</v>
      </c>
      <c r="AA88" s="176"/>
    </row>
    <row r="89" spans="3:27" ht="17.25" hidden="1" x14ac:dyDescent="0.3">
      <c r="C89" s="151" t="s">
        <v>489</v>
      </c>
      <c r="D89" s="151"/>
      <c r="E89" s="151"/>
      <c r="F89" s="151"/>
      <c r="G89" s="151"/>
      <c r="H89" s="151"/>
      <c r="I89" s="130"/>
      <c r="J89" s="151"/>
      <c r="K89" s="130"/>
      <c r="L89" s="151"/>
      <c r="M89" s="704"/>
      <c r="N89" s="151"/>
      <c r="O89" s="151"/>
      <c r="P89" s="156">
        <v>0</v>
      </c>
      <c r="Q89" s="241">
        <f t="shared" si="4"/>
        <v>0</v>
      </c>
      <c r="R89" s="68"/>
      <c r="S89" s="156">
        <v>0</v>
      </c>
      <c r="T89" s="474">
        <v>0</v>
      </c>
      <c r="U89" s="156">
        <v>0</v>
      </c>
      <c r="V89" s="151"/>
      <c r="W89" s="156">
        <v>0</v>
      </c>
      <c r="X89" s="151"/>
      <c r="Y89" s="156">
        <v>0</v>
      </c>
      <c r="Z89" s="240">
        <f t="shared" si="5"/>
        <v>0</v>
      </c>
      <c r="AA89" s="176"/>
    </row>
    <row r="90" spans="3:27" ht="17.25" hidden="1" x14ac:dyDescent="0.3">
      <c r="C90" s="151" t="s">
        <v>490</v>
      </c>
      <c r="D90" s="151"/>
      <c r="E90" s="151"/>
      <c r="F90" s="151"/>
      <c r="G90" s="151"/>
      <c r="H90" s="151"/>
      <c r="I90" s="130"/>
      <c r="J90" s="151"/>
      <c r="K90" s="130"/>
      <c r="L90" s="151"/>
      <c r="M90" s="704"/>
      <c r="N90" s="151"/>
      <c r="O90" s="151"/>
      <c r="P90" s="156">
        <v>0</v>
      </c>
      <c r="Q90" s="241">
        <f t="shared" si="4"/>
        <v>0</v>
      </c>
      <c r="R90" s="68"/>
      <c r="S90" s="156">
        <v>0</v>
      </c>
      <c r="T90" s="474">
        <v>0</v>
      </c>
      <c r="U90" s="156">
        <v>0</v>
      </c>
      <c r="V90" s="151"/>
      <c r="W90" s="156">
        <v>0</v>
      </c>
      <c r="X90" s="151"/>
      <c r="Y90" s="156">
        <v>0</v>
      </c>
      <c r="Z90" s="240">
        <f t="shared" si="5"/>
        <v>0</v>
      </c>
      <c r="AA90" s="176"/>
    </row>
    <row r="91" spans="3:27" ht="17.25" hidden="1" x14ac:dyDescent="0.3">
      <c r="C91" s="151" t="s">
        <v>491</v>
      </c>
      <c r="D91" s="151"/>
      <c r="E91" s="151"/>
      <c r="F91" s="151"/>
      <c r="G91" s="151"/>
      <c r="H91" s="151"/>
      <c r="I91" s="130"/>
      <c r="J91" s="151"/>
      <c r="K91" s="130"/>
      <c r="L91" s="151"/>
      <c r="M91" s="704"/>
      <c r="N91" s="151"/>
      <c r="O91" s="151"/>
      <c r="P91" s="156">
        <v>0</v>
      </c>
      <c r="Q91" s="241">
        <f t="shared" si="4"/>
        <v>0</v>
      </c>
      <c r="R91" s="68"/>
      <c r="S91" s="156">
        <v>0</v>
      </c>
      <c r="T91" s="474">
        <v>0</v>
      </c>
      <c r="U91" s="156">
        <v>0</v>
      </c>
      <c r="V91" s="151"/>
      <c r="W91" s="156">
        <v>0</v>
      </c>
      <c r="X91" s="151"/>
      <c r="Y91" s="156">
        <v>0</v>
      </c>
      <c r="Z91" s="240">
        <f t="shared" si="5"/>
        <v>0</v>
      </c>
      <c r="AA91" s="176"/>
    </row>
    <row r="92" spans="3:27" ht="17.25" hidden="1" x14ac:dyDescent="0.3">
      <c r="C92" s="151" t="s">
        <v>492</v>
      </c>
      <c r="D92" s="151"/>
      <c r="E92" s="151"/>
      <c r="F92" s="151"/>
      <c r="G92" s="151"/>
      <c r="H92" s="151"/>
      <c r="I92" s="130"/>
      <c r="J92" s="151"/>
      <c r="K92" s="130"/>
      <c r="L92" s="151"/>
      <c r="M92" s="704"/>
      <c r="N92" s="151"/>
      <c r="O92" s="151"/>
      <c r="P92" s="156">
        <v>0</v>
      </c>
      <c r="Q92" s="241">
        <f t="shared" si="4"/>
        <v>0</v>
      </c>
      <c r="R92" s="68"/>
      <c r="S92" s="156">
        <v>0</v>
      </c>
      <c r="T92" s="474">
        <v>0</v>
      </c>
      <c r="U92" s="156">
        <v>0</v>
      </c>
      <c r="V92" s="151"/>
      <c r="W92" s="156">
        <v>0</v>
      </c>
      <c r="X92" s="151"/>
      <c r="Y92" s="156">
        <v>0</v>
      </c>
      <c r="Z92" s="240">
        <f t="shared" si="5"/>
        <v>0</v>
      </c>
      <c r="AA92" s="176"/>
    </row>
    <row r="93" spans="3:27" ht="17.25" hidden="1" x14ac:dyDescent="0.3">
      <c r="C93" s="151" t="s">
        <v>493</v>
      </c>
      <c r="D93" s="151"/>
      <c r="E93" s="151"/>
      <c r="F93" s="151"/>
      <c r="G93" s="151"/>
      <c r="H93" s="151"/>
      <c r="I93" s="130"/>
      <c r="J93" s="151"/>
      <c r="K93" s="130"/>
      <c r="L93" s="151"/>
      <c r="M93" s="704"/>
      <c r="N93" s="151"/>
      <c r="O93" s="151"/>
      <c r="P93" s="156">
        <v>0</v>
      </c>
      <c r="Q93" s="241">
        <f t="shared" si="4"/>
        <v>0</v>
      </c>
      <c r="R93" s="68"/>
      <c r="S93" s="156">
        <v>0</v>
      </c>
      <c r="T93" s="474">
        <v>0</v>
      </c>
      <c r="U93" s="156">
        <v>0</v>
      </c>
      <c r="V93" s="151"/>
      <c r="W93" s="156">
        <v>0</v>
      </c>
      <c r="X93" s="151"/>
      <c r="Y93" s="156">
        <v>0</v>
      </c>
      <c r="Z93" s="240">
        <f t="shared" si="5"/>
        <v>0</v>
      </c>
      <c r="AA93" s="176"/>
    </row>
    <row r="94" spans="3:27" ht="17.25" hidden="1" x14ac:dyDescent="0.3">
      <c r="C94" s="151" t="s">
        <v>494</v>
      </c>
      <c r="D94" s="151"/>
      <c r="E94" s="151"/>
      <c r="F94" s="151"/>
      <c r="G94" s="151"/>
      <c r="H94" s="151"/>
      <c r="I94" s="130"/>
      <c r="J94" s="151"/>
      <c r="K94" s="130"/>
      <c r="L94" s="151"/>
      <c r="M94" s="704"/>
      <c r="N94" s="151"/>
      <c r="O94" s="151"/>
      <c r="P94" s="156">
        <v>0</v>
      </c>
      <c r="Q94" s="241">
        <f t="shared" si="4"/>
        <v>0</v>
      </c>
      <c r="R94" s="68"/>
      <c r="S94" s="156">
        <v>0</v>
      </c>
      <c r="T94" s="474">
        <v>0</v>
      </c>
      <c r="U94" s="156">
        <v>0</v>
      </c>
      <c r="V94" s="151"/>
      <c r="W94" s="156">
        <v>0</v>
      </c>
      <c r="X94" s="151"/>
      <c r="Y94" s="156">
        <v>0</v>
      </c>
      <c r="Z94" s="240">
        <f t="shared" si="5"/>
        <v>0</v>
      </c>
      <c r="AA94" s="176"/>
    </row>
    <row r="95" spans="3:27" ht="17.25" hidden="1" x14ac:dyDescent="0.3">
      <c r="C95" s="151" t="s">
        <v>495</v>
      </c>
      <c r="D95" s="151"/>
      <c r="E95" s="151"/>
      <c r="F95" s="151"/>
      <c r="G95" s="151"/>
      <c r="H95" s="151"/>
      <c r="I95" s="130"/>
      <c r="J95" s="151"/>
      <c r="K95" s="130"/>
      <c r="L95" s="151"/>
      <c r="M95" s="704"/>
      <c r="N95" s="151"/>
      <c r="O95" s="151"/>
      <c r="P95" s="156">
        <v>0</v>
      </c>
      <c r="Q95" s="241">
        <f t="shared" si="4"/>
        <v>0</v>
      </c>
      <c r="R95" s="68"/>
      <c r="S95" s="156">
        <v>0</v>
      </c>
      <c r="T95" s="474">
        <v>0</v>
      </c>
      <c r="U95" s="156">
        <v>0</v>
      </c>
      <c r="V95" s="151"/>
      <c r="W95" s="156">
        <v>0</v>
      </c>
      <c r="X95" s="151"/>
      <c r="Y95" s="156">
        <v>0</v>
      </c>
      <c r="Z95" s="240">
        <f t="shared" si="5"/>
        <v>0</v>
      </c>
      <c r="AA95" s="176"/>
    </row>
    <row r="96" spans="3:27" ht="17.25" hidden="1" x14ac:dyDescent="0.3">
      <c r="C96" s="151" t="s">
        <v>496</v>
      </c>
      <c r="D96" s="151"/>
      <c r="E96" s="151"/>
      <c r="F96" s="151"/>
      <c r="G96" s="151"/>
      <c r="H96" s="151"/>
      <c r="I96" s="130"/>
      <c r="J96" s="151"/>
      <c r="K96" s="130"/>
      <c r="L96" s="151"/>
      <c r="M96" s="704"/>
      <c r="N96" s="151"/>
      <c r="O96" s="151"/>
      <c r="P96" s="156">
        <v>0</v>
      </c>
      <c r="Q96" s="241">
        <f t="shared" si="4"/>
        <v>0</v>
      </c>
      <c r="R96" s="68"/>
      <c r="S96" s="156">
        <v>0</v>
      </c>
      <c r="T96" s="474">
        <v>0</v>
      </c>
      <c r="U96" s="156">
        <v>0</v>
      </c>
      <c r="V96" s="151"/>
      <c r="W96" s="156">
        <v>0</v>
      </c>
      <c r="X96" s="151"/>
      <c r="Y96" s="156">
        <v>0</v>
      </c>
      <c r="Z96" s="240">
        <f t="shared" si="5"/>
        <v>0</v>
      </c>
      <c r="AA96" s="176"/>
    </row>
    <row r="97" spans="3:27" ht="17.25" hidden="1" x14ac:dyDescent="0.3">
      <c r="C97" s="151" t="s">
        <v>497</v>
      </c>
      <c r="D97" s="151"/>
      <c r="E97" s="151"/>
      <c r="F97" s="151"/>
      <c r="G97" s="151"/>
      <c r="H97" s="151"/>
      <c r="I97" s="130"/>
      <c r="J97" s="151"/>
      <c r="K97" s="130"/>
      <c r="L97" s="151"/>
      <c r="M97" s="704"/>
      <c r="N97" s="151"/>
      <c r="O97" s="151"/>
      <c r="P97" s="156">
        <v>0</v>
      </c>
      <c r="Q97" s="241">
        <f t="shared" si="4"/>
        <v>0</v>
      </c>
      <c r="R97" s="68"/>
      <c r="S97" s="156">
        <v>0</v>
      </c>
      <c r="T97" s="474">
        <v>0</v>
      </c>
      <c r="U97" s="156">
        <v>0</v>
      </c>
      <c r="V97" s="151"/>
      <c r="W97" s="156">
        <v>0</v>
      </c>
      <c r="X97" s="151"/>
      <c r="Y97" s="156">
        <v>0</v>
      </c>
      <c r="Z97" s="240">
        <f t="shared" si="5"/>
        <v>0</v>
      </c>
      <c r="AA97" s="176"/>
    </row>
    <row r="98" spans="3:27" ht="17.25" hidden="1" x14ac:dyDescent="0.3">
      <c r="C98" s="151" t="s">
        <v>498</v>
      </c>
      <c r="D98" s="151"/>
      <c r="E98" s="151"/>
      <c r="F98" s="151"/>
      <c r="G98" s="151"/>
      <c r="H98" s="151"/>
      <c r="I98" s="130"/>
      <c r="J98" s="151"/>
      <c r="K98" s="130"/>
      <c r="L98" s="151"/>
      <c r="M98" s="704"/>
      <c r="N98" s="151"/>
      <c r="O98" s="151"/>
      <c r="P98" s="156">
        <v>0</v>
      </c>
      <c r="Q98" s="241">
        <f t="shared" si="4"/>
        <v>0</v>
      </c>
      <c r="R98" s="68"/>
      <c r="S98" s="156">
        <v>0</v>
      </c>
      <c r="T98" s="474">
        <v>0</v>
      </c>
      <c r="U98" s="156">
        <v>0</v>
      </c>
      <c r="V98" s="151"/>
      <c r="W98" s="156">
        <v>0</v>
      </c>
      <c r="X98" s="151"/>
      <c r="Y98" s="156">
        <v>0</v>
      </c>
      <c r="Z98" s="240">
        <f t="shared" si="5"/>
        <v>0</v>
      </c>
      <c r="AA98" s="176"/>
    </row>
    <row r="99" spans="3:27" ht="17.25" hidden="1" x14ac:dyDescent="0.3">
      <c r="C99" s="151" t="s">
        <v>499</v>
      </c>
      <c r="D99" s="151"/>
      <c r="E99" s="151"/>
      <c r="F99" s="151"/>
      <c r="G99" s="151"/>
      <c r="H99" s="151"/>
      <c r="I99" s="130"/>
      <c r="J99" s="151"/>
      <c r="K99" s="130"/>
      <c r="L99" s="151"/>
      <c r="M99" s="704"/>
      <c r="N99" s="151"/>
      <c r="O99" s="151"/>
      <c r="P99" s="156">
        <v>0</v>
      </c>
      <c r="Q99" s="241">
        <f t="shared" si="4"/>
        <v>0</v>
      </c>
      <c r="R99" s="68"/>
      <c r="S99" s="156">
        <v>0</v>
      </c>
      <c r="T99" s="474">
        <v>0</v>
      </c>
      <c r="U99" s="156">
        <v>0</v>
      </c>
      <c r="V99" s="151"/>
      <c r="W99" s="156">
        <v>0</v>
      </c>
      <c r="X99" s="151"/>
      <c r="Y99" s="156">
        <v>0</v>
      </c>
      <c r="Z99" s="240">
        <f t="shared" si="5"/>
        <v>0</v>
      </c>
      <c r="AA99" s="176"/>
    </row>
    <row r="100" spans="3:27" ht="17.25" hidden="1" x14ac:dyDescent="0.3">
      <c r="C100" s="151" t="s">
        <v>500</v>
      </c>
      <c r="D100" s="151"/>
      <c r="E100" s="151"/>
      <c r="F100" s="151"/>
      <c r="G100" s="151"/>
      <c r="H100" s="151"/>
      <c r="I100" s="130"/>
      <c r="J100" s="151"/>
      <c r="K100" s="130"/>
      <c r="L100" s="151"/>
      <c r="M100" s="704"/>
      <c r="N100" s="151"/>
      <c r="O100" s="151"/>
      <c r="P100" s="156">
        <v>0</v>
      </c>
      <c r="Q100" s="241">
        <f t="shared" si="4"/>
        <v>0</v>
      </c>
      <c r="R100" s="68"/>
      <c r="S100" s="156">
        <v>0</v>
      </c>
      <c r="T100" s="474">
        <v>0</v>
      </c>
      <c r="U100" s="156">
        <v>0</v>
      </c>
      <c r="V100" s="151"/>
      <c r="W100" s="156">
        <v>0</v>
      </c>
      <c r="X100" s="151"/>
      <c r="Y100" s="156">
        <v>0</v>
      </c>
      <c r="Z100" s="240">
        <f t="shared" si="5"/>
        <v>0</v>
      </c>
      <c r="AA100" s="176"/>
    </row>
    <row r="101" spans="3:27" ht="17.25" hidden="1" x14ac:dyDescent="0.3">
      <c r="C101" s="151" t="s">
        <v>501</v>
      </c>
      <c r="D101" s="151"/>
      <c r="E101" s="151"/>
      <c r="F101" s="151"/>
      <c r="G101" s="151"/>
      <c r="H101" s="151"/>
      <c r="I101" s="130"/>
      <c r="J101" s="151"/>
      <c r="K101" s="130"/>
      <c r="L101" s="151"/>
      <c r="M101" s="704"/>
      <c r="N101" s="151"/>
      <c r="O101" s="151"/>
      <c r="P101" s="156">
        <v>0</v>
      </c>
      <c r="Q101" s="241">
        <f t="shared" si="4"/>
        <v>0</v>
      </c>
      <c r="R101" s="68"/>
      <c r="S101" s="156">
        <v>0</v>
      </c>
      <c r="T101" s="474">
        <v>0</v>
      </c>
      <c r="U101" s="156">
        <v>0</v>
      </c>
      <c r="V101" s="151"/>
      <c r="W101" s="156">
        <v>0</v>
      </c>
      <c r="X101" s="151"/>
      <c r="Y101" s="156">
        <v>0</v>
      </c>
      <c r="Z101" s="240">
        <f t="shared" si="5"/>
        <v>0</v>
      </c>
      <c r="AA101" s="176"/>
    </row>
    <row r="102" spans="3:27" ht="17.25" hidden="1" x14ac:dyDescent="0.3">
      <c r="C102" s="151" t="s">
        <v>502</v>
      </c>
      <c r="D102" s="151"/>
      <c r="E102" s="151"/>
      <c r="F102" s="151"/>
      <c r="G102" s="151"/>
      <c r="H102" s="151"/>
      <c r="I102" s="130"/>
      <c r="J102" s="151"/>
      <c r="K102" s="130"/>
      <c r="L102" s="151"/>
      <c r="M102" s="704"/>
      <c r="N102" s="151"/>
      <c r="O102" s="151"/>
      <c r="P102" s="156">
        <v>0</v>
      </c>
      <c r="Q102" s="241">
        <f t="shared" si="4"/>
        <v>0</v>
      </c>
      <c r="R102" s="68"/>
      <c r="S102" s="156">
        <v>0</v>
      </c>
      <c r="T102" s="474">
        <v>0</v>
      </c>
      <c r="U102" s="156">
        <v>0</v>
      </c>
      <c r="V102" s="151"/>
      <c r="W102" s="156">
        <v>0</v>
      </c>
      <c r="X102" s="151"/>
      <c r="Y102" s="156">
        <v>0</v>
      </c>
      <c r="Z102" s="240">
        <f t="shared" si="5"/>
        <v>0</v>
      </c>
      <c r="AA102" s="176"/>
    </row>
    <row r="103" spans="3:27" ht="17.25" hidden="1" x14ac:dyDescent="0.3">
      <c r="C103" s="151" t="s">
        <v>573</v>
      </c>
      <c r="D103" s="151"/>
      <c r="E103" s="151"/>
      <c r="F103" s="151"/>
      <c r="G103" s="151"/>
      <c r="H103" s="151"/>
      <c r="I103" s="130"/>
      <c r="J103" s="151"/>
      <c r="K103" s="130"/>
      <c r="L103" s="151"/>
      <c r="M103" s="704"/>
      <c r="N103" s="151"/>
      <c r="O103" s="151"/>
      <c r="P103" s="156">
        <v>0</v>
      </c>
      <c r="Q103" s="241">
        <f t="shared" si="4"/>
        <v>0</v>
      </c>
      <c r="R103" s="68"/>
      <c r="S103" s="156">
        <v>0</v>
      </c>
      <c r="T103" s="474">
        <v>0</v>
      </c>
      <c r="U103" s="156">
        <v>0</v>
      </c>
      <c r="V103" s="151"/>
      <c r="W103" s="156">
        <v>0</v>
      </c>
      <c r="X103" s="151"/>
      <c r="Y103" s="156">
        <v>0</v>
      </c>
      <c r="Z103" s="240">
        <f t="shared" si="5"/>
        <v>0</v>
      </c>
      <c r="AA103" s="176"/>
    </row>
    <row r="104" spans="3:27" ht="17.25" hidden="1" x14ac:dyDescent="0.3">
      <c r="C104" s="151" t="s">
        <v>574</v>
      </c>
      <c r="D104" s="151"/>
      <c r="E104" s="151"/>
      <c r="F104" s="151"/>
      <c r="G104" s="151"/>
      <c r="H104" s="151"/>
      <c r="I104" s="130"/>
      <c r="J104" s="151"/>
      <c r="K104" s="130"/>
      <c r="L104" s="151"/>
      <c r="M104" s="704"/>
      <c r="N104" s="151"/>
      <c r="O104" s="151"/>
      <c r="P104" s="156">
        <v>0</v>
      </c>
      <c r="Q104" s="241">
        <f t="shared" si="4"/>
        <v>0</v>
      </c>
      <c r="R104" s="68"/>
      <c r="S104" s="156">
        <v>0</v>
      </c>
      <c r="T104" s="474">
        <v>0</v>
      </c>
      <c r="U104" s="156">
        <v>0</v>
      </c>
      <c r="V104" s="151"/>
      <c r="W104" s="156">
        <v>0</v>
      </c>
      <c r="X104" s="151"/>
      <c r="Y104" s="156">
        <v>0</v>
      </c>
      <c r="Z104" s="240">
        <f t="shared" si="5"/>
        <v>0</v>
      </c>
      <c r="AA104" s="176"/>
    </row>
    <row r="105" spans="3:27" ht="17.25" hidden="1" x14ac:dyDescent="0.3">
      <c r="C105" s="151" t="s">
        <v>575</v>
      </c>
      <c r="D105" s="151"/>
      <c r="E105" s="151"/>
      <c r="F105" s="151"/>
      <c r="G105" s="151"/>
      <c r="H105" s="151"/>
      <c r="I105" s="130"/>
      <c r="J105" s="151"/>
      <c r="K105" s="130"/>
      <c r="L105" s="151"/>
      <c r="M105" s="704"/>
      <c r="N105" s="151"/>
      <c r="O105" s="151"/>
      <c r="P105" s="156">
        <v>0</v>
      </c>
      <c r="Q105" s="241">
        <f t="shared" si="4"/>
        <v>0</v>
      </c>
      <c r="R105" s="68"/>
      <c r="S105" s="156">
        <v>0</v>
      </c>
      <c r="T105" s="474">
        <v>0</v>
      </c>
      <c r="U105" s="156">
        <v>0</v>
      </c>
      <c r="V105" s="151"/>
      <c r="W105" s="156">
        <v>0</v>
      </c>
      <c r="X105" s="151"/>
      <c r="Y105" s="156">
        <v>0</v>
      </c>
      <c r="Z105" s="240">
        <f t="shared" si="5"/>
        <v>0</v>
      </c>
      <c r="AA105" s="176"/>
    </row>
    <row r="106" spans="3:27" ht="17.25" hidden="1" x14ac:dyDescent="0.3">
      <c r="C106" s="151" t="s">
        <v>576</v>
      </c>
      <c r="D106" s="151"/>
      <c r="E106" s="151"/>
      <c r="F106" s="151"/>
      <c r="G106" s="151"/>
      <c r="H106" s="151"/>
      <c r="I106" s="130"/>
      <c r="J106" s="151"/>
      <c r="K106" s="130"/>
      <c r="L106" s="151"/>
      <c r="M106" s="704"/>
      <c r="N106" s="151"/>
      <c r="O106" s="151"/>
      <c r="P106" s="156">
        <v>0</v>
      </c>
      <c r="Q106" s="241">
        <f t="shared" si="4"/>
        <v>0</v>
      </c>
      <c r="R106" s="68"/>
      <c r="S106" s="156">
        <v>0</v>
      </c>
      <c r="T106" s="474">
        <v>0</v>
      </c>
      <c r="U106" s="156">
        <v>0</v>
      </c>
      <c r="V106" s="151"/>
      <c r="W106" s="156">
        <v>0</v>
      </c>
      <c r="X106" s="151"/>
      <c r="Y106" s="156">
        <v>0</v>
      </c>
      <c r="Z106" s="240">
        <f t="shared" si="5"/>
        <v>0</v>
      </c>
      <c r="AA106" s="176"/>
    </row>
    <row r="107" spans="3:27" ht="17.25" hidden="1" x14ac:dyDescent="0.3">
      <c r="C107" s="151" t="s">
        <v>577</v>
      </c>
      <c r="D107" s="151"/>
      <c r="E107" s="151"/>
      <c r="F107" s="151"/>
      <c r="G107" s="151"/>
      <c r="H107" s="151"/>
      <c r="I107" s="130"/>
      <c r="J107" s="151"/>
      <c r="K107" s="130"/>
      <c r="L107" s="151"/>
      <c r="M107" s="704"/>
      <c r="N107" s="151"/>
      <c r="O107" s="151"/>
      <c r="P107" s="156">
        <v>0</v>
      </c>
      <c r="Q107" s="241">
        <f t="shared" si="4"/>
        <v>0</v>
      </c>
      <c r="R107" s="68"/>
      <c r="S107" s="156">
        <v>0</v>
      </c>
      <c r="T107" s="474">
        <v>0</v>
      </c>
      <c r="U107" s="156">
        <v>0</v>
      </c>
      <c r="V107" s="151"/>
      <c r="W107" s="156">
        <v>0</v>
      </c>
      <c r="X107" s="151"/>
      <c r="Y107" s="156">
        <v>0</v>
      </c>
      <c r="Z107" s="240">
        <f t="shared" si="5"/>
        <v>0</v>
      </c>
      <c r="AA107" s="176"/>
    </row>
    <row r="108" spans="3:27" ht="17.25" hidden="1" x14ac:dyDescent="0.3">
      <c r="C108" s="151" t="s">
        <v>578</v>
      </c>
      <c r="D108" s="151"/>
      <c r="E108" s="151"/>
      <c r="F108" s="151"/>
      <c r="G108" s="151"/>
      <c r="H108" s="151"/>
      <c r="I108" s="130"/>
      <c r="J108" s="151"/>
      <c r="K108" s="130"/>
      <c r="L108" s="151"/>
      <c r="M108" s="704"/>
      <c r="N108" s="151"/>
      <c r="O108" s="151"/>
      <c r="P108" s="156">
        <v>0</v>
      </c>
      <c r="Q108" s="241">
        <f t="shared" si="4"/>
        <v>0</v>
      </c>
      <c r="R108" s="68"/>
      <c r="S108" s="156">
        <v>0</v>
      </c>
      <c r="T108" s="474">
        <v>0</v>
      </c>
      <c r="U108" s="156">
        <v>0</v>
      </c>
      <c r="V108" s="151"/>
      <c r="W108" s="156">
        <v>0</v>
      </c>
      <c r="X108" s="151"/>
      <c r="Y108" s="156">
        <v>0</v>
      </c>
      <c r="Z108" s="240">
        <f t="shared" si="5"/>
        <v>0</v>
      </c>
      <c r="AA108" s="176"/>
    </row>
    <row r="109" spans="3:27" ht="17.25" hidden="1" x14ac:dyDescent="0.3">
      <c r="C109" s="151" t="s">
        <v>579</v>
      </c>
      <c r="D109" s="151"/>
      <c r="E109" s="151"/>
      <c r="F109" s="151"/>
      <c r="G109" s="151"/>
      <c r="H109" s="151"/>
      <c r="I109" s="130"/>
      <c r="J109" s="151"/>
      <c r="K109" s="130"/>
      <c r="L109" s="151"/>
      <c r="M109" s="704"/>
      <c r="N109" s="151"/>
      <c r="O109" s="151"/>
      <c r="P109" s="156">
        <v>0</v>
      </c>
      <c r="Q109" s="241">
        <f t="shared" si="4"/>
        <v>0</v>
      </c>
      <c r="R109" s="68"/>
      <c r="S109" s="156">
        <v>0</v>
      </c>
      <c r="T109" s="474">
        <v>0</v>
      </c>
      <c r="U109" s="156">
        <v>0</v>
      </c>
      <c r="V109" s="151"/>
      <c r="W109" s="156">
        <v>0</v>
      </c>
      <c r="X109" s="151"/>
      <c r="Y109" s="156">
        <v>0</v>
      </c>
      <c r="Z109" s="240">
        <f t="shared" si="5"/>
        <v>0</v>
      </c>
      <c r="AA109" s="176"/>
    </row>
    <row r="110" spans="3:27" ht="17.25" hidden="1" x14ac:dyDescent="0.3">
      <c r="C110" s="151" t="s">
        <v>580</v>
      </c>
      <c r="D110" s="151"/>
      <c r="E110" s="151"/>
      <c r="F110" s="151"/>
      <c r="G110" s="151"/>
      <c r="H110" s="151"/>
      <c r="I110" s="130"/>
      <c r="J110" s="151"/>
      <c r="K110" s="130"/>
      <c r="L110" s="151"/>
      <c r="M110" s="704"/>
      <c r="N110" s="151"/>
      <c r="O110" s="151"/>
      <c r="P110" s="156">
        <v>0</v>
      </c>
      <c r="Q110" s="241">
        <f t="shared" si="4"/>
        <v>0</v>
      </c>
      <c r="R110" s="68"/>
      <c r="S110" s="156">
        <v>0</v>
      </c>
      <c r="T110" s="474">
        <v>0</v>
      </c>
      <c r="U110" s="156">
        <v>0</v>
      </c>
      <c r="V110" s="151"/>
      <c r="W110" s="156">
        <v>0</v>
      </c>
      <c r="X110" s="151"/>
      <c r="Y110" s="156">
        <v>0</v>
      </c>
      <c r="Z110" s="240">
        <f t="shared" si="5"/>
        <v>0</v>
      </c>
      <c r="AA110" s="176"/>
    </row>
    <row r="111" spans="3:27" ht="17.25" hidden="1" x14ac:dyDescent="0.3">
      <c r="C111" s="151" t="s">
        <v>581</v>
      </c>
      <c r="D111" s="151"/>
      <c r="E111" s="151"/>
      <c r="F111" s="151"/>
      <c r="G111" s="151"/>
      <c r="H111" s="151"/>
      <c r="I111" s="130"/>
      <c r="J111" s="151"/>
      <c r="K111" s="130"/>
      <c r="L111" s="151"/>
      <c r="M111" s="704"/>
      <c r="N111" s="151"/>
      <c r="O111" s="151"/>
      <c r="P111" s="156">
        <v>0</v>
      </c>
      <c r="Q111" s="241">
        <f t="shared" si="4"/>
        <v>0</v>
      </c>
      <c r="R111" s="68"/>
      <c r="S111" s="156">
        <v>0</v>
      </c>
      <c r="T111" s="474">
        <v>0</v>
      </c>
      <c r="U111" s="156">
        <v>0</v>
      </c>
      <c r="V111" s="151"/>
      <c r="W111" s="156">
        <v>0</v>
      </c>
      <c r="X111" s="151"/>
      <c r="Y111" s="156">
        <v>0</v>
      </c>
      <c r="Z111" s="240">
        <f t="shared" si="5"/>
        <v>0</v>
      </c>
      <c r="AA111" s="176"/>
    </row>
    <row r="112" spans="3:27" ht="17.25" hidden="1" x14ac:dyDescent="0.3">
      <c r="C112" s="151" t="s">
        <v>582</v>
      </c>
      <c r="D112" s="151"/>
      <c r="E112" s="151"/>
      <c r="F112" s="151"/>
      <c r="G112" s="151"/>
      <c r="H112" s="151"/>
      <c r="I112" s="130"/>
      <c r="J112" s="151"/>
      <c r="K112" s="130"/>
      <c r="L112" s="151"/>
      <c r="M112" s="704"/>
      <c r="N112" s="151"/>
      <c r="O112" s="151"/>
      <c r="P112" s="156">
        <v>0</v>
      </c>
      <c r="Q112" s="241">
        <f t="shared" si="4"/>
        <v>0</v>
      </c>
      <c r="R112" s="68"/>
      <c r="S112" s="156">
        <v>0</v>
      </c>
      <c r="T112" s="474">
        <v>0</v>
      </c>
      <c r="U112" s="156">
        <v>0</v>
      </c>
      <c r="V112" s="151"/>
      <c r="W112" s="156">
        <v>0</v>
      </c>
      <c r="X112" s="151"/>
      <c r="Y112" s="156">
        <v>0</v>
      </c>
      <c r="Z112" s="240">
        <f t="shared" si="5"/>
        <v>0</v>
      </c>
      <c r="AA112" s="176"/>
    </row>
    <row r="113" spans="1:38" ht="17.25" hidden="1" x14ac:dyDescent="0.3">
      <c r="C113" s="151" t="s">
        <v>583</v>
      </c>
      <c r="D113" s="151"/>
      <c r="E113" s="151"/>
      <c r="F113" s="151"/>
      <c r="G113" s="151"/>
      <c r="H113" s="151"/>
      <c r="I113" s="130"/>
      <c r="J113" s="151"/>
      <c r="K113" s="130"/>
      <c r="L113" s="151"/>
      <c r="M113" s="704"/>
      <c r="N113" s="151"/>
      <c r="O113" s="151"/>
      <c r="P113" s="156">
        <v>0</v>
      </c>
      <c r="Q113" s="241">
        <f t="shared" si="4"/>
        <v>0</v>
      </c>
      <c r="R113" s="68"/>
      <c r="S113" s="156">
        <v>0</v>
      </c>
      <c r="T113" s="474">
        <v>0</v>
      </c>
      <c r="U113" s="156">
        <v>0</v>
      </c>
      <c r="V113" s="151"/>
      <c r="W113" s="156">
        <v>0</v>
      </c>
      <c r="X113" s="151"/>
      <c r="Y113" s="156">
        <v>0</v>
      </c>
      <c r="Z113" s="240">
        <f t="shared" si="5"/>
        <v>0</v>
      </c>
      <c r="AA113" s="176"/>
    </row>
    <row r="114" spans="1:38" ht="17.25" hidden="1" x14ac:dyDescent="0.3">
      <c r="C114" s="151" t="s">
        <v>584</v>
      </c>
      <c r="D114" s="151"/>
      <c r="E114" s="151"/>
      <c r="F114" s="151"/>
      <c r="G114" s="151"/>
      <c r="H114" s="151"/>
      <c r="I114" s="130"/>
      <c r="J114" s="151"/>
      <c r="K114" s="130"/>
      <c r="L114" s="151"/>
      <c r="M114" s="704"/>
      <c r="N114" s="151"/>
      <c r="O114" s="151"/>
      <c r="P114" s="156">
        <v>0</v>
      </c>
      <c r="Q114" s="241">
        <f t="shared" si="4"/>
        <v>0</v>
      </c>
      <c r="R114" s="68"/>
      <c r="S114" s="156">
        <v>0</v>
      </c>
      <c r="T114" s="474">
        <v>0</v>
      </c>
      <c r="U114" s="156">
        <v>0</v>
      </c>
      <c r="V114" s="151"/>
      <c r="W114" s="156">
        <v>0</v>
      </c>
      <c r="X114" s="151"/>
      <c r="Y114" s="156">
        <v>0</v>
      </c>
      <c r="Z114" s="240">
        <f t="shared" si="5"/>
        <v>0</v>
      </c>
      <c r="AA114" s="176"/>
    </row>
    <row r="115" spans="1:38" ht="17.25" hidden="1" x14ac:dyDescent="0.3">
      <c r="C115" s="151" t="s">
        <v>585</v>
      </c>
      <c r="D115" s="151"/>
      <c r="E115" s="151"/>
      <c r="F115" s="151"/>
      <c r="G115" s="151"/>
      <c r="H115" s="151"/>
      <c r="I115" s="130"/>
      <c r="J115" s="151"/>
      <c r="K115" s="130"/>
      <c r="L115" s="151"/>
      <c r="M115" s="704"/>
      <c r="N115" s="151"/>
      <c r="O115" s="151"/>
      <c r="P115" s="156">
        <v>0</v>
      </c>
      <c r="Q115" s="241">
        <f t="shared" si="4"/>
        <v>0</v>
      </c>
      <c r="R115" s="68"/>
      <c r="S115" s="156">
        <v>0</v>
      </c>
      <c r="T115" s="474">
        <v>0</v>
      </c>
      <c r="U115" s="156">
        <v>0</v>
      </c>
      <c r="V115" s="151"/>
      <c r="W115" s="156">
        <v>0</v>
      </c>
      <c r="X115" s="151"/>
      <c r="Y115" s="156">
        <v>0</v>
      </c>
      <c r="Z115" s="240">
        <f t="shared" si="5"/>
        <v>0</v>
      </c>
      <c r="AA115" s="176"/>
    </row>
    <row r="116" spans="1:38" ht="17.25" hidden="1" x14ac:dyDescent="0.3">
      <c r="C116" s="151" t="s">
        <v>586</v>
      </c>
      <c r="D116" s="151"/>
      <c r="E116" s="151"/>
      <c r="F116" s="151"/>
      <c r="G116" s="151"/>
      <c r="H116" s="151"/>
      <c r="I116" s="130"/>
      <c r="J116" s="151"/>
      <c r="K116" s="130"/>
      <c r="L116" s="151"/>
      <c r="M116" s="704"/>
      <c r="N116" s="151"/>
      <c r="O116" s="151"/>
      <c r="P116" s="156">
        <v>0</v>
      </c>
      <c r="Q116" s="241">
        <f t="shared" si="4"/>
        <v>0</v>
      </c>
      <c r="R116" s="68"/>
      <c r="S116" s="156">
        <v>0</v>
      </c>
      <c r="T116" s="474">
        <v>0</v>
      </c>
      <c r="U116" s="156">
        <v>0</v>
      </c>
      <c r="V116" s="151"/>
      <c r="W116" s="156">
        <v>0</v>
      </c>
      <c r="X116" s="151"/>
      <c r="Y116" s="156">
        <v>0</v>
      </c>
      <c r="Z116" s="240">
        <f t="shared" si="5"/>
        <v>0</v>
      </c>
      <c r="AA116" s="176"/>
    </row>
    <row r="117" spans="1:38" ht="17.25" hidden="1" x14ac:dyDescent="0.3">
      <c r="C117" s="151" t="s">
        <v>587</v>
      </c>
      <c r="D117" s="151"/>
      <c r="E117" s="151"/>
      <c r="F117" s="151"/>
      <c r="G117" s="151"/>
      <c r="H117" s="151"/>
      <c r="I117" s="130"/>
      <c r="J117" s="151"/>
      <c r="K117" s="130"/>
      <c r="L117" s="151"/>
      <c r="M117" s="704"/>
      <c r="N117" s="151"/>
      <c r="O117" s="151"/>
      <c r="P117" s="156">
        <v>0</v>
      </c>
      <c r="Q117" s="241">
        <f t="shared" si="4"/>
        <v>0</v>
      </c>
      <c r="R117" s="68"/>
      <c r="S117" s="156">
        <v>0</v>
      </c>
      <c r="T117" s="474">
        <v>0</v>
      </c>
      <c r="U117" s="156">
        <v>0</v>
      </c>
      <c r="V117" s="151"/>
      <c r="W117" s="156">
        <v>0</v>
      </c>
      <c r="X117" s="151"/>
      <c r="Y117" s="156">
        <v>0</v>
      </c>
      <c r="Z117" s="240">
        <f t="shared" si="5"/>
        <v>0</v>
      </c>
      <c r="AA117" s="176"/>
    </row>
    <row r="118" spans="1:38" s="48" customFormat="1" ht="49.5" x14ac:dyDescent="0.3">
      <c r="A118" s="137"/>
      <c r="B118" s="137"/>
      <c r="C118" s="482" t="s">
        <v>588</v>
      </c>
      <c r="D118" s="482" t="s">
        <v>1827</v>
      </c>
      <c r="E118" s="482" t="s">
        <v>1816</v>
      </c>
      <c r="F118" s="482">
        <v>23</v>
      </c>
      <c r="G118" s="482" t="s">
        <v>1821</v>
      </c>
      <c r="H118" s="482" t="s">
        <v>779</v>
      </c>
      <c r="I118" s="706" t="s">
        <v>1110</v>
      </c>
      <c r="J118" s="482"/>
      <c r="K118" s="706"/>
      <c r="L118" s="482"/>
      <c r="M118" s="704"/>
      <c r="N118" s="655">
        <v>46142</v>
      </c>
      <c r="O118" s="482" t="s">
        <v>1820</v>
      </c>
      <c r="P118" s="715"/>
      <c r="Q118" s="718">
        <f t="shared" si="4"/>
        <v>0</v>
      </c>
      <c r="R118" s="434"/>
      <c r="S118" s="715">
        <v>0</v>
      </c>
      <c r="T118" s="715">
        <v>0</v>
      </c>
      <c r="U118" s="715">
        <v>8500000</v>
      </c>
      <c r="V118" s="482"/>
      <c r="W118" s="715">
        <v>0</v>
      </c>
      <c r="X118" s="482"/>
      <c r="Y118" s="715">
        <v>0</v>
      </c>
      <c r="Z118" s="716">
        <f t="shared" si="5"/>
        <v>-8500000</v>
      </c>
      <c r="AA118" s="717" t="s">
        <v>1828</v>
      </c>
      <c r="AB118" s="137"/>
      <c r="AC118" s="137"/>
      <c r="AD118" s="137"/>
      <c r="AE118" s="137"/>
      <c r="AF118" s="137"/>
      <c r="AG118" s="137"/>
      <c r="AH118" s="137"/>
      <c r="AI118" s="137"/>
      <c r="AJ118" s="137"/>
      <c r="AK118" s="137"/>
      <c r="AL118" s="137"/>
    </row>
    <row r="119" spans="1:38" s="48" customFormat="1" ht="49.5" x14ac:dyDescent="0.3">
      <c r="A119" s="137"/>
      <c r="B119" s="137"/>
      <c r="C119" s="482" t="s">
        <v>589</v>
      </c>
      <c r="D119" s="482" t="s">
        <v>1823</v>
      </c>
      <c r="E119" s="482" t="s">
        <v>1817</v>
      </c>
      <c r="F119" s="482">
        <v>23</v>
      </c>
      <c r="G119" s="482" t="s">
        <v>1818</v>
      </c>
      <c r="H119" s="482" t="s">
        <v>779</v>
      </c>
      <c r="I119" s="706" t="s">
        <v>1110</v>
      </c>
      <c r="J119" s="482"/>
      <c r="K119" s="706"/>
      <c r="L119" s="482"/>
      <c r="M119" s="704"/>
      <c r="N119" s="655">
        <v>46142</v>
      </c>
      <c r="O119" s="482" t="s">
        <v>1818</v>
      </c>
      <c r="P119" s="715"/>
      <c r="Q119" s="718">
        <f t="shared" si="4"/>
        <v>0</v>
      </c>
      <c r="R119" s="434"/>
      <c r="S119" s="715">
        <v>0</v>
      </c>
      <c r="T119" s="715">
        <v>0</v>
      </c>
      <c r="U119" s="715">
        <v>11500000</v>
      </c>
      <c r="V119" s="482"/>
      <c r="W119" s="715">
        <v>0</v>
      </c>
      <c r="X119" s="482"/>
      <c r="Y119" s="715">
        <v>0</v>
      </c>
      <c r="Z119" s="716">
        <f t="shared" si="5"/>
        <v>-11500000</v>
      </c>
      <c r="AA119" s="717" t="s">
        <v>1828</v>
      </c>
      <c r="AB119" s="137"/>
      <c r="AC119" s="137"/>
      <c r="AD119" s="137"/>
      <c r="AE119" s="137"/>
      <c r="AF119" s="137"/>
      <c r="AG119" s="137"/>
      <c r="AH119" s="137"/>
      <c r="AI119" s="137"/>
      <c r="AJ119" s="137"/>
      <c r="AK119" s="137"/>
      <c r="AL119" s="137"/>
    </row>
    <row r="120" spans="1:38" s="48" customFormat="1" ht="49.5" x14ac:dyDescent="0.3">
      <c r="A120" s="137"/>
      <c r="B120" s="137"/>
      <c r="C120" s="482" t="s">
        <v>590</v>
      </c>
      <c r="D120" s="482" t="s">
        <v>1824</v>
      </c>
      <c r="E120" s="482" t="s">
        <v>1811</v>
      </c>
      <c r="F120" s="482">
        <v>3000</v>
      </c>
      <c r="G120" s="482" t="s">
        <v>1819</v>
      </c>
      <c r="H120" s="482" t="s">
        <v>779</v>
      </c>
      <c r="I120" s="706" t="s">
        <v>867</v>
      </c>
      <c r="J120" s="482"/>
      <c r="K120" s="706"/>
      <c r="L120" s="482"/>
      <c r="M120" s="704"/>
      <c r="N120" s="655">
        <v>46142</v>
      </c>
      <c r="O120" s="482" t="s">
        <v>1819</v>
      </c>
      <c r="P120" s="715"/>
      <c r="Q120" s="718">
        <f t="shared" si="4"/>
        <v>0</v>
      </c>
      <c r="R120" s="434"/>
      <c r="S120" s="715">
        <v>0</v>
      </c>
      <c r="T120" s="715">
        <v>0</v>
      </c>
      <c r="U120" s="715">
        <v>210000000</v>
      </c>
      <c r="V120" s="482"/>
      <c r="W120" s="715">
        <v>0</v>
      </c>
      <c r="X120" s="482"/>
      <c r="Y120" s="715">
        <v>0</v>
      </c>
      <c r="Z120" s="716">
        <f t="shared" si="5"/>
        <v>-210000000</v>
      </c>
      <c r="AA120" s="717" t="s">
        <v>1828</v>
      </c>
      <c r="AB120" s="137"/>
      <c r="AC120" s="137"/>
      <c r="AD120" s="137"/>
      <c r="AE120" s="137"/>
      <c r="AF120" s="137"/>
      <c r="AG120" s="137"/>
      <c r="AH120" s="137"/>
      <c r="AI120" s="137"/>
      <c r="AJ120" s="137"/>
      <c r="AK120" s="137"/>
      <c r="AL120" s="137"/>
    </row>
    <row r="121" spans="1:38" ht="115.5" x14ac:dyDescent="0.3">
      <c r="C121" s="151" t="s">
        <v>591</v>
      </c>
      <c r="D121" s="151" t="s">
        <v>1830</v>
      </c>
      <c r="E121" s="151" t="s">
        <v>1533</v>
      </c>
      <c r="F121" s="151">
        <v>1</v>
      </c>
      <c r="G121" s="151" t="s">
        <v>1534</v>
      </c>
      <c r="H121" s="151" t="s">
        <v>779</v>
      </c>
      <c r="I121" s="130" t="s">
        <v>867</v>
      </c>
      <c r="J121" s="151"/>
      <c r="K121" s="130"/>
      <c r="L121" s="151"/>
      <c r="M121" s="704"/>
      <c r="N121" s="655">
        <v>46142</v>
      </c>
      <c r="O121" s="151" t="s">
        <v>1822</v>
      </c>
      <c r="P121" s="156">
        <v>47140302.289999999</v>
      </c>
      <c r="Q121" s="241">
        <f t="shared" si="4"/>
        <v>47140302.289999999</v>
      </c>
      <c r="R121" s="68"/>
      <c r="S121" s="156">
        <v>0</v>
      </c>
      <c r="T121" s="474">
        <v>47140302.289999999</v>
      </c>
      <c r="U121" s="156">
        <v>0</v>
      </c>
      <c r="V121" s="151"/>
      <c r="W121" s="156">
        <v>0</v>
      </c>
      <c r="X121" s="151"/>
      <c r="Y121" s="156">
        <v>0</v>
      </c>
      <c r="Z121" s="240">
        <f t="shared" si="5"/>
        <v>0</v>
      </c>
      <c r="AA121" s="176" t="s">
        <v>1831</v>
      </c>
    </row>
    <row r="122" spans="1:38" ht="33" x14ac:dyDescent="0.3">
      <c r="C122" s="151" t="s">
        <v>592</v>
      </c>
      <c r="D122" s="151" t="s">
        <v>879</v>
      </c>
      <c r="E122" s="151" t="s">
        <v>880</v>
      </c>
      <c r="F122" s="151">
        <v>1200</v>
      </c>
      <c r="G122" s="151" t="s">
        <v>881</v>
      </c>
      <c r="H122" s="151">
        <v>1200</v>
      </c>
      <c r="I122" s="130" t="s">
        <v>867</v>
      </c>
      <c r="J122" s="151"/>
      <c r="K122" s="130"/>
      <c r="L122" s="151"/>
      <c r="M122" s="704"/>
      <c r="N122" s="655">
        <v>46142</v>
      </c>
      <c r="O122" s="151" t="s">
        <v>1532</v>
      </c>
      <c r="P122" s="156">
        <v>10946.466458333</v>
      </c>
      <c r="Q122" s="241">
        <f t="shared" si="4"/>
        <v>13135759.7499996</v>
      </c>
      <c r="R122" s="68"/>
      <c r="S122" s="156">
        <v>0</v>
      </c>
      <c r="T122" s="474">
        <v>13135759.75</v>
      </c>
      <c r="U122" s="156">
        <v>0</v>
      </c>
      <c r="V122" s="151"/>
      <c r="W122" s="156">
        <v>0</v>
      </c>
      <c r="X122" s="151"/>
      <c r="Y122" s="156">
        <v>0</v>
      </c>
      <c r="Z122" s="240">
        <f t="shared" si="5"/>
        <v>-4.0046870708465576E-7</v>
      </c>
      <c r="AA122" s="176"/>
    </row>
    <row r="123" spans="1:38" x14ac:dyDescent="0.25">
      <c r="C123" s="855" t="s">
        <v>133</v>
      </c>
      <c r="D123" s="856"/>
      <c r="E123" s="164"/>
      <c r="F123" s="164"/>
      <c r="G123" s="164"/>
      <c r="H123" s="164"/>
      <c r="I123" s="164"/>
      <c r="J123" s="164"/>
      <c r="K123" s="196"/>
      <c r="L123" s="164"/>
      <c r="M123" s="164"/>
      <c r="N123" s="164"/>
      <c r="O123" s="164"/>
      <c r="P123" s="155"/>
      <c r="Q123" s="241">
        <f>SUM(Q73:Q122)</f>
        <v>355464258.44999957</v>
      </c>
      <c r="R123" s="158"/>
      <c r="S123" s="214">
        <f>SUM(S73:S122)</f>
        <v>0</v>
      </c>
      <c r="T123" s="214">
        <f>SUM(T73:T122)</f>
        <v>355464258.44999999</v>
      </c>
      <c r="U123" s="214">
        <f>SUM(U73:U122)</f>
        <v>230000000</v>
      </c>
      <c r="V123" s="834">
        <f>SUM(W73:W122,Y73:Y122)</f>
        <v>0</v>
      </c>
      <c r="W123" s="835"/>
      <c r="X123" s="835"/>
      <c r="Y123" s="836"/>
      <c r="Z123" s="242">
        <f>SUM(Z73:Z122)</f>
        <v>-230000000.00000039</v>
      </c>
      <c r="AA123" s="176"/>
    </row>
    <row r="124" spans="1:38" x14ac:dyDescent="0.25">
      <c r="C124" s="178"/>
      <c r="D124" s="178"/>
      <c r="J124" s="197"/>
      <c r="P124" s="179"/>
      <c r="Q124" s="179"/>
    </row>
    <row r="125" spans="1:38" ht="16.5" customHeight="1" x14ac:dyDescent="0.25">
      <c r="C125" s="832" t="s">
        <v>35</v>
      </c>
      <c r="D125" s="832" t="s">
        <v>34</v>
      </c>
      <c r="E125" s="832" t="s">
        <v>113</v>
      </c>
      <c r="F125" s="837" t="s">
        <v>49</v>
      </c>
      <c r="G125" s="832" t="s">
        <v>96</v>
      </c>
      <c r="H125" s="832" t="s">
        <v>115</v>
      </c>
      <c r="I125" s="832" t="s">
        <v>189</v>
      </c>
      <c r="J125" s="844" t="s">
        <v>188</v>
      </c>
      <c r="K125" s="844"/>
      <c r="L125" s="844"/>
      <c r="M125" s="844"/>
      <c r="N125" s="837" t="s">
        <v>520</v>
      </c>
      <c r="O125" s="840" t="s">
        <v>131</v>
      </c>
      <c r="P125" s="837" t="s">
        <v>51</v>
      </c>
      <c r="Q125" s="832" t="s">
        <v>190</v>
      </c>
      <c r="R125" s="832" t="s">
        <v>191</v>
      </c>
      <c r="S125" s="829" t="s">
        <v>53</v>
      </c>
      <c r="T125" s="830"/>
      <c r="U125" s="830"/>
      <c r="V125" s="830"/>
      <c r="W125" s="830"/>
      <c r="X125" s="830"/>
      <c r="Y125" s="831"/>
      <c r="Z125" s="167" t="s">
        <v>59</v>
      </c>
      <c r="AA125" s="843" t="s">
        <v>107</v>
      </c>
    </row>
    <row r="126" spans="1:38" ht="16.5" customHeight="1" x14ac:dyDescent="0.25">
      <c r="C126" s="832"/>
      <c r="D126" s="832"/>
      <c r="E126" s="832"/>
      <c r="F126" s="838"/>
      <c r="G126" s="832"/>
      <c r="H126" s="832"/>
      <c r="I126" s="832"/>
      <c r="J126" s="844"/>
      <c r="K126" s="844"/>
      <c r="L126" s="844"/>
      <c r="M126" s="844"/>
      <c r="N126" s="838"/>
      <c r="O126" s="841"/>
      <c r="P126" s="838"/>
      <c r="Q126" s="832"/>
      <c r="R126" s="833"/>
      <c r="S126" s="826" t="s">
        <v>54</v>
      </c>
      <c r="T126" s="826"/>
      <c r="U126" s="826"/>
      <c r="V126" s="826" t="s">
        <v>55</v>
      </c>
      <c r="W126" s="826"/>
      <c r="X126" s="827" t="s">
        <v>58</v>
      </c>
      <c r="Y126" s="828"/>
      <c r="Z126" s="198"/>
      <c r="AA126" s="843"/>
    </row>
    <row r="127" spans="1:38" ht="49.5" x14ac:dyDescent="0.25">
      <c r="C127" s="832"/>
      <c r="D127" s="832"/>
      <c r="E127" s="832"/>
      <c r="F127" s="839"/>
      <c r="G127" s="832"/>
      <c r="H127" s="832"/>
      <c r="I127" s="832"/>
      <c r="J127" s="169" t="s">
        <v>37</v>
      </c>
      <c r="K127" s="169" t="s">
        <v>38</v>
      </c>
      <c r="L127" s="169" t="s">
        <v>39</v>
      </c>
      <c r="M127" s="169" t="s">
        <v>40</v>
      </c>
      <c r="N127" s="839"/>
      <c r="O127" s="842"/>
      <c r="P127" s="839"/>
      <c r="Q127" s="832"/>
      <c r="R127" s="832"/>
      <c r="S127" s="181" t="s">
        <v>98</v>
      </c>
      <c r="T127" s="181" t="s">
        <v>63</v>
      </c>
      <c r="U127" s="181" t="s">
        <v>282</v>
      </c>
      <c r="V127" s="181" t="s">
        <v>56</v>
      </c>
      <c r="W127" s="181" t="s">
        <v>57</v>
      </c>
      <c r="X127" s="145" t="s">
        <v>56</v>
      </c>
      <c r="Y127" s="145" t="s">
        <v>57</v>
      </c>
      <c r="Z127" s="182" t="s">
        <v>521</v>
      </c>
      <c r="AA127" s="843"/>
    </row>
    <row r="128" spans="1:38" ht="16.5" customHeight="1" x14ac:dyDescent="0.25">
      <c r="C128" s="849" t="s">
        <v>597</v>
      </c>
      <c r="D128" s="850"/>
      <c r="E128" s="850"/>
      <c r="F128" s="850"/>
      <c r="G128" s="850"/>
      <c r="H128" s="850"/>
      <c r="I128" s="850"/>
      <c r="J128" s="184"/>
      <c r="K128" s="184"/>
      <c r="L128" s="184"/>
      <c r="M128" s="184"/>
      <c r="N128" s="184"/>
      <c r="O128" s="184"/>
      <c r="P128" s="184"/>
      <c r="Q128" s="184"/>
      <c r="R128" s="184"/>
      <c r="S128" s="184"/>
      <c r="T128" s="184"/>
      <c r="U128" s="184"/>
      <c r="V128" s="184"/>
      <c r="W128" s="184"/>
      <c r="X128" s="184"/>
      <c r="Y128" s="184"/>
      <c r="Z128" s="184"/>
      <c r="AA128" s="186"/>
    </row>
    <row r="129" spans="1:27" ht="66" x14ac:dyDescent="0.3">
      <c r="C129" s="151">
        <v>1</v>
      </c>
      <c r="D129" s="473" t="s">
        <v>1555</v>
      </c>
      <c r="E129" s="473" t="s">
        <v>1181</v>
      </c>
      <c r="F129" s="473">
        <v>16</v>
      </c>
      <c r="G129" s="473" t="s">
        <v>1777</v>
      </c>
      <c r="H129" s="482" t="s">
        <v>779</v>
      </c>
      <c r="I129" s="471" t="s">
        <v>867</v>
      </c>
      <c r="J129" s="473"/>
      <c r="K129" s="471"/>
      <c r="L129" s="473"/>
      <c r="M129" s="704"/>
      <c r="N129" s="529" t="s">
        <v>1535</v>
      </c>
      <c r="O129" s="473" t="s">
        <v>1183</v>
      </c>
      <c r="P129" s="476">
        <v>3125000</v>
      </c>
      <c r="Q129" s="244">
        <f>F129*P129</f>
        <v>50000000</v>
      </c>
      <c r="R129" s="68" t="s">
        <v>734</v>
      </c>
      <c r="S129" s="191">
        <v>0</v>
      </c>
      <c r="T129" s="191">
        <v>50000000</v>
      </c>
      <c r="U129" s="191">
        <v>0</v>
      </c>
      <c r="V129" s="192"/>
      <c r="W129" s="191">
        <v>0</v>
      </c>
      <c r="X129" s="192"/>
      <c r="Y129" s="191">
        <v>0</v>
      </c>
      <c r="Z129" s="243">
        <f>Q129-(S129+T129+U129+W129+Y129)</f>
        <v>0</v>
      </c>
      <c r="AA129" s="176"/>
    </row>
    <row r="130" spans="1:27" ht="66" x14ac:dyDescent="0.3">
      <c r="C130" s="151">
        <v>2</v>
      </c>
      <c r="D130" s="711" t="s">
        <v>1785</v>
      </c>
      <c r="E130" s="531" t="s">
        <v>944</v>
      </c>
      <c r="F130" s="530">
        <v>1</v>
      </c>
      <c r="G130" s="473" t="s">
        <v>1556</v>
      </c>
      <c r="H130" s="706" t="s">
        <v>779</v>
      </c>
      <c r="I130" s="471" t="s">
        <v>867</v>
      </c>
      <c r="J130" s="473"/>
      <c r="K130" s="497"/>
      <c r="L130" s="553"/>
      <c r="M130" s="704"/>
      <c r="N130" s="656" t="s">
        <v>1535</v>
      </c>
      <c r="O130" s="473" t="s">
        <v>934</v>
      </c>
      <c r="P130" s="476">
        <v>8400000</v>
      </c>
      <c r="Q130" s="244">
        <f t="shared" ref="Q130:Q158" si="6">F130*P130</f>
        <v>8400000</v>
      </c>
      <c r="R130" s="68" t="s">
        <v>728</v>
      </c>
      <c r="S130" s="191">
        <v>0</v>
      </c>
      <c r="T130" s="191">
        <v>8400000</v>
      </c>
      <c r="U130" s="191">
        <v>0</v>
      </c>
      <c r="V130" s="176"/>
      <c r="W130" s="191">
        <v>0</v>
      </c>
      <c r="X130" s="176"/>
      <c r="Y130" s="191">
        <v>0</v>
      </c>
      <c r="Z130" s="243">
        <f>Q130-(S130+T130+U130+W130+Y130)</f>
        <v>0</v>
      </c>
      <c r="AA130" s="176" t="s">
        <v>1833</v>
      </c>
    </row>
    <row r="131" spans="1:27" ht="51.75" x14ac:dyDescent="0.3">
      <c r="C131" s="151">
        <v>3</v>
      </c>
      <c r="D131" s="515" t="s">
        <v>1553</v>
      </c>
      <c r="E131" s="473" t="s">
        <v>1184</v>
      </c>
      <c r="F131" s="473">
        <v>16</v>
      </c>
      <c r="G131" s="473" t="s">
        <v>1185</v>
      </c>
      <c r="H131" s="706" t="s">
        <v>779</v>
      </c>
      <c r="I131" s="471" t="s">
        <v>867</v>
      </c>
      <c r="J131" s="473"/>
      <c r="K131" s="471"/>
      <c r="L131" s="473"/>
      <c r="M131" s="704"/>
      <c r="N131" s="656" t="s">
        <v>1535</v>
      </c>
      <c r="O131" s="473" t="s">
        <v>1183</v>
      </c>
      <c r="P131" s="477">
        <v>625000</v>
      </c>
      <c r="Q131" s="241">
        <f t="shared" si="6"/>
        <v>10000000</v>
      </c>
      <c r="R131" s="68" t="s">
        <v>736</v>
      </c>
      <c r="S131" s="194">
        <v>0</v>
      </c>
      <c r="T131" s="194">
        <v>10000000</v>
      </c>
      <c r="U131" s="194">
        <v>0</v>
      </c>
      <c r="V131" s="195"/>
      <c r="W131" s="194">
        <v>0</v>
      </c>
      <c r="X131" s="195"/>
      <c r="Y131" s="194">
        <v>0</v>
      </c>
      <c r="Z131" s="240">
        <f>Q131-(S131+T131+U131+W131+Y131)</f>
        <v>0</v>
      </c>
      <c r="AA131" s="176"/>
    </row>
    <row r="132" spans="1:27" ht="49.5" x14ac:dyDescent="0.3">
      <c r="C132" s="151">
        <v>4</v>
      </c>
      <c r="D132" s="532" t="s">
        <v>1186</v>
      </c>
      <c r="E132" s="473" t="s">
        <v>1187</v>
      </c>
      <c r="F132" s="473">
        <v>1</v>
      </c>
      <c r="G132" s="473" t="s">
        <v>1185</v>
      </c>
      <c r="H132" s="706" t="s">
        <v>779</v>
      </c>
      <c r="I132" s="471" t="s">
        <v>867</v>
      </c>
      <c r="J132" s="473"/>
      <c r="K132" s="471"/>
      <c r="L132" s="473"/>
      <c r="M132" s="704"/>
      <c r="N132" s="656" t="s">
        <v>1535</v>
      </c>
      <c r="O132" s="473" t="s">
        <v>1183</v>
      </c>
      <c r="P132" s="474">
        <v>42655711.013999999</v>
      </c>
      <c r="Q132" s="241">
        <f t="shared" si="6"/>
        <v>42655711.013999999</v>
      </c>
      <c r="R132" s="68" t="s">
        <v>736</v>
      </c>
      <c r="S132" s="156">
        <v>0</v>
      </c>
      <c r="T132" s="156">
        <v>42655711.009999998</v>
      </c>
      <c r="U132" s="156">
        <v>0</v>
      </c>
      <c r="V132" s="151"/>
      <c r="W132" s="156">
        <v>0</v>
      </c>
      <c r="X132" s="151"/>
      <c r="Y132" s="156">
        <v>0</v>
      </c>
      <c r="Z132" s="240">
        <f>Q132-(S132+T132+U132+W132+Y132)</f>
        <v>4.0000006556510925E-3</v>
      </c>
      <c r="AA132" s="176"/>
    </row>
    <row r="133" spans="1:27" ht="66" x14ac:dyDescent="0.3">
      <c r="C133" s="151">
        <v>5</v>
      </c>
      <c r="D133" s="482" t="s">
        <v>1786</v>
      </c>
      <c r="E133" s="473" t="s">
        <v>945</v>
      </c>
      <c r="F133" s="473">
        <v>2</v>
      </c>
      <c r="G133" s="473" t="s">
        <v>1185</v>
      </c>
      <c r="H133" s="706" t="s">
        <v>779</v>
      </c>
      <c r="I133" s="471" t="s">
        <v>867</v>
      </c>
      <c r="J133" s="473"/>
      <c r="K133" s="471"/>
      <c r="L133" s="473"/>
      <c r="M133" s="704"/>
      <c r="N133" s="656" t="s">
        <v>1535</v>
      </c>
      <c r="O133" s="529" t="s">
        <v>1536</v>
      </c>
      <c r="P133" s="474">
        <v>3564996.1834769999</v>
      </c>
      <c r="Q133" s="241">
        <f t="shared" si="6"/>
        <v>7129992.3669539997</v>
      </c>
      <c r="R133" s="68" t="s">
        <v>736</v>
      </c>
      <c r="S133" s="156">
        <v>0</v>
      </c>
      <c r="T133" s="156">
        <v>7129992.3700000001</v>
      </c>
      <c r="U133" s="156">
        <v>0</v>
      </c>
      <c r="V133" s="151"/>
      <c r="W133" s="156">
        <v>0</v>
      </c>
      <c r="X133" s="151"/>
      <c r="Y133" s="156">
        <v>0</v>
      </c>
      <c r="Z133" s="240">
        <f>Q133-(S133+T133+U133+W133+Y133)</f>
        <v>-3.0460003763437271E-3</v>
      </c>
      <c r="AA133" s="176" t="s">
        <v>1833</v>
      </c>
    </row>
    <row r="134" spans="1:27" ht="17.25" hidden="1" x14ac:dyDescent="0.3">
      <c r="A134" s="133" t="s">
        <v>313</v>
      </c>
      <c r="C134" s="151">
        <v>6</v>
      </c>
      <c r="D134" s="151"/>
      <c r="E134" s="151"/>
      <c r="F134" s="151"/>
      <c r="G134" s="151"/>
      <c r="H134" s="482"/>
      <c r="I134" s="130"/>
      <c r="J134" s="151"/>
      <c r="K134" s="130"/>
      <c r="L134" s="151"/>
      <c r="M134" s="704"/>
      <c r="N134" s="151"/>
      <c r="O134" s="151"/>
      <c r="P134" s="156">
        <v>0</v>
      </c>
      <c r="Q134" s="241">
        <f t="shared" si="6"/>
        <v>0</v>
      </c>
      <c r="R134" s="68"/>
      <c r="S134" s="156">
        <v>0</v>
      </c>
      <c r="T134" s="156">
        <v>0</v>
      </c>
      <c r="U134" s="156">
        <v>0</v>
      </c>
      <c r="V134" s="151"/>
      <c r="W134" s="156">
        <v>0</v>
      </c>
      <c r="X134" s="151"/>
      <c r="Y134" s="156">
        <v>0</v>
      </c>
      <c r="Z134" s="240">
        <f t="shared" ref="Z134:Z158" si="7">Q134-(S134+T134+U134+W134+Y134)</f>
        <v>0</v>
      </c>
      <c r="AA134" s="176"/>
    </row>
    <row r="135" spans="1:27" ht="17.25" hidden="1" x14ac:dyDescent="0.3">
      <c r="C135" s="151">
        <v>7</v>
      </c>
      <c r="D135" s="151"/>
      <c r="E135" s="151"/>
      <c r="F135" s="151"/>
      <c r="G135" s="151"/>
      <c r="H135" s="482"/>
      <c r="I135" s="130"/>
      <c r="J135" s="151"/>
      <c r="K135" s="130"/>
      <c r="L135" s="151"/>
      <c r="M135" s="704"/>
      <c r="N135" s="151"/>
      <c r="O135" s="151"/>
      <c r="P135" s="156">
        <v>0</v>
      </c>
      <c r="Q135" s="241">
        <f t="shared" si="6"/>
        <v>0</v>
      </c>
      <c r="R135" s="68"/>
      <c r="S135" s="156">
        <v>0</v>
      </c>
      <c r="T135" s="156">
        <v>0</v>
      </c>
      <c r="U135" s="156">
        <v>0</v>
      </c>
      <c r="V135" s="151"/>
      <c r="W135" s="156">
        <v>0</v>
      </c>
      <c r="X135" s="151"/>
      <c r="Y135" s="156">
        <v>0</v>
      </c>
      <c r="Z135" s="240">
        <f t="shared" si="7"/>
        <v>0</v>
      </c>
      <c r="AA135" s="176"/>
    </row>
    <row r="136" spans="1:27" ht="17.25" hidden="1" x14ac:dyDescent="0.3">
      <c r="C136" s="151">
        <v>8</v>
      </c>
      <c r="D136" s="151"/>
      <c r="E136" s="151"/>
      <c r="F136" s="151"/>
      <c r="G136" s="151"/>
      <c r="H136" s="482"/>
      <c r="I136" s="130"/>
      <c r="J136" s="151"/>
      <c r="K136" s="130"/>
      <c r="L136" s="151"/>
      <c r="M136" s="704"/>
      <c r="N136" s="151"/>
      <c r="O136" s="151"/>
      <c r="P136" s="156">
        <v>0</v>
      </c>
      <c r="Q136" s="241">
        <f t="shared" si="6"/>
        <v>0</v>
      </c>
      <c r="R136" s="68"/>
      <c r="S136" s="156">
        <v>0</v>
      </c>
      <c r="T136" s="156">
        <v>0</v>
      </c>
      <c r="U136" s="156">
        <v>0</v>
      </c>
      <c r="V136" s="151"/>
      <c r="W136" s="156">
        <v>0</v>
      </c>
      <c r="X136" s="151"/>
      <c r="Y136" s="156">
        <v>0</v>
      </c>
      <c r="Z136" s="240">
        <f t="shared" si="7"/>
        <v>0</v>
      </c>
      <c r="AA136" s="176"/>
    </row>
    <row r="137" spans="1:27" ht="17.25" hidden="1" x14ac:dyDescent="0.3">
      <c r="C137" s="151">
        <v>9</v>
      </c>
      <c r="D137" s="151"/>
      <c r="E137" s="151"/>
      <c r="F137" s="151"/>
      <c r="G137" s="151"/>
      <c r="H137" s="482"/>
      <c r="I137" s="130"/>
      <c r="J137" s="151"/>
      <c r="K137" s="130"/>
      <c r="L137" s="151"/>
      <c r="M137" s="704"/>
      <c r="N137" s="151"/>
      <c r="O137" s="151"/>
      <c r="P137" s="156">
        <v>0</v>
      </c>
      <c r="Q137" s="241">
        <f t="shared" si="6"/>
        <v>0</v>
      </c>
      <c r="R137" s="68"/>
      <c r="S137" s="156">
        <v>0</v>
      </c>
      <c r="T137" s="156">
        <v>0</v>
      </c>
      <c r="U137" s="156">
        <v>0</v>
      </c>
      <c r="V137" s="151"/>
      <c r="W137" s="156">
        <v>0</v>
      </c>
      <c r="X137" s="151"/>
      <c r="Y137" s="156">
        <v>0</v>
      </c>
      <c r="Z137" s="240">
        <f t="shared" si="7"/>
        <v>0</v>
      </c>
      <c r="AA137" s="176"/>
    </row>
    <row r="138" spans="1:27" ht="17.25" hidden="1" x14ac:dyDescent="0.3">
      <c r="C138" s="151">
        <v>10</v>
      </c>
      <c r="D138" s="151"/>
      <c r="E138" s="151"/>
      <c r="F138" s="151"/>
      <c r="G138" s="151"/>
      <c r="H138" s="482"/>
      <c r="I138" s="130"/>
      <c r="J138" s="151"/>
      <c r="K138" s="130"/>
      <c r="L138" s="151"/>
      <c r="M138" s="704"/>
      <c r="N138" s="151"/>
      <c r="O138" s="151"/>
      <c r="P138" s="156">
        <v>0</v>
      </c>
      <c r="Q138" s="241">
        <f t="shared" si="6"/>
        <v>0</v>
      </c>
      <c r="R138" s="68"/>
      <c r="S138" s="156">
        <v>0</v>
      </c>
      <c r="T138" s="156">
        <v>0</v>
      </c>
      <c r="U138" s="156">
        <v>0</v>
      </c>
      <c r="V138" s="151"/>
      <c r="W138" s="156">
        <v>0</v>
      </c>
      <c r="X138" s="151"/>
      <c r="Y138" s="156">
        <v>0</v>
      </c>
      <c r="Z138" s="240">
        <f t="shared" si="7"/>
        <v>0</v>
      </c>
      <c r="AA138" s="176"/>
    </row>
    <row r="139" spans="1:27" ht="17.25" hidden="1" x14ac:dyDescent="0.3">
      <c r="C139" s="151">
        <v>11</v>
      </c>
      <c r="D139" s="151"/>
      <c r="E139" s="151"/>
      <c r="F139" s="151"/>
      <c r="G139" s="151"/>
      <c r="H139" s="482"/>
      <c r="I139" s="130"/>
      <c r="J139" s="151"/>
      <c r="K139" s="130"/>
      <c r="L139" s="151"/>
      <c r="M139" s="704"/>
      <c r="N139" s="151"/>
      <c r="O139" s="151"/>
      <c r="P139" s="156">
        <v>0</v>
      </c>
      <c r="Q139" s="241">
        <f t="shared" si="6"/>
        <v>0</v>
      </c>
      <c r="R139" s="68"/>
      <c r="S139" s="156">
        <v>0</v>
      </c>
      <c r="T139" s="156">
        <v>0</v>
      </c>
      <c r="U139" s="156">
        <v>0</v>
      </c>
      <c r="V139" s="151"/>
      <c r="W139" s="156">
        <v>0</v>
      </c>
      <c r="X139" s="151"/>
      <c r="Y139" s="156">
        <v>0</v>
      </c>
      <c r="Z139" s="240">
        <f t="shared" si="7"/>
        <v>0</v>
      </c>
      <c r="AA139" s="176"/>
    </row>
    <row r="140" spans="1:27" ht="17.25" hidden="1" x14ac:dyDescent="0.3">
      <c r="C140" s="151">
        <v>12</v>
      </c>
      <c r="D140" s="151"/>
      <c r="E140" s="151"/>
      <c r="F140" s="151"/>
      <c r="G140" s="151"/>
      <c r="H140" s="482"/>
      <c r="I140" s="130"/>
      <c r="J140" s="151"/>
      <c r="K140" s="130"/>
      <c r="L140" s="151"/>
      <c r="M140" s="704"/>
      <c r="N140" s="151"/>
      <c r="O140" s="151"/>
      <c r="P140" s="156">
        <v>0</v>
      </c>
      <c r="Q140" s="241">
        <f t="shared" si="6"/>
        <v>0</v>
      </c>
      <c r="R140" s="68"/>
      <c r="S140" s="156">
        <v>0</v>
      </c>
      <c r="T140" s="156">
        <v>0</v>
      </c>
      <c r="U140" s="156">
        <v>0</v>
      </c>
      <c r="V140" s="151"/>
      <c r="W140" s="156">
        <v>0</v>
      </c>
      <c r="X140" s="151"/>
      <c r="Y140" s="156">
        <v>0</v>
      </c>
      <c r="Z140" s="240">
        <f t="shared" si="7"/>
        <v>0</v>
      </c>
      <c r="AA140" s="176"/>
    </row>
    <row r="141" spans="1:27" ht="17.25" hidden="1" x14ac:dyDescent="0.3">
      <c r="C141" s="151">
        <v>13</v>
      </c>
      <c r="D141" s="151"/>
      <c r="E141" s="151"/>
      <c r="F141" s="151"/>
      <c r="G141" s="151"/>
      <c r="H141" s="482"/>
      <c r="I141" s="130"/>
      <c r="J141" s="151"/>
      <c r="K141" s="130"/>
      <c r="L141" s="151"/>
      <c r="M141" s="704"/>
      <c r="N141" s="151"/>
      <c r="O141" s="151"/>
      <c r="P141" s="156">
        <v>0</v>
      </c>
      <c r="Q141" s="241">
        <f t="shared" si="6"/>
        <v>0</v>
      </c>
      <c r="R141" s="68"/>
      <c r="S141" s="156">
        <v>0</v>
      </c>
      <c r="T141" s="156">
        <v>0</v>
      </c>
      <c r="U141" s="156">
        <v>0</v>
      </c>
      <c r="V141" s="151"/>
      <c r="W141" s="156">
        <v>0</v>
      </c>
      <c r="X141" s="151"/>
      <c r="Y141" s="156">
        <v>0</v>
      </c>
      <c r="Z141" s="240">
        <f t="shared" si="7"/>
        <v>0</v>
      </c>
      <c r="AA141" s="176"/>
    </row>
    <row r="142" spans="1:27" ht="17.25" hidden="1" x14ac:dyDescent="0.3">
      <c r="C142" s="151">
        <v>14</v>
      </c>
      <c r="D142" s="151"/>
      <c r="E142" s="151"/>
      <c r="F142" s="151"/>
      <c r="G142" s="151"/>
      <c r="H142" s="482"/>
      <c r="I142" s="130"/>
      <c r="J142" s="151"/>
      <c r="K142" s="130"/>
      <c r="L142" s="151"/>
      <c r="M142" s="704"/>
      <c r="N142" s="151"/>
      <c r="O142" s="151"/>
      <c r="P142" s="156">
        <v>0</v>
      </c>
      <c r="Q142" s="241">
        <f t="shared" si="6"/>
        <v>0</v>
      </c>
      <c r="R142" s="68"/>
      <c r="S142" s="156">
        <v>0</v>
      </c>
      <c r="T142" s="156">
        <v>0</v>
      </c>
      <c r="U142" s="156">
        <v>0</v>
      </c>
      <c r="V142" s="151"/>
      <c r="W142" s="156">
        <v>0</v>
      </c>
      <c r="X142" s="151"/>
      <c r="Y142" s="156">
        <v>0</v>
      </c>
      <c r="Z142" s="240">
        <f t="shared" si="7"/>
        <v>0</v>
      </c>
      <c r="AA142" s="176"/>
    </row>
    <row r="143" spans="1:27" ht="17.25" hidden="1" x14ac:dyDescent="0.3">
      <c r="C143" s="151">
        <v>15</v>
      </c>
      <c r="D143" s="151"/>
      <c r="E143" s="151"/>
      <c r="F143" s="151"/>
      <c r="G143" s="151"/>
      <c r="H143" s="482"/>
      <c r="I143" s="130"/>
      <c r="J143" s="151"/>
      <c r="K143" s="130"/>
      <c r="L143" s="151"/>
      <c r="M143" s="704"/>
      <c r="N143" s="151"/>
      <c r="O143" s="151"/>
      <c r="P143" s="156">
        <v>0</v>
      </c>
      <c r="Q143" s="241">
        <f t="shared" si="6"/>
        <v>0</v>
      </c>
      <c r="R143" s="68"/>
      <c r="S143" s="156">
        <v>0</v>
      </c>
      <c r="T143" s="156">
        <v>0</v>
      </c>
      <c r="U143" s="156">
        <v>0</v>
      </c>
      <c r="V143" s="151"/>
      <c r="W143" s="156">
        <v>0</v>
      </c>
      <c r="X143" s="151"/>
      <c r="Y143" s="156">
        <v>0</v>
      </c>
      <c r="Z143" s="240">
        <f t="shared" si="7"/>
        <v>0</v>
      </c>
      <c r="AA143" s="176"/>
    </row>
    <row r="144" spans="1:27" ht="17.25" hidden="1" x14ac:dyDescent="0.3">
      <c r="C144" s="151">
        <v>16</v>
      </c>
      <c r="D144" s="151"/>
      <c r="E144" s="151"/>
      <c r="F144" s="151"/>
      <c r="G144" s="151"/>
      <c r="H144" s="482"/>
      <c r="I144" s="130"/>
      <c r="J144" s="151"/>
      <c r="K144" s="130"/>
      <c r="L144" s="151"/>
      <c r="M144" s="704"/>
      <c r="N144" s="151"/>
      <c r="O144" s="151"/>
      <c r="P144" s="156">
        <v>0</v>
      </c>
      <c r="Q144" s="241">
        <f t="shared" si="6"/>
        <v>0</v>
      </c>
      <c r="R144" s="68"/>
      <c r="S144" s="156">
        <v>0</v>
      </c>
      <c r="T144" s="156">
        <v>0</v>
      </c>
      <c r="U144" s="156">
        <v>0</v>
      </c>
      <c r="V144" s="151"/>
      <c r="W144" s="156">
        <v>0</v>
      </c>
      <c r="X144" s="151"/>
      <c r="Y144" s="156">
        <v>0</v>
      </c>
      <c r="Z144" s="240">
        <f t="shared" si="7"/>
        <v>0</v>
      </c>
      <c r="AA144" s="176"/>
    </row>
    <row r="145" spans="3:27" ht="17.25" hidden="1" x14ac:dyDescent="0.3">
      <c r="C145" s="151">
        <v>17</v>
      </c>
      <c r="D145" s="151"/>
      <c r="E145" s="151"/>
      <c r="F145" s="151"/>
      <c r="G145" s="151"/>
      <c r="H145" s="482"/>
      <c r="I145" s="130"/>
      <c r="J145" s="151"/>
      <c r="K145" s="130"/>
      <c r="L145" s="151"/>
      <c r="M145" s="704"/>
      <c r="N145" s="151"/>
      <c r="O145" s="151"/>
      <c r="P145" s="156">
        <v>0</v>
      </c>
      <c r="Q145" s="241">
        <f t="shared" si="6"/>
        <v>0</v>
      </c>
      <c r="R145" s="68"/>
      <c r="S145" s="156">
        <v>0</v>
      </c>
      <c r="T145" s="156">
        <v>0</v>
      </c>
      <c r="U145" s="156">
        <v>0</v>
      </c>
      <c r="V145" s="151"/>
      <c r="W145" s="156">
        <v>0</v>
      </c>
      <c r="X145" s="151"/>
      <c r="Y145" s="156">
        <v>0</v>
      </c>
      <c r="Z145" s="240">
        <f t="shared" si="7"/>
        <v>0</v>
      </c>
      <c r="AA145" s="176"/>
    </row>
    <row r="146" spans="3:27" ht="17.25" hidden="1" x14ac:dyDescent="0.3">
      <c r="C146" s="151">
        <v>18</v>
      </c>
      <c r="D146" s="151"/>
      <c r="E146" s="151"/>
      <c r="F146" s="151"/>
      <c r="G146" s="151"/>
      <c r="H146" s="482"/>
      <c r="I146" s="130"/>
      <c r="J146" s="151"/>
      <c r="K146" s="130"/>
      <c r="L146" s="151"/>
      <c r="M146" s="704"/>
      <c r="N146" s="151"/>
      <c r="O146" s="151"/>
      <c r="P146" s="156">
        <v>0</v>
      </c>
      <c r="Q146" s="241">
        <f t="shared" si="6"/>
        <v>0</v>
      </c>
      <c r="R146" s="68"/>
      <c r="S146" s="156">
        <v>0</v>
      </c>
      <c r="T146" s="156">
        <v>0</v>
      </c>
      <c r="U146" s="156">
        <v>0</v>
      </c>
      <c r="V146" s="151"/>
      <c r="W146" s="156">
        <v>0</v>
      </c>
      <c r="X146" s="151"/>
      <c r="Y146" s="156">
        <v>0</v>
      </c>
      <c r="Z146" s="240">
        <f t="shared" si="7"/>
        <v>0</v>
      </c>
      <c r="AA146" s="176"/>
    </row>
    <row r="147" spans="3:27" ht="17.25" hidden="1" x14ac:dyDescent="0.3">
      <c r="C147" s="151">
        <v>19</v>
      </c>
      <c r="D147" s="151"/>
      <c r="E147" s="151"/>
      <c r="F147" s="151"/>
      <c r="G147" s="151"/>
      <c r="H147" s="482"/>
      <c r="I147" s="130"/>
      <c r="J147" s="151"/>
      <c r="K147" s="130"/>
      <c r="L147" s="151"/>
      <c r="M147" s="704"/>
      <c r="N147" s="151"/>
      <c r="O147" s="151"/>
      <c r="P147" s="156">
        <v>0</v>
      </c>
      <c r="Q147" s="241">
        <f t="shared" si="6"/>
        <v>0</v>
      </c>
      <c r="R147" s="68"/>
      <c r="S147" s="156">
        <v>0</v>
      </c>
      <c r="T147" s="156">
        <v>0</v>
      </c>
      <c r="U147" s="156">
        <v>0</v>
      </c>
      <c r="V147" s="151"/>
      <c r="W147" s="156">
        <v>0</v>
      </c>
      <c r="X147" s="151"/>
      <c r="Y147" s="156">
        <v>0</v>
      </c>
      <c r="Z147" s="240">
        <f t="shared" si="7"/>
        <v>0</v>
      </c>
      <c r="AA147" s="176"/>
    </row>
    <row r="148" spans="3:27" ht="17.25" hidden="1" x14ac:dyDescent="0.3">
      <c r="C148" s="151">
        <v>20</v>
      </c>
      <c r="D148" s="151"/>
      <c r="E148" s="151"/>
      <c r="F148" s="151"/>
      <c r="G148" s="151"/>
      <c r="H148" s="482"/>
      <c r="I148" s="130"/>
      <c r="J148" s="151"/>
      <c r="K148" s="130"/>
      <c r="L148" s="151"/>
      <c r="M148" s="704"/>
      <c r="N148" s="151"/>
      <c r="O148" s="151"/>
      <c r="P148" s="156">
        <v>0</v>
      </c>
      <c r="Q148" s="241">
        <f t="shared" si="6"/>
        <v>0</v>
      </c>
      <c r="R148" s="68"/>
      <c r="S148" s="156">
        <v>0</v>
      </c>
      <c r="T148" s="156">
        <v>0</v>
      </c>
      <c r="U148" s="156">
        <v>0</v>
      </c>
      <c r="V148" s="151"/>
      <c r="W148" s="156">
        <v>0</v>
      </c>
      <c r="X148" s="151"/>
      <c r="Y148" s="156">
        <v>0</v>
      </c>
      <c r="Z148" s="240">
        <f t="shared" si="7"/>
        <v>0</v>
      </c>
      <c r="AA148" s="176"/>
    </row>
    <row r="149" spans="3:27" ht="17.25" hidden="1" x14ac:dyDescent="0.3">
      <c r="C149" s="151">
        <v>21</v>
      </c>
      <c r="D149" s="151"/>
      <c r="E149" s="151"/>
      <c r="F149" s="151"/>
      <c r="G149" s="151"/>
      <c r="H149" s="482"/>
      <c r="I149" s="130"/>
      <c r="J149" s="151"/>
      <c r="K149" s="130"/>
      <c r="L149" s="151"/>
      <c r="M149" s="704"/>
      <c r="N149" s="151"/>
      <c r="O149" s="151"/>
      <c r="P149" s="156">
        <v>0</v>
      </c>
      <c r="Q149" s="241">
        <f t="shared" si="6"/>
        <v>0</v>
      </c>
      <c r="R149" s="68"/>
      <c r="S149" s="156">
        <v>0</v>
      </c>
      <c r="T149" s="156">
        <v>0</v>
      </c>
      <c r="U149" s="156">
        <v>0</v>
      </c>
      <c r="V149" s="151"/>
      <c r="W149" s="156">
        <v>0</v>
      </c>
      <c r="X149" s="151"/>
      <c r="Y149" s="156">
        <v>0</v>
      </c>
      <c r="Z149" s="240">
        <f t="shared" si="7"/>
        <v>0</v>
      </c>
      <c r="AA149" s="176"/>
    </row>
    <row r="150" spans="3:27" ht="17.25" hidden="1" x14ac:dyDescent="0.3">
      <c r="C150" s="151">
        <v>22</v>
      </c>
      <c r="D150" s="151"/>
      <c r="E150" s="151"/>
      <c r="F150" s="151"/>
      <c r="G150" s="151"/>
      <c r="H150" s="482"/>
      <c r="I150" s="130"/>
      <c r="J150" s="151"/>
      <c r="K150" s="130"/>
      <c r="L150" s="151"/>
      <c r="M150" s="704"/>
      <c r="N150" s="151"/>
      <c r="O150" s="151"/>
      <c r="P150" s="156">
        <v>0</v>
      </c>
      <c r="Q150" s="241">
        <f t="shared" si="6"/>
        <v>0</v>
      </c>
      <c r="R150" s="68"/>
      <c r="S150" s="156">
        <v>0</v>
      </c>
      <c r="T150" s="156">
        <v>0</v>
      </c>
      <c r="U150" s="156">
        <v>0</v>
      </c>
      <c r="V150" s="151"/>
      <c r="W150" s="156">
        <v>0</v>
      </c>
      <c r="X150" s="151"/>
      <c r="Y150" s="156">
        <v>0</v>
      </c>
      <c r="Z150" s="240">
        <f t="shared" si="7"/>
        <v>0</v>
      </c>
      <c r="AA150" s="176"/>
    </row>
    <row r="151" spans="3:27" ht="17.25" hidden="1" x14ac:dyDescent="0.3">
      <c r="C151" s="151">
        <v>23</v>
      </c>
      <c r="D151" s="151"/>
      <c r="E151" s="151"/>
      <c r="F151" s="151"/>
      <c r="G151" s="151"/>
      <c r="H151" s="482"/>
      <c r="I151" s="130"/>
      <c r="J151" s="151"/>
      <c r="K151" s="130"/>
      <c r="L151" s="151"/>
      <c r="M151" s="704"/>
      <c r="N151" s="151"/>
      <c r="O151" s="151"/>
      <c r="P151" s="156">
        <v>0</v>
      </c>
      <c r="Q151" s="241">
        <f t="shared" si="6"/>
        <v>0</v>
      </c>
      <c r="R151" s="68"/>
      <c r="S151" s="156">
        <v>0</v>
      </c>
      <c r="T151" s="156">
        <v>0</v>
      </c>
      <c r="U151" s="156">
        <v>0</v>
      </c>
      <c r="V151" s="151"/>
      <c r="W151" s="156">
        <v>0</v>
      </c>
      <c r="X151" s="151"/>
      <c r="Y151" s="156">
        <v>0</v>
      </c>
      <c r="Z151" s="240">
        <f t="shared" si="7"/>
        <v>0</v>
      </c>
      <c r="AA151" s="176"/>
    </row>
    <row r="152" spans="3:27" ht="17.25" hidden="1" x14ac:dyDescent="0.3">
      <c r="C152" s="151">
        <v>24</v>
      </c>
      <c r="D152" s="151"/>
      <c r="E152" s="151"/>
      <c r="F152" s="151"/>
      <c r="G152" s="151"/>
      <c r="H152" s="482"/>
      <c r="I152" s="130"/>
      <c r="J152" s="151"/>
      <c r="K152" s="130"/>
      <c r="L152" s="151"/>
      <c r="M152" s="704"/>
      <c r="N152" s="151"/>
      <c r="O152" s="151"/>
      <c r="P152" s="156">
        <v>0</v>
      </c>
      <c r="Q152" s="241">
        <f t="shared" si="6"/>
        <v>0</v>
      </c>
      <c r="R152" s="68"/>
      <c r="S152" s="156">
        <v>0</v>
      </c>
      <c r="T152" s="156">
        <v>0</v>
      </c>
      <c r="U152" s="156">
        <v>0</v>
      </c>
      <c r="V152" s="151"/>
      <c r="W152" s="156">
        <v>0</v>
      </c>
      <c r="X152" s="151"/>
      <c r="Y152" s="156">
        <v>0</v>
      </c>
      <c r="Z152" s="240">
        <f t="shared" si="7"/>
        <v>0</v>
      </c>
      <c r="AA152" s="176"/>
    </row>
    <row r="153" spans="3:27" ht="17.25" hidden="1" x14ac:dyDescent="0.3">
      <c r="C153" s="151">
        <v>25</v>
      </c>
      <c r="D153" s="151"/>
      <c r="E153" s="151"/>
      <c r="F153" s="151"/>
      <c r="G153" s="151"/>
      <c r="H153" s="482"/>
      <c r="I153" s="130"/>
      <c r="J153" s="151"/>
      <c r="K153" s="130"/>
      <c r="L153" s="151"/>
      <c r="M153" s="704"/>
      <c r="N153" s="151"/>
      <c r="O153" s="151"/>
      <c r="P153" s="156">
        <v>0</v>
      </c>
      <c r="Q153" s="241">
        <f t="shared" si="6"/>
        <v>0</v>
      </c>
      <c r="R153" s="68"/>
      <c r="S153" s="156">
        <v>0</v>
      </c>
      <c r="T153" s="156">
        <v>0</v>
      </c>
      <c r="U153" s="156">
        <v>0</v>
      </c>
      <c r="V153" s="151"/>
      <c r="W153" s="156">
        <v>0</v>
      </c>
      <c r="X153" s="151"/>
      <c r="Y153" s="156">
        <v>0</v>
      </c>
      <c r="Z153" s="240">
        <f t="shared" si="7"/>
        <v>0</v>
      </c>
      <c r="AA153" s="176"/>
    </row>
    <row r="154" spans="3:27" ht="17.25" hidden="1" x14ac:dyDescent="0.3">
      <c r="C154" s="151">
        <v>26</v>
      </c>
      <c r="D154" s="151"/>
      <c r="E154" s="151"/>
      <c r="F154" s="151"/>
      <c r="G154" s="151"/>
      <c r="H154" s="482"/>
      <c r="I154" s="130"/>
      <c r="J154" s="151"/>
      <c r="K154" s="130"/>
      <c r="L154" s="151"/>
      <c r="M154" s="704"/>
      <c r="N154" s="151"/>
      <c r="O154" s="151"/>
      <c r="P154" s="156">
        <v>0</v>
      </c>
      <c r="Q154" s="241">
        <f t="shared" si="6"/>
        <v>0</v>
      </c>
      <c r="R154" s="68"/>
      <c r="S154" s="156">
        <v>0</v>
      </c>
      <c r="T154" s="156">
        <v>0</v>
      </c>
      <c r="U154" s="156">
        <v>0</v>
      </c>
      <c r="V154" s="151"/>
      <c r="W154" s="156">
        <v>0</v>
      </c>
      <c r="X154" s="151"/>
      <c r="Y154" s="156">
        <v>0</v>
      </c>
      <c r="Z154" s="240">
        <f t="shared" si="7"/>
        <v>0</v>
      </c>
      <c r="AA154" s="176"/>
    </row>
    <row r="155" spans="3:27" ht="17.25" hidden="1" x14ac:dyDescent="0.3">
      <c r="C155" s="151">
        <v>27</v>
      </c>
      <c r="D155" s="151"/>
      <c r="E155" s="151"/>
      <c r="F155" s="151"/>
      <c r="G155" s="151"/>
      <c r="H155" s="482"/>
      <c r="I155" s="130"/>
      <c r="J155" s="151"/>
      <c r="K155" s="130"/>
      <c r="L155" s="151"/>
      <c r="M155" s="704"/>
      <c r="N155" s="151"/>
      <c r="O155" s="151"/>
      <c r="P155" s="156">
        <v>0</v>
      </c>
      <c r="Q155" s="241">
        <f t="shared" si="6"/>
        <v>0</v>
      </c>
      <c r="R155" s="68"/>
      <c r="S155" s="156">
        <v>0</v>
      </c>
      <c r="T155" s="156">
        <v>0</v>
      </c>
      <c r="U155" s="156">
        <v>0</v>
      </c>
      <c r="V155" s="151"/>
      <c r="W155" s="156">
        <v>0</v>
      </c>
      <c r="X155" s="151"/>
      <c r="Y155" s="156">
        <v>0</v>
      </c>
      <c r="Z155" s="240">
        <f t="shared" si="7"/>
        <v>0</v>
      </c>
      <c r="AA155" s="176"/>
    </row>
    <row r="156" spans="3:27" ht="17.25" hidden="1" x14ac:dyDescent="0.3">
      <c r="C156" s="151">
        <v>28</v>
      </c>
      <c r="D156" s="151"/>
      <c r="E156" s="151"/>
      <c r="F156" s="151"/>
      <c r="G156" s="151"/>
      <c r="H156" s="482"/>
      <c r="I156" s="130"/>
      <c r="J156" s="151"/>
      <c r="K156" s="130"/>
      <c r="L156" s="151"/>
      <c r="M156" s="704"/>
      <c r="N156" s="151"/>
      <c r="O156" s="151"/>
      <c r="P156" s="156">
        <v>0</v>
      </c>
      <c r="Q156" s="241">
        <f t="shared" si="6"/>
        <v>0</v>
      </c>
      <c r="R156" s="68"/>
      <c r="S156" s="156">
        <v>0</v>
      </c>
      <c r="T156" s="156">
        <v>0</v>
      </c>
      <c r="U156" s="156">
        <v>0</v>
      </c>
      <c r="V156" s="151"/>
      <c r="W156" s="156">
        <v>0</v>
      </c>
      <c r="X156" s="151"/>
      <c r="Y156" s="156">
        <v>0</v>
      </c>
      <c r="Z156" s="240">
        <f t="shared" si="7"/>
        <v>0</v>
      </c>
      <c r="AA156" s="176"/>
    </row>
    <row r="157" spans="3:27" ht="17.25" hidden="1" x14ac:dyDescent="0.3">
      <c r="C157" s="151">
        <v>29</v>
      </c>
      <c r="D157" s="151"/>
      <c r="E157" s="151"/>
      <c r="F157" s="151"/>
      <c r="G157" s="151"/>
      <c r="H157" s="482"/>
      <c r="I157" s="130"/>
      <c r="J157" s="151"/>
      <c r="K157" s="130"/>
      <c r="L157" s="151"/>
      <c r="M157" s="704"/>
      <c r="N157" s="151"/>
      <c r="O157" s="151"/>
      <c r="P157" s="156">
        <v>0</v>
      </c>
      <c r="Q157" s="241">
        <f t="shared" si="6"/>
        <v>0</v>
      </c>
      <c r="R157" s="68"/>
      <c r="S157" s="156">
        <v>0</v>
      </c>
      <c r="T157" s="156">
        <v>0</v>
      </c>
      <c r="U157" s="156">
        <v>0</v>
      </c>
      <c r="V157" s="151"/>
      <c r="W157" s="156">
        <v>0</v>
      </c>
      <c r="X157" s="151"/>
      <c r="Y157" s="156">
        <v>0</v>
      </c>
      <c r="Z157" s="240">
        <f t="shared" si="7"/>
        <v>0</v>
      </c>
      <c r="AA157" s="176"/>
    </row>
    <row r="158" spans="3:27" ht="32.25" customHeight="1" x14ac:dyDescent="0.3">
      <c r="C158" s="199">
        <v>6</v>
      </c>
      <c r="D158" s="649" t="s">
        <v>1554</v>
      </c>
      <c r="E158" s="199"/>
      <c r="F158" s="199">
        <v>16</v>
      </c>
      <c r="G158" s="199"/>
      <c r="H158" s="707" t="s">
        <v>779</v>
      </c>
      <c r="I158" s="130" t="s">
        <v>867</v>
      </c>
      <c r="J158" s="199"/>
      <c r="K158" s="200"/>
      <c r="L158" s="199"/>
      <c r="M158" s="705"/>
      <c r="N158" s="199"/>
      <c r="O158" s="199"/>
      <c r="P158" s="201">
        <v>1500000</v>
      </c>
      <c r="Q158" s="241">
        <f t="shared" si="6"/>
        <v>24000000</v>
      </c>
      <c r="R158" s="68" t="s">
        <v>736</v>
      </c>
      <c r="S158" s="156">
        <v>0</v>
      </c>
      <c r="T158" s="156">
        <v>24000000</v>
      </c>
      <c r="U158" s="156">
        <v>0</v>
      </c>
      <c r="V158" s="151"/>
      <c r="W158" s="156">
        <v>0</v>
      </c>
      <c r="X158" s="151"/>
      <c r="Y158" s="156">
        <v>0</v>
      </c>
      <c r="Z158" s="240">
        <f t="shared" si="7"/>
        <v>0</v>
      </c>
      <c r="AA158" s="176"/>
    </row>
    <row r="159" spans="3:27" x14ac:dyDescent="0.25">
      <c r="C159" s="860" t="s">
        <v>133</v>
      </c>
      <c r="D159" s="860"/>
      <c r="E159" s="202"/>
      <c r="F159" s="202"/>
      <c r="G159" s="202"/>
      <c r="H159" s="202"/>
      <c r="I159" s="202"/>
      <c r="J159" s="202"/>
      <c r="K159" s="202"/>
      <c r="L159" s="202"/>
      <c r="M159" s="202"/>
      <c r="N159" s="202"/>
      <c r="O159" s="202"/>
      <c r="P159" s="203"/>
      <c r="Q159" s="245">
        <f>SUM(Q129:Q158)</f>
        <v>142185703.380954</v>
      </c>
      <c r="R159" s="158"/>
      <c r="S159" s="214">
        <f>SUM(S129:S158)</f>
        <v>0</v>
      </c>
      <c r="T159" s="214">
        <f>SUM(T129:T158)</f>
        <v>142185703.38</v>
      </c>
      <c r="U159" s="214">
        <f>SUM(U129:U158)</f>
        <v>0</v>
      </c>
      <c r="V159" s="834">
        <f>SUM(W129:W158,Y129:Y158)</f>
        <v>0</v>
      </c>
      <c r="W159" s="835"/>
      <c r="X159" s="835"/>
      <c r="Y159" s="836"/>
      <c r="Z159" s="242">
        <f>SUM(Z129:Z158)</f>
        <v>9.5400027930736542E-4</v>
      </c>
      <c r="AA159" s="176"/>
    </row>
    <row r="160" spans="3:27" x14ac:dyDescent="0.25">
      <c r="C160" s="178"/>
      <c r="D160" s="178"/>
      <c r="P160" s="179"/>
      <c r="Q160" s="179"/>
      <c r="Z160" s="179"/>
    </row>
    <row r="161" spans="3:27" hidden="1" x14ac:dyDescent="0.25">
      <c r="C161" s="178"/>
      <c r="D161" s="178"/>
      <c r="P161" s="179"/>
      <c r="Q161" s="179"/>
      <c r="Z161" s="179"/>
    </row>
    <row r="162" spans="3:27" ht="18.600000000000001" hidden="1" customHeight="1" x14ac:dyDescent="0.25">
      <c r="C162" s="178"/>
      <c r="D162" s="178"/>
      <c r="O162" s="179"/>
      <c r="P162" s="179"/>
      <c r="Y162" s="179"/>
    </row>
    <row r="163" spans="3:27" ht="18.600000000000001" hidden="1" customHeight="1" x14ac:dyDescent="0.25">
      <c r="C163" s="832" t="s">
        <v>35</v>
      </c>
      <c r="D163" s="832" t="s">
        <v>34</v>
      </c>
      <c r="E163" s="832" t="s">
        <v>113</v>
      </c>
      <c r="F163" s="844" t="s">
        <v>49</v>
      </c>
      <c r="G163" s="832" t="s">
        <v>96</v>
      </c>
      <c r="H163" s="832" t="s">
        <v>115</v>
      </c>
      <c r="I163" s="832" t="s">
        <v>189</v>
      </c>
      <c r="J163" s="844" t="s">
        <v>188</v>
      </c>
      <c r="K163" s="844"/>
      <c r="L163" s="844"/>
      <c r="M163" s="844"/>
      <c r="N163" s="837" t="s">
        <v>520</v>
      </c>
      <c r="O163" s="840" t="s">
        <v>131</v>
      </c>
      <c r="P163" s="837" t="s">
        <v>51</v>
      </c>
      <c r="Q163" s="832" t="s">
        <v>41</v>
      </c>
      <c r="R163" s="832" t="s">
        <v>191</v>
      </c>
      <c r="S163" s="880" t="s">
        <v>53</v>
      </c>
      <c r="T163" s="881"/>
      <c r="U163" s="881"/>
      <c r="V163" s="881"/>
      <c r="W163" s="881"/>
      <c r="X163" s="881"/>
      <c r="Y163" s="882"/>
      <c r="Z163" s="167" t="s">
        <v>59</v>
      </c>
      <c r="AA163" s="876" t="s">
        <v>107</v>
      </c>
    </row>
    <row r="164" spans="3:27" ht="18.600000000000001" hidden="1" customHeight="1" x14ac:dyDescent="0.25">
      <c r="C164" s="832"/>
      <c r="D164" s="832"/>
      <c r="E164" s="832"/>
      <c r="F164" s="844"/>
      <c r="G164" s="832"/>
      <c r="H164" s="832"/>
      <c r="I164" s="832"/>
      <c r="J164" s="844"/>
      <c r="K164" s="844"/>
      <c r="L164" s="844"/>
      <c r="M164" s="844"/>
      <c r="N164" s="838"/>
      <c r="O164" s="841"/>
      <c r="P164" s="838"/>
      <c r="Q164" s="832"/>
      <c r="R164" s="832"/>
      <c r="S164" s="863" t="s">
        <v>54</v>
      </c>
      <c r="T164" s="864"/>
      <c r="U164" s="828"/>
      <c r="V164" s="863" t="s">
        <v>55</v>
      </c>
      <c r="W164" s="828"/>
      <c r="X164" s="863" t="s">
        <v>58</v>
      </c>
      <c r="Y164" s="828"/>
      <c r="Z164" s="198"/>
      <c r="AA164" s="877"/>
    </row>
    <row r="165" spans="3:27" ht="47.45" hidden="1" customHeight="1" x14ac:dyDescent="0.25">
      <c r="C165" s="832"/>
      <c r="D165" s="832"/>
      <c r="E165" s="832"/>
      <c r="F165" s="844"/>
      <c r="G165" s="832"/>
      <c r="H165" s="832"/>
      <c r="I165" s="832"/>
      <c r="J165" s="169" t="s">
        <v>37</v>
      </c>
      <c r="K165" s="169" t="s">
        <v>38</v>
      </c>
      <c r="L165" s="169" t="s">
        <v>39</v>
      </c>
      <c r="M165" s="169" t="s">
        <v>40</v>
      </c>
      <c r="N165" s="839"/>
      <c r="O165" s="842"/>
      <c r="P165" s="839"/>
      <c r="Q165" s="832"/>
      <c r="R165" s="832"/>
      <c r="S165" s="145" t="s">
        <v>98</v>
      </c>
      <c r="T165" s="145" t="s">
        <v>63</v>
      </c>
      <c r="U165" s="181" t="s">
        <v>282</v>
      </c>
      <c r="V165" s="145" t="s">
        <v>56</v>
      </c>
      <c r="W165" s="145" t="s">
        <v>57</v>
      </c>
      <c r="X165" s="145" t="s">
        <v>56</v>
      </c>
      <c r="Y165" s="145" t="s">
        <v>57</v>
      </c>
      <c r="Z165" s="182" t="s">
        <v>521</v>
      </c>
      <c r="AA165" s="878"/>
    </row>
    <row r="166" spans="3:27" ht="18.600000000000001" hidden="1" customHeight="1" x14ac:dyDescent="0.25">
      <c r="C166" s="861" t="s">
        <v>141</v>
      </c>
      <c r="D166" s="862"/>
      <c r="E166" s="862"/>
      <c r="F166" s="862"/>
      <c r="G166" s="862"/>
      <c r="H166" s="862"/>
      <c r="I166" s="862"/>
      <c r="J166" s="862"/>
      <c r="K166" s="862"/>
      <c r="L166" s="862"/>
      <c r="M166" s="862"/>
      <c r="N166" s="205"/>
      <c r="O166" s="205"/>
      <c r="P166" s="205"/>
      <c r="Q166" s="205"/>
      <c r="R166" s="205"/>
      <c r="S166" s="184"/>
      <c r="T166" s="184"/>
      <c r="U166" s="184"/>
      <c r="V166" s="184"/>
      <c r="W166" s="184"/>
      <c r="X166" s="184"/>
      <c r="Y166" s="184"/>
      <c r="Z166" s="184"/>
      <c r="AA166" s="206"/>
    </row>
    <row r="167" spans="3:27" ht="49.5" hidden="1" x14ac:dyDescent="0.3">
      <c r="C167" s="151">
        <v>1</v>
      </c>
      <c r="D167" s="189" t="s">
        <v>531</v>
      </c>
      <c r="E167" s="151"/>
      <c r="F167" s="151"/>
      <c r="G167" s="151"/>
      <c r="H167" s="151"/>
      <c r="I167" s="130"/>
      <c r="J167" s="151"/>
      <c r="K167" s="130"/>
      <c r="L167" s="151"/>
      <c r="M167" s="151"/>
      <c r="N167" s="151"/>
      <c r="O167" s="151"/>
      <c r="P167" s="191">
        <v>0</v>
      </c>
      <c r="Q167" s="244">
        <f>F167*P167</f>
        <v>0</v>
      </c>
      <c r="R167" s="68"/>
      <c r="S167" s="191">
        <v>0</v>
      </c>
      <c r="T167" s="191">
        <v>0</v>
      </c>
      <c r="U167" s="191">
        <v>0</v>
      </c>
      <c r="V167" s="192"/>
      <c r="W167" s="191">
        <v>0</v>
      </c>
      <c r="X167" s="192"/>
      <c r="Y167" s="191">
        <v>0</v>
      </c>
      <c r="Z167" s="243">
        <f>Q167-(S167+T167+U167+W167+Y167)</f>
        <v>0</v>
      </c>
      <c r="AA167" s="151"/>
    </row>
    <row r="168" spans="3:27" ht="18.600000000000001" hidden="1" customHeight="1" x14ac:dyDescent="0.3">
      <c r="C168" s="151">
        <v>2</v>
      </c>
      <c r="D168" s="151"/>
      <c r="E168" s="151"/>
      <c r="F168" s="151"/>
      <c r="G168" s="151"/>
      <c r="H168" s="151"/>
      <c r="I168" s="130"/>
      <c r="J168" s="151"/>
      <c r="K168" s="130"/>
      <c r="L168" s="151"/>
      <c r="M168" s="151"/>
      <c r="N168" s="151"/>
      <c r="O168" s="151"/>
      <c r="P168" s="191">
        <v>0</v>
      </c>
      <c r="Q168" s="244">
        <f t="shared" ref="Q168:Q196" si="8">F168*P168</f>
        <v>0</v>
      </c>
      <c r="R168" s="68"/>
      <c r="S168" s="191">
        <v>0</v>
      </c>
      <c r="T168" s="191">
        <v>0</v>
      </c>
      <c r="U168" s="191">
        <v>0</v>
      </c>
      <c r="V168" s="176"/>
      <c r="W168" s="191">
        <v>0</v>
      </c>
      <c r="X168" s="176"/>
      <c r="Y168" s="191">
        <v>0</v>
      </c>
      <c r="Z168" s="243">
        <f>Q168-(S168+T168+U168+W168+Y168)</f>
        <v>0</v>
      </c>
      <c r="AA168" s="151"/>
    </row>
    <row r="169" spans="3:27" ht="18.600000000000001" hidden="1" customHeight="1" x14ac:dyDescent="0.3">
      <c r="C169" s="151">
        <v>3</v>
      </c>
      <c r="D169" s="151"/>
      <c r="E169" s="151"/>
      <c r="F169" s="151"/>
      <c r="G169" s="151"/>
      <c r="H169" s="151"/>
      <c r="I169" s="130"/>
      <c r="J169" s="151"/>
      <c r="K169" s="130"/>
      <c r="L169" s="151"/>
      <c r="M169" s="151"/>
      <c r="N169" s="151"/>
      <c r="O169" s="151"/>
      <c r="P169" s="194">
        <v>0</v>
      </c>
      <c r="Q169" s="241">
        <f t="shared" si="8"/>
        <v>0</v>
      </c>
      <c r="R169" s="68"/>
      <c r="S169" s="194">
        <v>0</v>
      </c>
      <c r="T169" s="194">
        <v>0</v>
      </c>
      <c r="U169" s="194">
        <v>0</v>
      </c>
      <c r="V169" s="195"/>
      <c r="W169" s="194">
        <v>0</v>
      </c>
      <c r="X169" s="195"/>
      <c r="Y169" s="194">
        <v>0</v>
      </c>
      <c r="Z169" s="240">
        <f>Q169-(S169+T169+U169+W169+Y169)</f>
        <v>0</v>
      </c>
      <c r="AA169" s="151"/>
    </row>
    <row r="170" spans="3:27" ht="18.600000000000001" hidden="1" customHeight="1" x14ac:dyDescent="0.3">
      <c r="C170" s="151">
        <v>4</v>
      </c>
      <c r="D170" s="151"/>
      <c r="E170" s="151"/>
      <c r="F170" s="151"/>
      <c r="G170" s="151"/>
      <c r="H170" s="151"/>
      <c r="I170" s="130"/>
      <c r="J170" s="151"/>
      <c r="K170" s="130"/>
      <c r="L170" s="151"/>
      <c r="M170" s="151"/>
      <c r="N170" s="151"/>
      <c r="O170" s="151"/>
      <c r="P170" s="156">
        <v>0</v>
      </c>
      <c r="Q170" s="241">
        <f t="shared" si="8"/>
        <v>0</v>
      </c>
      <c r="R170" s="68"/>
      <c r="S170" s="156">
        <v>0</v>
      </c>
      <c r="T170" s="156">
        <v>0</v>
      </c>
      <c r="U170" s="156">
        <v>0</v>
      </c>
      <c r="V170" s="151"/>
      <c r="W170" s="156">
        <v>0</v>
      </c>
      <c r="X170" s="151"/>
      <c r="Y170" s="156">
        <v>0</v>
      </c>
      <c r="Z170" s="240">
        <f>Q170-(S170+T170+U170+W170+Y170)</f>
        <v>0</v>
      </c>
      <c r="AA170" s="151"/>
    </row>
    <row r="171" spans="3:27" ht="18.600000000000001" hidden="1" customHeight="1" x14ac:dyDescent="0.3">
      <c r="C171" s="151">
        <v>5</v>
      </c>
      <c r="D171" s="151"/>
      <c r="E171" s="151"/>
      <c r="F171" s="151"/>
      <c r="G171" s="151"/>
      <c r="H171" s="151"/>
      <c r="I171" s="130"/>
      <c r="J171" s="151"/>
      <c r="K171" s="130"/>
      <c r="L171" s="151"/>
      <c r="M171" s="151"/>
      <c r="N171" s="151"/>
      <c r="O171" s="151"/>
      <c r="P171" s="156">
        <v>0</v>
      </c>
      <c r="Q171" s="241">
        <f t="shared" si="8"/>
        <v>0</v>
      </c>
      <c r="R171" s="68"/>
      <c r="S171" s="156">
        <v>0</v>
      </c>
      <c r="T171" s="156">
        <v>0</v>
      </c>
      <c r="U171" s="156">
        <v>0</v>
      </c>
      <c r="V171" s="151"/>
      <c r="W171" s="156">
        <v>0</v>
      </c>
      <c r="X171" s="151"/>
      <c r="Y171" s="156">
        <v>0</v>
      </c>
      <c r="Z171" s="240">
        <f>Q171-(S171+T171+U171+W171+Y171)</f>
        <v>0</v>
      </c>
      <c r="AA171" s="151"/>
    </row>
    <row r="172" spans="3:27" ht="18.600000000000001" hidden="1" customHeight="1" x14ac:dyDescent="0.3">
      <c r="C172" s="151">
        <v>6</v>
      </c>
      <c r="D172" s="151"/>
      <c r="E172" s="151"/>
      <c r="F172" s="151"/>
      <c r="G172" s="151"/>
      <c r="H172" s="151"/>
      <c r="I172" s="130"/>
      <c r="J172" s="151"/>
      <c r="K172" s="130"/>
      <c r="L172" s="151"/>
      <c r="M172" s="151"/>
      <c r="N172" s="151"/>
      <c r="O172" s="151"/>
      <c r="P172" s="156">
        <v>0</v>
      </c>
      <c r="Q172" s="241">
        <f t="shared" si="8"/>
        <v>0</v>
      </c>
      <c r="R172" s="68"/>
      <c r="S172" s="156">
        <v>0</v>
      </c>
      <c r="T172" s="156">
        <v>0</v>
      </c>
      <c r="U172" s="156">
        <v>0</v>
      </c>
      <c r="V172" s="151"/>
      <c r="W172" s="156">
        <v>0</v>
      </c>
      <c r="X172" s="151"/>
      <c r="Y172" s="156">
        <v>0</v>
      </c>
      <c r="Z172" s="240">
        <f t="shared" ref="Z172:Z196" si="9">Q172-(S172+T172+U172+W172+Y172)</f>
        <v>0</v>
      </c>
      <c r="AA172" s="151"/>
    </row>
    <row r="173" spans="3:27" ht="18.600000000000001" hidden="1" customHeight="1" x14ac:dyDescent="0.3">
      <c r="C173" s="151">
        <v>7</v>
      </c>
      <c r="D173" s="151"/>
      <c r="E173" s="151"/>
      <c r="F173" s="151"/>
      <c r="G173" s="151"/>
      <c r="H173" s="151"/>
      <c r="I173" s="130"/>
      <c r="J173" s="151"/>
      <c r="K173" s="130"/>
      <c r="L173" s="151"/>
      <c r="M173" s="151"/>
      <c r="N173" s="151"/>
      <c r="O173" s="151"/>
      <c r="P173" s="156">
        <v>0</v>
      </c>
      <c r="Q173" s="241">
        <f t="shared" si="8"/>
        <v>0</v>
      </c>
      <c r="R173" s="68"/>
      <c r="S173" s="156">
        <v>0</v>
      </c>
      <c r="T173" s="156">
        <v>0</v>
      </c>
      <c r="U173" s="156">
        <v>0</v>
      </c>
      <c r="V173" s="151"/>
      <c r="W173" s="156">
        <v>0</v>
      </c>
      <c r="X173" s="151"/>
      <c r="Y173" s="156">
        <v>0</v>
      </c>
      <c r="Z173" s="240">
        <f t="shared" si="9"/>
        <v>0</v>
      </c>
      <c r="AA173" s="151"/>
    </row>
    <row r="174" spans="3:27" ht="18.600000000000001" hidden="1" customHeight="1" x14ac:dyDescent="0.3">
      <c r="C174" s="151">
        <v>8</v>
      </c>
      <c r="D174" s="151"/>
      <c r="E174" s="151"/>
      <c r="F174" s="151"/>
      <c r="G174" s="151"/>
      <c r="H174" s="151"/>
      <c r="I174" s="130"/>
      <c r="J174" s="151"/>
      <c r="K174" s="130"/>
      <c r="L174" s="151"/>
      <c r="M174" s="151"/>
      <c r="N174" s="151"/>
      <c r="O174" s="151"/>
      <c r="P174" s="156">
        <v>0</v>
      </c>
      <c r="Q174" s="241">
        <f t="shared" si="8"/>
        <v>0</v>
      </c>
      <c r="R174" s="68"/>
      <c r="S174" s="156">
        <v>0</v>
      </c>
      <c r="T174" s="156">
        <v>0</v>
      </c>
      <c r="U174" s="156">
        <v>0</v>
      </c>
      <c r="V174" s="151"/>
      <c r="W174" s="156">
        <v>0</v>
      </c>
      <c r="X174" s="151"/>
      <c r="Y174" s="156">
        <v>0</v>
      </c>
      <c r="Z174" s="240">
        <f t="shared" si="9"/>
        <v>0</v>
      </c>
      <c r="AA174" s="151"/>
    </row>
    <row r="175" spans="3:27" ht="18.600000000000001" hidden="1" customHeight="1" x14ac:dyDescent="0.3">
      <c r="C175" s="151">
        <v>9</v>
      </c>
      <c r="D175" s="151"/>
      <c r="E175" s="151"/>
      <c r="F175" s="151"/>
      <c r="G175" s="151"/>
      <c r="H175" s="151"/>
      <c r="I175" s="130"/>
      <c r="J175" s="151"/>
      <c r="K175" s="130"/>
      <c r="L175" s="151"/>
      <c r="M175" s="151"/>
      <c r="N175" s="151"/>
      <c r="O175" s="151"/>
      <c r="P175" s="156">
        <v>0</v>
      </c>
      <c r="Q175" s="241">
        <f t="shared" si="8"/>
        <v>0</v>
      </c>
      <c r="R175" s="68"/>
      <c r="S175" s="156">
        <v>0</v>
      </c>
      <c r="T175" s="156">
        <v>0</v>
      </c>
      <c r="U175" s="156">
        <v>0</v>
      </c>
      <c r="V175" s="151"/>
      <c r="W175" s="156">
        <v>0</v>
      </c>
      <c r="X175" s="151"/>
      <c r="Y175" s="156">
        <v>0</v>
      </c>
      <c r="Z175" s="240">
        <f t="shared" si="9"/>
        <v>0</v>
      </c>
      <c r="AA175" s="151"/>
    </row>
    <row r="176" spans="3:27" ht="18.600000000000001" hidden="1" customHeight="1" x14ac:dyDescent="0.3">
      <c r="C176" s="151">
        <v>10</v>
      </c>
      <c r="D176" s="151"/>
      <c r="E176" s="151"/>
      <c r="F176" s="151"/>
      <c r="G176" s="151"/>
      <c r="H176" s="151"/>
      <c r="I176" s="130"/>
      <c r="J176" s="151"/>
      <c r="K176" s="130"/>
      <c r="L176" s="151"/>
      <c r="M176" s="151"/>
      <c r="N176" s="151"/>
      <c r="O176" s="151"/>
      <c r="P176" s="156">
        <v>0</v>
      </c>
      <c r="Q176" s="241">
        <f t="shared" si="8"/>
        <v>0</v>
      </c>
      <c r="R176" s="68"/>
      <c r="S176" s="156">
        <v>0</v>
      </c>
      <c r="T176" s="156">
        <v>0</v>
      </c>
      <c r="U176" s="156">
        <v>0</v>
      </c>
      <c r="V176" s="151"/>
      <c r="W176" s="156">
        <v>0</v>
      </c>
      <c r="X176" s="151"/>
      <c r="Y176" s="156">
        <v>0</v>
      </c>
      <c r="Z176" s="240">
        <f t="shared" si="9"/>
        <v>0</v>
      </c>
      <c r="AA176" s="151"/>
    </row>
    <row r="177" spans="3:27" ht="18.600000000000001" hidden="1" customHeight="1" x14ac:dyDescent="0.3">
      <c r="C177" s="151">
        <v>11</v>
      </c>
      <c r="D177" s="151"/>
      <c r="E177" s="151"/>
      <c r="F177" s="151"/>
      <c r="G177" s="151"/>
      <c r="H177" s="151"/>
      <c r="I177" s="130"/>
      <c r="J177" s="151"/>
      <c r="K177" s="130"/>
      <c r="L177" s="151"/>
      <c r="M177" s="151"/>
      <c r="N177" s="151"/>
      <c r="O177" s="151"/>
      <c r="P177" s="156">
        <v>0</v>
      </c>
      <c r="Q177" s="241">
        <f t="shared" si="8"/>
        <v>0</v>
      </c>
      <c r="R177" s="68"/>
      <c r="S177" s="156">
        <v>0</v>
      </c>
      <c r="T177" s="156">
        <v>0</v>
      </c>
      <c r="U177" s="156">
        <v>0</v>
      </c>
      <c r="V177" s="151"/>
      <c r="W177" s="156">
        <v>0</v>
      </c>
      <c r="X177" s="151"/>
      <c r="Y177" s="156">
        <v>0</v>
      </c>
      <c r="Z177" s="240">
        <f t="shared" si="9"/>
        <v>0</v>
      </c>
      <c r="AA177" s="151"/>
    </row>
    <row r="178" spans="3:27" ht="18.600000000000001" hidden="1" customHeight="1" x14ac:dyDescent="0.3">
      <c r="C178" s="151">
        <v>12</v>
      </c>
      <c r="D178" s="151"/>
      <c r="E178" s="151"/>
      <c r="F178" s="151"/>
      <c r="G178" s="151"/>
      <c r="H178" s="151"/>
      <c r="I178" s="130"/>
      <c r="J178" s="151"/>
      <c r="K178" s="130"/>
      <c r="L178" s="151"/>
      <c r="M178" s="151"/>
      <c r="N178" s="151"/>
      <c r="O178" s="151"/>
      <c r="P178" s="156">
        <v>0</v>
      </c>
      <c r="Q178" s="241">
        <f t="shared" si="8"/>
        <v>0</v>
      </c>
      <c r="R178" s="68"/>
      <c r="S178" s="156">
        <v>0</v>
      </c>
      <c r="T178" s="156">
        <v>0</v>
      </c>
      <c r="U178" s="156">
        <v>0</v>
      </c>
      <c r="V178" s="151"/>
      <c r="W178" s="156">
        <v>0</v>
      </c>
      <c r="X178" s="151"/>
      <c r="Y178" s="156">
        <v>0</v>
      </c>
      <c r="Z178" s="240">
        <f t="shared" si="9"/>
        <v>0</v>
      </c>
      <c r="AA178" s="151"/>
    </row>
    <row r="179" spans="3:27" ht="18.600000000000001" hidden="1" customHeight="1" x14ac:dyDescent="0.3">
      <c r="C179" s="151">
        <v>13</v>
      </c>
      <c r="D179" s="151"/>
      <c r="E179" s="151"/>
      <c r="F179" s="151"/>
      <c r="G179" s="151"/>
      <c r="H179" s="151"/>
      <c r="I179" s="130"/>
      <c r="J179" s="151"/>
      <c r="K179" s="130"/>
      <c r="L179" s="151"/>
      <c r="M179" s="151"/>
      <c r="N179" s="151"/>
      <c r="O179" s="151"/>
      <c r="P179" s="156">
        <v>0</v>
      </c>
      <c r="Q179" s="241">
        <f t="shared" si="8"/>
        <v>0</v>
      </c>
      <c r="R179" s="68"/>
      <c r="S179" s="156">
        <v>0</v>
      </c>
      <c r="T179" s="156">
        <v>0</v>
      </c>
      <c r="U179" s="156">
        <v>0</v>
      </c>
      <c r="V179" s="151"/>
      <c r="W179" s="156">
        <v>0</v>
      </c>
      <c r="X179" s="151"/>
      <c r="Y179" s="156">
        <v>0</v>
      </c>
      <c r="Z179" s="240">
        <f t="shared" si="9"/>
        <v>0</v>
      </c>
      <c r="AA179" s="151"/>
    </row>
    <row r="180" spans="3:27" ht="26.1" hidden="1" customHeight="1" x14ac:dyDescent="0.3">
      <c r="C180" s="151">
        <v>14</v>
      </c>
      <c r="D180" s="151"/>
      <c r="E180" s="151"/>
      <c r="F180" s="151"/>
      <c r="G180" s="151"/>
      <c r="H180" s="151"/>
      <c r="I180" s="130"/>
      <c r="J180" s="151"/>
      <c r="K180" s="130"/>
      <c r="L180" s="151"/>
      <c r="M180" s="151"/>
      <c r="N180" s="151"/>
      <c r="O180" s="151"/>
      <c r="P180" s="156">
        <v>0</v>
      </c>
      <c r="Q180" s="241">
        <f t="shared" si="8"/>
        <v>0</v>
      </c>
      <c r="R180" s="68"/>
      <c r="S180" s="156">
        <v>0</v>
      </c>
      <c r="T180" s="156">
        <v>0</v>
      </c>
      <c r="U180" s="156">
        <v>0</v>
      </c>
      <c r="V180" s="151"/>
      <c r="W180" s="156">
        <v>0</v>
      </c>
      <c r="X180" s="151"/>
      <c r="Y180" s="156">
        <v>0</v>
      </c>
      <c r="Z180" s="240">
        <f t="shared" si="9"/>
        <v>0</v>
      </c>
      <c r="AA180" s="151"/>
    </row>
    <row r="181" spans="3:27" ht="26.1" hidden="1" customHeight="1" x14ac:dyDescent="0.3">
      <c r="C181" s="151">
        <v>15</v>
      </c>
      <c r="D181" s="151"/>
      <c r="E181" s="151"/>
      <c r="F181" s="151"/>
      <c r="G181" s="151"/>
      <c r="H181" s="151"/>
      <c r="I181" s="130"/>
      <c r="J181" s="151"/>
      <c r="K181" s="130"/>
      <c r="L181" s="151"/>
      <c r="M181" s="151"/>
      <c r="N181" s="151"/>
      <c r="O181" s="151"/>
      <c r="P181" s="156">
        <v>0</v>
      </c>
      <c r="Q181" s="241">
        <f t="shared" si="8"/>
        <v>0</v>
      </c>
      <c r="R181" s="68"/>
      <c r="S181" s="156">
        <v>0</v>
      </c>
      <c r="T181" s="156">
        <v>0</v>
      </c>
      <c r="U181" s="156">
        <v>0</v>
      </c>
      <c r="V181" s="151"/>
      <c r="W181" s="156">
        <v>0</v>
      </c>
      <c r="X181" s="151"/>
      <c r="Y181" s="156">
        <v>0</v>
      </c>
      <c r="Z181" s="240">
        <f t="shared" si="9"/>
        <v>0</v>
      </c>
      <c r="AA181" s="151"/>
    </row>
    <row r="182" spans="3:27" ht="26.1" hidden="1" customHeight="1" x14ac:dyDescent="0.3">
      <c r="C182" s="151">
        <v>16</v>
      </c>
      <c r="D182" s="151"/>
      <c r="E182" s="151"/>
      <c r="F182" s="151"/>
      <c r="G182" s="151"/>
      <c r="H182" s="151"/>
      <c r="I182" s="130"/>
      <c r="J182" s="151"/>
      <c r="K182" s="130"/>
      <c r="L182" s="151"/>
      <c r="M182" s="151"/>
      <c r="N182" s="151"/>
      <c r="O182" s="151"/>
      <c r="P182" s="156">
        <v>0</v>
      </c>
      <c r="Q182" s="241">
        <f t="shared" si="8"/>
        <v>0</v>
      </c>
      <c r="R182" s="68"/>
      <c r="S182" s="156">
        <v>0</v>
      </c>
      <c r="T182" s="156">
        <v>0</v>
      </c>
      <c r="U182" s="156">
        <v>0</v>
      </c>
      <c r="V182" s="151"/>
      <c r="W182" s="156">
        <v>0</v>
      </c>
      <c r="X182" s="151"/>
      <c r="Y182" s="156">
        <v>0</v>
      </c>
      <c r="Z182" s="240">
        <f t="shared" si="9"/>
        <v>0</v>
      </c>
      <c r="AA182" s="151"/>
    </row>
    <row r="183" spans="3:27" ht="26.1" hidden="1" customHeight="1" x14ac:dyDescent="0.3">
      <c r="C183" s="151">
        <v>17</v>
      </c>
      <c r="D183" s="151"/>
      <c r="E183" s="151"/>
      <c r="F183" s="151"/>
      <c r="G183" s="151"/>
      <c r="H183" s="151"/>
      <c r="I183" s="130"/>
      <c r="J183" s="151"/>
      <c r="K183" s="130"/>
      <c r="L183" s="151"/>
      <c r="M183" s="151"/>
      <c r="N183" s="151"/>
      <c r="O183" s="151"/>
      <c r="P183" s="156">
        <v>0</v>
      </c>
      <c r="Q183" s="241">
        <f t="shared" si="8"/>
        <v>0</v>
      </c>
      <c r="R183" s="68"/>
      <c r="S183" s="156">
        <v>0</v>
      </c>
      <c r="T183" s="156">
        <v>0</v>
      </c>
      <c r="U183" s="156">
        <v>0</v>
      </c>
      <c r="V183" s="151"/>
      <c r="W183" s="156">
        <v>0</v>
      </c>
      <c r="X183" s="151"/>
      <c r="Y183" s="156">
        <v>0</v>
      </c>
      <c r="Z183" s="240">
        <f t="shared" si="9"/>
        <v>0</v>
      </c>
      <c r="AA183" s="151"/>
    </row>
    <row r="184" spans="3:27" ht="26.1" hidden="1" customHeight="1" x14ac:dyDescent="0.3">
      <c r="C184" s="151">
        <v>18</v>
      </c>
      <c r="D184" s="151"/>
      <c r="E184" s="151"/>
      <c r="F184" s="151"/>
      <c r="G184" s="151"/>
      <c r="H184" s="151"/>
      <c r="I184" s="130"/>
      <c r="J184" s="151"/>
      <c r="K184" s="130"/>
      <c r="L184" s="151"/>
      <c r="M184" s="151"/>
      <c r="N184" s="151"/>
      <c r="O184" s="151"/>
      <c r="P184" s="156">
        <v>0</v>
      </c>
      <c r="Q184" s="241">
        <f t="shared" si="8"/>
        <v>0</v>
      </c>
      <c r="R184" s="68"/>
      <c r="S184" s="156">
        <v>0</v>
      </c>
      <c r="T184" s="156">
        <v>0</v>
      </c>
      <c r="U184" s="156">
        <v>0</v>
      </c>
      <c r="V184" s="151"/>
      <c r="W184" s="156">
        <v>0</v>
      </c>
      <c r="X184" s="151"/>
      <c r="Y184" s="156">
        <v>0</v>
      </c>
      <c r="Z184" s="240">
        <f t="shared" si="9"/>
        <v>0</v>
      </c>
      <c r="AA184" s="151"/>
    </row>
    <row r="185" spans="3:27" ht="26.1" hidden="1" customHeight="1" x14ac:dyDescent="0.3">
      <c r="C185" s="151">
        <v>19</v>
      </c>
      <c r="D185" s="151"/>
      <c r="E185" s="151"/>
      <c r="F185" s="151"/>
      <c r="G185" s="151"/>
      <c r="H185" s="151"/>
      <c r="I185" s="130"/>
      <c r="J185" s="151"/>
      <c r="K185" s="130"/>
      <c r="L185" s="151"/>
      <c r="M185" s="151"/>
      <c r="N185" s="151"/>
      <c r="O185" s="151"/>
      <c r="P185" s="156">
        <v>0</v>
      </c>
      <c r="Q185" s="241">
        <f t="shared" si="8"/>
        <v>0</v>
      </c>
      <c r="R185" s="68"/>
      <c r="S185" s="156">
        <v>0</v>
      </c>
      <c r="T185" s="156">
        <v>0</v>
      </c>
      <c r="U185" s="156">
        <v>0</v>
      </c>
      <c r="V185" s="151"/>
      <c r="W185" s="156">
        <v>0</v>
      </c>
      <c r="X185" s="151"/>
      <c r="Y185" s="156">
        <v>0</v>
      </c>
      <c r="Z185" s="240">
        <f t="shared" si="9"/>
        <v>0</v>
      </c>
      <c r="AA185" s="151"/>
    </row>
    <row r="186" spans="3:27" ht="26.1" hidden="1" customHeight="1" x14ac:dyDescent="0.3">
      <c r="C186" s="151">
        <v>20</v>
      </c>
      <c r="D186" s="151"/>
      <c r="E186" s="151"/>
      <c r="F186" s="151"/>
      <c r="G186" s="151"/>
      <c r="H186" s="151"/>
      <c r="I186" s="130"/>
      <c r="J186" s="151"/>
      <c r="K186" s="130"/>
      <c r="L186" s="151"/>
      <c r="M186" s="151"/>
      <c r="N186" s="151"/>
      <c r="O186" s="151"/>
      <c r="P186" s="156">
        <v>0</v>
      </c>
      <c r="Q186" s="241">
        <f t="shared" si="8"/>
        <v>0</v>
      </c>
      <c r="R186" s="68"/>
      <c r="S186" s="156">
        <v>0</v>
      </c>
      <c r="T186" s="156">
        <v>0</v>
      </c>
      <c r="U186" s="156">
        <v>0</v>
      </c>
      <c r="V186" s="151"/>
      <c r="W186" s="156">
        <v>0</v>
      </c>
      <c r="X186" s="151"/>
      <c r="Y186" s="156">
        <v>0</v>
      </c>
      <c r="Z186" s="240">
        <f t="shared" si="9"/>
        <v>0</v>
      </c>
      <c r="AA186" s="151"/>
    </row>
    <row r="187" spans="3:27" ht="26.1" hidden="1" customHeight="1" x14ac:dyDescent="0.3">
      <c r="C187" s="151">
        <v>21</v>
      </c>
      <c r="D187" s="151"/>
      <c r="E187" s="151"/>
      <c r="F187" s="151"/>
      <c r="G187" s="151"/>
      <c r="H187" s="151"/>
      <c r="I187" s="130"/>
      <c r="J187" s="151"/>
      <c r="K187" s="130"/>
      <c r="L187" s="151"/>
      <c r="M187" s="151"/>
      <c r="N187" s="151"/>
      <c r="O187" s="151"/>
      <c r="P187" s="156">
        <v>0</v>
      </c>
      <c r="Q187" s="241">
        <f t="shared" si="8"/>
        <v>0</v>
      </c>
      <c r="R187" s="68"/>
      <c r="S187" s="156">
        <v>0</v>
      </c>
      <c r="T187" s="156">
        <v>0</v>
      </c>
      <c r="U187" s="156">
        <v>0</v>
      </c>
      <c r="V187" s="151"/>
      <c r="W187" s="156">
        <v>0</v>
      </c>
      <c r="X187" s="151"/>
      <c r="Y187" s="156">
        <v>0</v>
      </c>
      <c r="Z187" s="240">
        <f t="shared" si="9"/>
        <v>0</v>
      </c>
      <c r="AA187" s="151"/>
    </row>
    <row r="188" spans="3:27" ht="26.1" hidden="1" customHeight="1" x14ac:dyDescent="0.3">
      <c r="C188" s="151">
        <v>22</v>
      </c>
      <c r="D188" s="151"/>
      <c r="E188" s="151"/>
      <c r="F188" s="151"/>
      <c r="G188" s="151"/>
      <c r="H188" s="151"/>
      <c r="I188" s="130"/>
      <c r="J188" s="151"/>
      <c r="K188" s="130"/>
      <c r="L188" s="151"/>
      <c r="M188" s="151"/>
      <c r="N188" s="151"/>
      <c r="O188" s="151"/>
      <c r="P188" s="156">
        <v>0</v>
      </c>
      <c r="Q188" s="241">
        <f t="shared" si="8"/>
        <v>0</v>
      </c>
      <c r="R188" s="68"/>
      <c r="S188" s="156">
        <v>0</v>
      </c>
      <c r="T188" s="156">
        <v>0</v>
      </c>
      <c r="U188" s="156">
        <v>0</v>
      </c>
      <c r="V188" s="151"/>
      <c r="W188" s="156">
        <v>0</v>
      </c>
      <c r="X188" s="151"/>
      <c r="Y188" s="156">
        <v>0</v>
      </c>
      <c r="Z188" s="240">
        <f t="shared" si="9"/>
        <v>0</v>
      </c>
      <c r="AA188" s="151"/>
    </row>
    <row r="189" spans="3:27" ht="26.1" hidden="1" customHeight="1" x14ac:dyDescent="0.3">
      <c r="C189" s="151">
        <v>23</v>
      </c>
      <c r="D189" s="151"/>
      <c r="E189" s="151"/>
      <c r="F189" s="151"/>
      <c r="G189" s="151"/>
      <c r="H189" s="151"/>
      <c r="I189" s="130"/>
      <c r="J189" s="151"/>
      <c r="K189" s="130"/>
      <c r="L189" s="151"/>
      <c r="M189" s="151"/>
      <c r="N189" s="151"/>
      <c r="O189" s="151"/>
      <c r="P189" s="156">
        <v>0</v>
      </c>
      <c r="Q189" s="241">
        <f t="shared" si="8"/>
        <v>0</v>
      </c>
      <c r="R189" s="68"/>
      <c r="S189" s="156">
        <v>0</v>
      </c>
      <c r="T189" s="156">
        <v>0</v>
      </c>
      <c r="U189" s="156">
        <v>0</v>
      </c>
      <c r="V189" s="151"/>
      <c r="W189" s="156">
        <v>0</v>
      </c>
      <c r="X189" s="151"/>
      <c r="Y189" s="156">
        <v>0</v>
      </c>
      <c r="Z189" s="240">
        <f t="shared" si="9"/>
        <v>0</v>
      </c>
      <c r="AA189" s="151"/>
    </row>
    <row r="190" spans="3:27" ht="26.1" hidden="1" customHeight="1" x14ac:dyDescent="0.3">
      <c r="C190" s="151">
        <v>24</v>
      </c>
      <c r="D190" s="151"/>
      <c r="E190" s="151"/>
      <c r="F190" s="151"/>
      <c r="G190" s="151"/>
      <c r="H190" s="151"/>
      <c r="I190" s="130"/>
      <c r="J190" s="151"/>
      <c r="K190" s="130"/>
      <c r="L190" s="151"/>
      <c r="M190" s="151"/>
      <c r="N190" s="151"/>
      <c r="O190" s="151"/>
      <c r="P190" s="156">
        <v>0</v>
      </c>
      <c r="Q190" s="241">
        <f t="shared" si="8"/>
        <v>0</v>
      </c>
      <c r="R190" s="68"/>
      <c r="S190" s="156">
        <v>0</v>
      </c>
      <c r="T190" s="156">
        <v>0</v>
      </c>
      <c r="U190" s="156">
        <v>0</v>
      </c>
      <c r="V190" s="151"/>
      <c r="W190" s="156">
        <v>0</v>
      </c>
      <c r="X190" s="151"/>
      <c r="Y190" s="156">
        <v>0</v>
      </c>
      <c r="Z190" s="240">
        <f t="shared" si="9"/>
        <v>0</v>
      </c>
      <c r="AA190" s="151"/>
    </row>
    <row r="191" spans="3:27" ht="26.1" hidden="1" customHeight="1" x14ac:dyDescent="0.3">
      <c r="C191" s="151">
        <v>25</v>
      </c>
      <c r="D191" s="151"/>
      <c r="E191" s="151"/>
      <c r="F191" s="151"/>
      <c r="G191" s="151"/>
      <c r="H191" s="151"/>
      <c r="I191" s="130"/>
      <c r="J191" s="151"/>
      <c r="K191" s="130"/>
      <c r="L191" s="151"/>
      <c r="M191" s="151"/>
      <c r="N191" s="151"/>
      <c r="O191" s="151"/>
      <c r="P191" s="156">
        <v>0</v>
      </c>
      <c r="Q191" s="241">
        <f t="shared" si="8"/>
        <v>0</v>
      </c>
      <c r="R191" s="68"/>
      <c r="S191" s="156">
        <v>0</v>
      </c>
      <c r="T191" s="156">
        <v>0</v>
      </c>
      <c r="U191" s="156">
        <v>0</v>
      </c>
      <c r="V191" s="151"/>
      <c r="W191" s="156">
        <v>0</v>
      </c>
      <c r="X191" s="151"/>
      <c r="Y191" s="156">
        <v>0</v>
      </c>
      <c r="Z191" s="240">
        <f t="shared" si="9"/>
        <v>0</v>
      </c>
      <c r="AA191" s="151"/>
    </row>
    <row r="192" spans="3:27" ht="26.1" hidden="1" customHeight="1" x14ac:dyDescent="0.3">
      <c r="C192" s="151">
        <v>26</v>
      </c>
      <c r="D192" s="151"/>
      <c r="E192" s="151"/>
      <c r="F192" s="151"/>
      <c r="G192" s="151"/>
      <c r="H192" s="151"/>
      <c r="I192" s="130"/>
      <c r="J192" s="151"/>
      <c r="K192" s="130"/>
      <c r="L192" s="151"/>
      <c r="M192" s="151"/>
      <c r="N192" s="151"/>
      <c r="O192" s="151"/>
      <c r="P192" s="156">
        <v>0</v>
      </c>
      <c r="Q192" s="241">
        <f t="shared" si="8"/>
        <v>0</v>
      </c>
      <c r="R192" s="68"/>
      <c r="S192" s="156">
        <v>0</v>
      </c>
      <c r="T192" s="156">
        <v>0</v>
      </c>
      <c r="U192" s="156">
        <v>0</v>
      </c>
      <c r="V192" s="151"/>
      <c r="W192" s="156">
        <v>0</v>
      </c>
      <c r="X192" s="151"/>
      <c r="Y192" s="156">
        <v>0</v>
      </c>
      <c r="Z192" s="240">
        <f t="shared" si="9"/>
        <v>0</v>
      </c>
      <c r="AA192" s="151"/>
    </row>
    <row r="193" spans="3:27" ht="26.1" hidden="1" customHeight="1" x14ac:dyDescent="0.3">
      <c r="C193" s="151">
        <v>27</v>
      </c>
      <c r="D193" s="151"/>
      <c r="E193" s="151"/>
      <c r="F193" s="151"/>
      <c r="G193" s="151"/>
      <c r="H193" s="151"/>
      <c r="I193" s="130"/>
      <c r="J193" s="151"/>
      <c r="K193" s="130"/>
      <c r="L193" s="151"/>
      <c r="M193" s="151"/>
      <c r="N193" s="151"/>
      <c r="O193" s="151"/>
      <c r="P193" s="156">
        <v>0</v>
      </c>
      <c r="Q193" s="241">
        <f t="shared" si="8"/>
        <v>0</v>
      </c>
      <c r="R193" s="68"/>
      <c r="S193" s="156">
        <v>0</v>
      </c>
      <c r="T193" s="156">
        <v>0</v>
      </c>
      <c r="U193" s="156">
        <v>0</v>
      </c>
      <c r="V193" s="151"/>
      <c r="W193" s="156">
        <v>0</v>
      </c>
      <c r="X193" s="151"/>
      <c r="Y193" s="156">
        <v>0</v>
      </c>
      <c r="Z193" s="240">
        <f t="shared" si="9"/>
        <v>0</v>
      </c>
      <c r="AA193" s="151"/>
    </row>
    <row r="194" spans="3:27" ht="26.1" hidden="1" customHeight="1" x14ac:dyDescent="0.3">
      <c r="C194" s="151">
        <v>28</v>
      </c>
      <c r="D194" s="151"/>
      <c r="E194" s="151"/>
      <c r="F194" s="151"/>
      <c r="G194" s="151"/>
      <c r="H194" s="151"/>
      <c r="I194" s="130"/>
      <c r="J194" s="151"/>
      <c r="K194" s="130"/>
      <c r="L194" s="151"/>
      <c r="M194" s="151"/>
      <c r="N194" s="151"/>
      <c r="O194" s="151"/>
      <c r="P194" s="156">
        <v>0</v>
      </c>
      <c r="Q194" s="241">
        <f t="shared" si="8"/>
        <v>0</v>
      </c>
      <c r="R194" s="68"/>
      <c r="S194" s="156">
        <v>0</v>
      </c>
      <c r="T194" s="156">
        <v>0</v>
      </c>
      <c r="U194" s="156">
        <v>0</v>
      </c>
      <c r="V194" s="151"/>
      <c r="W194" s="156">
        <v>0</v>
      </c>
      <c r="X194" s="151"/>
      <c r="Y194" s="156">
        <v>0</v>
      </c>
      <c r="Z194" s="240">
        <f t="shared" si="9"/>
        <v>0</v>
      </c>
      <c r="AA194" s="151"/>
    </row>
    <row r="195" spans="3:27" ht="26.1" hidden="1" customHeight="1" x14ac:dyDescent="0.3">
      <c r="C195" s="151">
        <v>29</v>
      </c>
      <c r="D195" s="151"/>
      <c r="E195" s="151"/>
      <c r="F195" s="151"/>
      <c r="G195" s="151"/>
      <c r="H195" s="151"/>
      <c r="I195" s="130"/>
      <c r="J195" s="151"/>
      <c r="K195" s="130"/>
      <c r="L195" s="151"/>
      <c r="M195" s="151"/>
      <c r="N195" s="151"/>
      <c r="O195" s="151"/>
      <c r="P195" s="156">
        <v>0</v>
      </c>
      <c r="Q195" s="241">
        <f t="shared" si="8"/>
        <v>0</v>
      </c>
      <c r="R195" s="68"/>
      <c r="S195" s="156">
        <v>0</v>
      </c>
      <c r="T195" s="156">
        <v>0</v>
      </c>
      <c r="U195" s="156">
        <v>0</v>
      </c>
      <c r="V195" s="151"/>
      <c r="W195" s="156">
        <v>0</v>
      </c>
      <c r="X195" s="151"/>
      <c r="Y195" s="156">
        <v>0</v>
      </c>
      <c r="Z195" s="240">
        <f t="shared" si="9"/>
        <v>0</v>
      </c>
      <c r="AA195" s="151"/>
    </row>
    <row r="196" spans="3:27" ht="26.1" hidden="1" customHeight="1" x14ac:dyDescent="0.3">
      <c r="C196" s="151">
        <v>30</v>
      </c>
      <c r="D196" s="151"/>
      <c r="E196" s="151"/>
      <c r="F196" s="151"/>
      <c r="G196" s="151"/>
      <c r="H196" s="151"/>
      <c r="I196" s="130"/>
      <c r="J196" s="151"/>
      <c r="K196" s="130"/>
      <c r="L196" s="151"/>
      <c r="M196" s="151"/>
      <c r="N196" s="151"/>
      <c r="O196" s="151"/>
      <c r="P196" s="201">
        <v>0</v>
      </c>
      <c r="Q196" s="241">
        <f t="shared" si="8"/>
        <v>0</v>
      </c>
      <c r="R196" s="68"/>
      <c r="S196" s="156">
        <v>0</v>
      </c>
      <c r="T196" s="156">
        <v>0</v>
      </c>
      <c r="U196" s="156">
        <v>0</v>
      </c>
      <c r="V196" s="151"/>
      <c r="W196" s="156">
        <v>0</v>
      </c>
      <c r="X196" s="151"/>
      <c r="Y196" s="156">
        <v>0</v>
      </c>
      <c r="Z196" s="240">
        <f t="shared" si="9"/>
        <v>0</v>
      </c>
      <c r="AA196" s="199"/>
    </row>
    <row r="197" spans="3:27" hidden="1" x14ac:dyDescent="0.25">
      <c r="C197" s="855" t="s">
        <v>133</v>
      </c>
      <c r="D197" s="856"/>
      <c r="E197" s="164"/>
      <c r="F197" s="164"/>
      <c r="G197" s="164"/>
      <c r="H197" s="164"/>
      <c r="I197" s="164"/>
      <c r="J197" s="164"/>
      <c r="K197" s="164"/>
      <c r="L197" s="164"/>
      <c r="M197" s="164"/>
      <c r="N197" s="164"/>
      <c r="O197" s="164"/>
      <c r="P197" s="203"/>
      <c r="Q197" s="245">
        <f>SUM(Q167:Q196)</f>
        <v>0</v>
      </c>
      <c r="R197" s="158"/>
      <c r="S197" s="214">
        <f>SUM(S167:S196)</f>
        <v>0</v>
      </c>
      <c r="T197" s="214">
        <f>SUM(T167:T196)</f>
        <v>0</v>
      </c>
      <c r="U197" s="214">
        <f>SUM(U167:U196)</f>
        <v>0</v>
      </c>
      <c r="V197" s="834">
        <f>SUM(W167:W196,Y167:Y196)</f>
        <v>0</v>
      </c>
      <c r="W197" s="835"/>
      <c r="X197" s="835"/>
      <c r="Y197" s="836"/>
      <c r="Z197" s="242">
        <f>SUM(Z167:Z196)</f>
        <v>0</v>
      </c>
      <c r="AA197" s="176"/>
    </row>
    <row r="198" spans="3:27" hidden="1" x14ac:dyDescent="0.25"/>
    <row r="200" spans="3:27" ht="66" x14ac:dyDescent="0.25">
      <c r="Q200" s="820" t="s">
        <v>66</v>
      </c>
      <c r="R200" s="821"/>
      <c r="S200" s="207" t="s">
        <v>67</v>
      </c>
      <c r="T200" s="207" t="s">
        <v>68</v>
      </c>
      <c r="U200" s="208" t="s">
        <v>522</v>
      </c>
      <c r="V200" s="820" t="s">
        <v>69</v>
      </c>
      <c r="W200" s="821"/>
      <c r="X200" s="821"/>
      <c r="Y200" s="822"/>
      <c r="Z200" s="207" t="s">
        <v>65</v>
      </c>
    </row>
    <row r="201" spans="3:27" x14ac:dyDescent="0.25">
      <c r="Q201" s="819">
        <f>SUM(O28,Q66,Q123,Q159,Q197)</f>
        <v>5106312838.5009594</v>
      </c>
      <c r="R201" s="819"/>
      <c r="S201" s="246">
        <f>SUM(Q28,S66,S123,S159,S197)</f>
        <v>0</v>
      </c>
      <c r="T201" s="246">
        <f>SUM(R28,T66,T123,T159,T197)</f>
        <v>5101538838.5</v>
      </c>
      <c r="U201" s="246">
        <f>SUM(S28,U66,U123,U159,U197)</f>
        <v>230000000</v>
      </c>
      <c r="V201" s="823">
        <f>SUM(T28,V66,V123,V159,V197)</f>
        <v>0</v>
      </c>
      <c r="W201" s="824"/>
      <c r="X201" s="824"/>
      <c r="Y201" s="825"/>
      <c r="Z201" s="247">
        <f>SUM(Y28,Z66,Z123,Z159,Z197)</f>
        <v>-225225999.99904007</v>
      </c>
    </row>
  </sheetData>
  <sheetProtection algorithmName="SHA-512" hashValue="U6vUO0XM/OULvOb6B6WRDiHjKn7hTfvagHoV0xO+h4aT+2dgpGMc2N1EU1YBIvbcqs8KMTfMlr0lDNCHEahpGA==" saltValue="IO1xm3IfJ9N5osJ/9w1+Xw==" spinCount="100000" sheet="1" formatCells="0" formatColumns="0" formatRows="0" insertColumns="0" insertRows="0"/>
  <mergeCells count="122">
    <mergeCell ref="AA163:AA165"/>
    <mergeCell ref="S164:U164"/>
    <mergeCell ref="S163:Y163"/>
    <mergeCell ref="V164:W164"/>
    <mergeCell ref="X164:Y164"/>
    <mergeCell ref="R163:R165"/>
    <mergeCell ref="N163:N165"/>
    <mergeCell ref="C163:C165"/>
    <mergeCell ref="D163:D165"/>
    <mergeCell ref="E163:E165"/>
    <mergeCell ref="G163:G165"/>
    <mergeCell ref="H163:H165"/>
    <mergeCell ref="I163:I165"/>
    <mergeCell ref="J163:M164"/>
    <mergeCell ref="O163:O165"/>
    <mergeCell ref="Q163:Q165"/>
    <mergeCell ref="P163:P165"/>
    <mergeCell ref="F163:F165"/>
    <mergeCell ref="B2:I2"/>
    <mergeCell ref="X31:Y31"/>
    <mergeCell ref="C30:C32"/>
    <mergeCell ref="D30:D32"/>
    <mergeCell ref="G30:G32"/>
    <mergeCell ref="I30:I32"/>
    <mergeCell ref="E30:E32"/>
    <mergeCell ref="H30:H32"/>
    <mergeCell ref="J30:M31"/>
    <mergeCell ref="O30:O32"/>
    <mergeCell ref="B4:Z4"/>
    <mergeCell ref="M14:M16"/>
    <mergeCell ref="Q30:Q32"/>
    <mergeCell ref="X14:X16"/>
    <mergeCell ref="I14:I16"/>
    <mergeCell ref="P14:P16"/>
    <mergeCell ref="R30:R32"/>
    <mergeCell ref="O14:O16"/>
    <mergeCell ref="T28:W28"/>
    <mergeCell ref="Y14:Y16"/>
    <mergeCell ref="C17:P17"/>
    <mergeCell ref="Q14:W14"/>
    <mergeCell ref="F14:F16"/>
    <mergeCell ref="H14:H16"/>
    <mergeCell ref="N14:N16"/>
    <mergeCell ref="T15:U15"/>
    <mergeCell ref="V15:W15"/>
    <mergeCell ref="Q15:S15"/>
    <mergeCell ref="G14:G16"/>
    <mergeCell ref="C8:I8"/>
    <mergeCell ref="C9:I9"/>
    <mergeCell ref="C10:I10"/>
    <mergeCell ref="C11:I11"/>
    <mergeCell ref="C12:I12"/>
    <mergeCell ref="C7:I7"/>
    <mergeCell ref="C197:D197"/>
    <mergeCell ref="D19:D24"/>
    <mergeCell ref="D14:D16"/>
    <mergeCell ref="C14:C16"/>
    <mergeCell ref="E14:E16"/>
    <mergeCell ref="C66:D66"/>
    <mergeCell ref="C159:D159"/>
    <mergeCell ref="C123:D123"/>
    <mergeCell ref="C68:C70"/>
    <mergeCell ref="D68:D70"/>
    <mergeCell ref="E68:E70"/>
    <mergeCell ref="G68:G70"/>
    <mergeCell ref="H68:H70"/>
    <mergeCell ref="I68:I70"/>
    <mergeCell ref="C166:M166"/>
    <mergeCell ref="F125:F127"/>
    <mergeCell ref="C128:I128"/>
    <mergeCell ref="J14:J16"/>
    <mergeCell ref="K14:K16"/>
    <mergeCell ref="L14:L16"/>
    <mergeCell ref="C18:N18"/>
    <mergeCell ref="J125:M126"/>
    <mergeCell ref="C125:C127"/>
    <mergeCell ref="AA125:AA127"/>
    <mergeCell ref="N30:N32"/>
    <mergeCell ref="X69:Y69"/>
    <mergeCell ref="J68:M69"/>
    <mergeCell ref="O68:O70"/>
    <mergeCell ref="S31:U31"/>
    <mergeCell ref="V31:W31"/>
    <mergeCell ref="AA30:AA32"/>
    <mergeCell ref="C33:I33"/>
    <mergeCell ref="C34:I34"/>
    <mergeCell ref="F68:F70"/>
    <mergeCell ref="C71:I71"/>
    <mergeCell ref="C72:M72"/>
    <mergeCell ref="S68:Y68"/>
    <mergeCell ref="S69:U69"/>
    <mergeCell ref="V69:W69"/>
    <mergeCell ref="AA68:AA70"/>
    <mergeCell ref="N68:N70"/>
    <mergeCell ref="P30:P32"/>
    <mergeCell ref="D125:D127"/>
    <mergeCell ref="E125:E127"/>
    <mergeCell ref="G125:G127"/>
    <mergeCell ref="H125:H127"/>
    <mergeCell ref="I125:I127"/>
    <mergeCell ref="V66:Y66"/>
    <mergeCell ref="S30:Y30"/>
    <mergeCell ref="V123:Y123"/>
    <mergeCell ref="V159:Y159"/>
    <mergeCell ref="V197:Y197"/>
    <mergeCell ref="Q200:R200"/>
    <mergeCell ref="F30:F32"/>
    <mergeCell ref="O125:O127"/>
    <mergeCell ref="N125:N127"/>
    <mergeCell ref="P68:P70"/>
    <mergeCell ref="P125:P127"/>
    <mergeCell ref="Q201:R201"/>
    <mergeCell ref="V200:Y200"/>
    <mergeCell ref="V201:Y201"/>
    <mergeCell ref="V126:W126"/>
    <mergeCell ref="X126:Y126"/>
    <mergeCell ref="S125:Y125"/>
    <mergeCell ref="Q68:Q70"/>
    <mergeCell ref="R68:R70"/>
    <mergeCell ref="R125:R127"/>
    <mergeCell ref="Q125:Q127"/>
    <mergeCell ref="S126:U126"/>
  </mergeCells>
  <phoneticPr fontId="5" type="noConversion"/>
  <conditionalFormatting sqref="Z19">
    <cfRule type="cellIs" dxfId="3" priority="17" operator="equal">
      <formula>"Not due"</formula>
    </cfRule>
    <cfRule type="cellIs" dxfId="2" priority="18" operator="equal">
      <formula>"Not done"</formula>
    </cfRule>
    <cfRule type="cellIs" dxfId="1" priority="19" operator="equal">
      <formula>"Ongoing"</formula>
    </cfRule>
    <cfRule type="cellIs" dxfId="0" priority="20" operator="equal">
      <formula>"Done"</formula>
    </cfRule>
  </conditionalFormatting>
  <dataValidations count="3">
    <dataValidation type="list" allowBlank="1" showInputMessage="1" showErrorMessage="1" sqref="Z19" xr:uid="{00000000-0002-0000-0300-000000000000}">
      <formula1>"Done, Ongoing, Not due, Not done"</formula1>
    </dataValidation>
    <dataValidation type="list" allowBlank="1" showInputMessage="1" showErrorMessage="1" sqref="K29" xr:uid="{00000000-0002-0000-0300-000001000000}">
      <formula1>"ECCDE Learners, Primary School Learners, JSS Learners, Teachers, ECCDE Learners and Teachers, Primary School Learners and Teachers, JSS learners and teachers"</formula1>
    </dataValidation>
    <dataValidation type="list" allowBlank="1" showInputMessage="1" showErrorMessage="1" sqref="I35:I65 K167:K196 K129:K158 H19:H27 J124 K73:K123 I73:I122 I129:I158 I167:I196" xr:uid="{00000000-0002-0000-0300-000002000000}">
      <formula1>"All Learners, All Learners and Teachers,ECCDE Learners, Primary School Learners, JSS Learners, Teachers, ECCDE Learners and Teachers, Primary School Learners and Teachers, JSS learners and teachers"</formula1>
    </dataValidation>
  </dataValidations>
  <hyperlinks>
    <hyperlink ref="B2:E2" location="'Welcome Page'!A1" display="Click to return to welcome page" xr:uid="{00000000-0004-0000-0300-000000000000}"/>
    <hyperlink ref="C8:I8" location="'Pillar 1 - Access'!C17" display="Priority initiative 1.1: Provide safe and adequate infrastructure for learning environments" xr:uid="{956CA6C2-22A3-4736-8C28-AB4FC96C4206}"/>
    <hyperlink ref="C9:I9" location="'Pillar 1 - Access'!C33" display="Priority initiative 1.2: Expand enrollment of out-of-school children into the formal education system" xr:uid="{EE2E0703-3BE9-430A-897E-9EBFEC0656F3}"/>
    <hyperlink ref="C10:I10" location="'Pillar 1 - Access'!C70" display="Priority initiative 1.3: Improve retention with incentives and Social Behavior Change (SBC) initiatives" xr:uid="{3C65BDE6-0CF7-4168-8AD5-D1C4BF25544C}"/>
    <hyperlink ref="C11:I11" location="'Pillar 1 - Access'!C128" display="Enabler (Matching grant): Supervision and Project monitoring of ongoing infrastructure activities" xr:uid="{751D714D-7E64-43E6-944A-C8FA9C615D46}"/>
    <hyperlink ref="C12:I12" location="'Pillar 1 - Access'!C166" display="Enabler: Partnerships and cross-sector collaboration to expand access to basic education" xr:uid="{7B7ADF6B-4EAB-4384-B60C-F4CD7E4220B5}"/>
  </hyperlinks>
  <pageMargins left="0" right="0" top="0.51181102362204722" bottom="0.43307086614173229" header="0.31496062992125984" footer="0.31496062992125984"/>
  <pageSetup paperSize="8" scale="32" orientation="landscape" r:id="rId1"/>
  <colBreaks count="1" manualBreakCount="1">
    <brk id="27"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21238132-2DF4-4469-BF6B-3F1DD6A93667}">
          <x14:formula1>
            <xm:f>'Total budget summary'!$G$69:$G$80</xm:f>
          </x14:formula1>
          <xm:sqref>R35:R65 P19:P27 R129:R158 R167:R196 R73:R122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1D779-73C6-4C29-ACA5-BE651D328E5F}">
  <sheetPr codeName="Sheet5">
    <tabColor theme="6"/>
  </sheetPr>
  <dimension ref="A2:I546"/>
  <sheetViews>
    <sheetView showGridLines="0" view="pageBreakPreview" topLeftCell="A35" zoomScale="60" zoomScaleNormal="78" workbookViewId="0">
      <selection activeCell="D72" sqref="D72"/>
    </sheetView>
  </sheetViews>
  <sheetFormatPr defaultColWidth="9.140625" defaultRowHeight="15" x14ac:dyDescent="0.25"/>
  <cols>
    <col min="1" max="1" width="4.140625" style="216" customWidth="1"/>
    <col min="2" max="2" width="9.140625" style="216"/>
    <col min="3" max="3" width="73" style="216" customWidth="1"/>
    <col min="4" max="4" width="39.28515625" style="216" customWidth="1"/>
    <col min="5" max="5" width="21.28515625" style="216" customWidth="1"/>
    <col min="6" max="6" width="19.5703125" style="216" customWidth="1"/>
    <col min="7" max="7" width="27.140625" style="216" customWidth="1"/>
    <col min="8" max="8" width="23.7109375" style="216" customWidth="1"/>
    <col min="9" max="9" width="38.85546875" style="216" customWidth="1"/>
    <col min="10" max="16384" width="9.140625" style="216"/>
  </cols>
  <sheetData>
    <row r="2" spans="1:8" ht="16.5" customHeight="1" x14ac:dyDescent="0.3">
      <c r="A2" s="215" t="s">
        <v>35</v>
      </c>
      <c r="B2" s="898" t="s">
        <v>166</v>
      </c>
      <c r="C2" s="899"/>
      <c r="D2" s="899"/>
      <c r="E2" s="899"/>
      <c r="F2" s="899"/>
      <c r="G2" s="899"/>
      <c r="H2" s="900"/>
    </row>
    <row r="3" spans="1:8" ht="16.5" x14ac:dyDescent="0.3">
      <c r="A3" s="217">
        <v>1</v>
      </c>
      <c r="B3" s="908" t="s">
        <v>181</v>
      </c>
      <c r="C3" s="909"/>
      <c r="D3" s="909"/>
      <c r="E3" s="909"/>
      <c r="F3" s="909"/>
      <c r="G3" s="909"/>
      <c r="H3" s="910"/>
    </row>
    <row r="4" spans="1:8" ht="16.5" x14ac:dyDescent="0.3">
      <c r="A4" s="217">
        <v>2</v>
      </c>
      <c r="B4" s="911" t="s">
        <v>147</v>
      </c>
      <c r="C4" s="911"/>
      <c r="D4" s="911"/>
      <c r="E4" s="911"/>
      <c r="F4" s="911"/>
      <c r="G4" s="911"/>
      <c r="H4" s="911"/>
    </row>
    <row r="5" spans="1:8" ht="16.5" customHeight="1" x14ac:dyDescent="0.3">
      <c r="A5" s="217">
        <v>3</v>
      </c>
      <c r="B5" s="901" t="s">
        <v>148</v>
      </c>
      <c r="C5" s="902"/>
      <c r="D5" s="902"/>
      <c r="E5" s="902"/>
      <c r="F5" s="902"/>
      <c r="G5" s="902"/>
      <c r="H5" s="903"/>
    </row>
    <row r="6" spans="1:8" ht="16.5" x14ac:dyDescent="0.3">
      <c r="A6" s="217">
        <v>4</v>
      </c>
      <c r="B6" s="901" t="s">
        <v>149</v>
      </c>
      <c r="C6" s="902"/>
      <c r="D6" s="902"/>
      <c r="E6" s="902"/>
      <c r="F6" s="902"/>
      <c r="G6" s="902"/>
      <c r="H6" s="903"/>
    </row>
    <row r="7" spans="1:8" ht="16.5" x14ac:dyDescent="0.3">
      <c r="A7" s="359">
        <v>5</v>
      </c>
      <c r="B7" s="887" t="s">
        <v>727</v>
      </c>
      <c r="C7" s="888"/>
      <c r="D7" s="888"/>
      <c r="E7" s="888"/>
      <c r="F7" s="888"/>
      <c r="G7" s="888"/>
      <c r="H7" s="889"/>
    </row>
    <row r="8" spans="1:8" ht="16.5" x14ac:dyDescent="0.3">
      <c r="B8" s="54"/>
      <c r="C8" s="54"/>
      <c r="D8" s="218"/>
      <c r="E8" s="55"/>
      <c r="F8" s="54"/>
      <c r="G8" s="54"/>
      <c r="H8" s="54"/>
    </row>
    <row r="9" spans="1:8" ht="34.5" customHeight="1" x14ac:dyDescent="0.25">
      <c r="B9" s="82"/>
      <c r="C9" s="82"/>
      <c r="D9" s="219"/>
      <c r="E9" s="86"/>
      <c r="F9" s="82"/>
      <c r="G9" s="907" t="s">
        <v>154</v>
      </c>
      <c r="H9" s="907"/>
    </row>
    <row r="10" spans="1:8" ht="17.25" x14ac:dyDescent="0.3">
      <c r="B10" s="220">
        <v>1</v>
      </c>
      <c r="C10" s="221" t="s">
        <v>179</v>
      </c>
      <c r="D10" s="221"/>
      <c r="E10" s="221"/>
      <c r="F10" s="222"/>
      <c r="G10" s="223"/>
      <c r="H10" s="234">
        <f>SUM(H11+H36+H61+H86+H111)</f>
        <v>86644756.129999995</v>
      </c>
    </row>
    <row r="11" spans="1:8" ht="16.5" x14ac:dyDescent="0.25">
      <c r="B11" s="792" t="s">
        <v>768</v>
      </c>
      <c r="C11" s="792"/>
      <c r="D11" s="764"/>
      <c r="E11" s="764"/>
      <c r="F11" s="764"/>
      <c r="G11" s="765"/>
      <c r="H11" s="236">
        <f>SUM(G14:G34)</f>
        <v>46015762.130000003</v>
      </c>
    </row>
    <row r="12" spans="1:8" ht="16.5" customHeight="1" x14ac:dyDescent="0.3">
      <c r="B12" s="832" t="s">
        <v>35</v>
      </c>
      <c r="C12" s="832" t="s">
        <v>42</v>
      </c>
      <c r="D12" s="831" t="s">
        <v>153</v>
      </c>
      <c r="E12" s="837" t="s">
        <v>150</v>
      </c>
      <c r="F12" s="837" t="s">
        <v>51</v>
      </c>
      <c r="G12" s="876" t="s">
        <v>422</v>
      </c>
      <c r="H12" s="54"/>
    </row>
    <row r="13" spans="1:8" ht="16.5" x14ac:dyDescent="0.3">
      <c r="B13" s="832"/>
      <c r="C13" s="832"/>
      <c r="D13" s="915"/>
      <c r="E13" s="839"/>
      <c r="F13" s="839"/>
      <c r="G13" s="878"/>
      <c r="H13" s="54"/>
    </row>
    <row r="14" spans="1:8" ht="84" customHeight="1" x14ac:dyDescent="0.3">
      <c r="B14" s="16">
        <v>1</v>
      </c>
      <c r="C14" s="410" t="s">
        <v>767</v>
      </c>
      <c r="D14" s="502" t="s">
        <v>1780</v>
      </c>
      <c r="E14" s="224">
        <v>23</v>
      </c>
      <c r="F14" s="226">
        <v>2000685.31</v>
      </c>
      <c r="G14" s="272">
        <f t="shared" ref="G14:G34" si="0">E14*F14</f>
        <v>46015762.130000003</v>
      </c>
      <c r="H14" s="67"/>
    </row>
    <row r="15" spans="1:8" ht="16.5" hidden="1" x14ac:dyDescent="0.3">
      <c r="B15" s="16"/>
      <c r="C15" s="410"/>
      <c r="D15" s="227"/>
      <c r="E15" s="224"/>
      <c r="F15" s="226"/>
      <c r="G15" s="272">
        <f>E15*F15</f>
        <v>0</v>
      </c>
      <c r="H15" s="54"/>
    </row>
    <row r="16" spans="1:8" ht="16.5" hidden="1" x14ac:dyDescent="0.3">
      <c r="B16" s="16">
        <v>3</v>
      </c>
      <c r="C16" s="224"/>
      <c r="D16" s="227"/>
      <c r="E16" s="224"/>
      <c r="F16" s="226">
        <v>0</v>
      </c>
      <c r="G16" s="272">
        <f t="shared" si="0"/>
        <v>0</v>
      </c>
      <c r="H16" s="54"/>
    </row>
    <row r="17" spans="2:8" ht="16.5" hidden="1" x14ac:dyDescent="0.3">
      <c r="B17" s="16">
        <v>4</v>
      </c>
      <c r="C17" s="224"/>
      <c r="D17" s="227"/>
      <c r="E17" s="74"/>
      <c r="F17" s="226">
        <v>0</v>
      </c>
      <c r="G17" s="272">
        <f t="shared" si="0"/>
        <v>0</v>
      </c>
      <c r="H17" s="54"/>
    </row>
    <row r="18" spans="2:8" ht="16.5" hidden="1" x14ac:dyDescent="0.3">
      <c r="B18" s="16">
        <v>5</v>
      </c>
      <c r="C18" s="224"/>
      <c r="D18" s="227"/>
      <c r="E18" s="74"/>
      <c r="F18" s="226">
        <v>0</v>
      </c>
      <c r="G18" s="272">
        <f t="shared" si="0"/>
        <v>0</v>
      </c>
      <c r="H18" s="54"/>
    </row>
    <row r="19" spans="2:8" ht="16.5" hidden="1" x14ac:dyDescent="0.3">
      <c r="B19" s="16">
        <v>6</v>
      </c>
      <c r="C19" s="224"/>
      <c r="D19" s="228"/>
      <c r="E19" s="74"/>
      <c r="F19" s="226">
        <v>0</v>
      </c>
      <c r="G19" s="272">
        <f t="shared" si="0"/>
        <v>0</v>
      </c>
      <c r="H19" s="54"/>
    </row>
    <row r="20" spans="2:8" ht="16.5" hidden="1" x14ac:dyDescent="0.3">
      <c r="B20" s="16">
        <v>7</v>
      </c>
      <c r="C20" s="224"/>
      <c r="D20" s="229"/>
      <c r="E20" s="74"/>
      <c r="F20" s="226">
        <v>0</v>
      </c>
      <c r="G20" s="272">
        <f t="shared" si="0"/>
        <v>0</v>
      </c>
      <c r="H20" s="54"/>
    </row>
    <row r="21" spans="2:8" ht="16.5" hidden="1" x14ac:dyDescent="0.3">
      <c r="B21" s="16">
        <v>8</v>
      </c>
      <c r="C21" s="224"/>
      <c r="D21" s="227"/>
      <c r="E21" s="74"/>
      <c r="F21" s="226">
        <v>0</v>
      </c>
      <c r="G21" s="272">
        <f t="shared" si="0"/>
        <v>0</v>
      </c>
      <c r="H21" s="54"/>
    </row>
    <row r="22" spans="2:8" ht="16.5" hidden="1" x14ac:dyDescent="0.3">
      <c r="B22" s="16">
        <v>9</v>
      </c>
      <c r="C22" s="224"/>
      <c r="D22" s="227"/>
      <c r="E22" s="74"/>
      <c r="F22" s="226">
        <v>0</v>
      </c>
      <c r="G22" s="272">
        <f t="shared" si="0"/>
        <v>0</v>
      </c>
      <c r="H22" s="54"/>
    </row>
    <row r="23" spans="2:8" ht="16.5" hidden="1" x14ac:dyDescent="0.3">
      <c r="B23" s="16">
        <v>10</v>
      </c>
      <c r="C23" s="224"/>
      <c r="D23" s="227"/>
      <c r="E23" s="74"/>
      <c r="F23" s="226">
        <v>0</v>
      </c>
      <c r="G23" s="272">
        <f t="shared" si="0"/>
        <v>0</v>
      </c>
      <c r="H23" s="54"/>
    </row>
    <row r="24" spans="2:8" ht="16.5" hidden="1" x14ac:dyDescent="0.3">
      <c r="B24" s="16">
        <v>11</v>
      </c>
      <c r="C24" s="224"/>
      <c r="D24" s="227"/>
      <c r="E24" s="74"/>
      <c r="F24" s="226">
        <v>0</v>
      </c>
      <c r="G24" s="272">
        <f t="shared" si="0"/>
        <v>0</v>
      </c>
      <c r="H24" s="54"/>
    </row>
    <row r="25" spans="2:8" ht="16.5" hidden="1" x14ac:dyDescent="0.3">
      <c r="B25" s="16">
        <v>12</v>
      </c>
      <c r="C25" s="224"/>
      <c r="D25" s="227"/>
      <c r="E25" s="74"/>
      <c r="F25" s="226">
        <v>0</v>
      </c>
      <c r="G25" s="272">
        <f t="shared" si="0"/>
        <v>0</v>
      </c>
      <c r="H25" s="54"/>
    </row>
    <row r="26" spans="2:8" ht="16.5" hidden="1" x14ac:dyDescent="0.3">
      <c r="B26" s="16">
        <v>13</v>
      </c>
      <c r="C26" s="224"/>
      <c r="D26" s="229"/>
      <c r="E26" s="74"/>
      <c r="F26" s="226">
        <v>0</v>
      </c>
      <c r="G26" s="272">
        <f t="shared" si="0"/>
        <v>0</v>
      </c>
      <c r="H26" s="54"/>
    </row>
    <row r="27" spans="2:8" ht="16.5" hidden="1" x14ac:dyDescent="0.3">
      <c r="B27" s="16">
        <v>14</v>
      </c>
      <c r="C27" s="224"/>
      <c r="D27" s="228"/>
      <c r="E27" s="74"/>
      <c r="F27" s="226">
        <v>0</v>
      </c>
      <c r="G27" s="272">
        <f t="shared" si="0"/>
        <v>0</v>
      </c>
      <c r="H27" s="54"/>
    </row>
    <row r="28" spans="2:8" ht="16.5" hidden="1" x14ac:dyDescent="0.3">
      <c r="B28" s="16">
        <v>15</v>
      </c>
      <c r="C28" s="224"/>
      <c r="D28" s="229"/>
      <c r="E28" s="74"/>
      <c r="F28" s="226">
        <v>0</v>
      </c>
      <c r="G28" s="272">
        <f t="shared" si="0"/>
        <v>0</v>
      </c>
      <c r="H28" s="54"/>
    </row>
    <row r="29" spans="2:8" ht="16.5" hidden="1" x14ac:dyDescent="0.3">
      <c r="B29" s="16">
        <v>16</v>
      </c>
      <c r="C29" s="224"/>
      <c r="D29" s="228"/>
      <c r="E29" s="74"/>
      <c r="F29" s="226">
        <v>0</v>
      </c>
      <c r="G29" s="272">
        <f t="shared" si="0"/>
        <v>0</v>
      </c>
      <c r="H29" s="54"/>
    </row>
    <row r="30" spans="2:8" ht="16.5" hidden="1" x14ac:dyDescent="0.3">
      <c r="B30" s="16">
        <v>17</v>
      </c>
      <c r="C30" s="224"/>
      <c r="D30" s="227"/>
      <c r="E30" s="74"/>
      <c r="F30" s="226">
        <v>0</v>
      </c>
      <c r="G30" s="272">
        <f t="shared" si="0"/>
        <v>0</v>
      </c>
      <c r="H30" s="54"/>
    </row>
    <row r="31" spans="2:8" ht="16.5" hidden="1" x14ac:dyDescent="0.3">
      <c r="B31" s="16">
        <v>18</v>
      </c>
      <c r="C31" s="224"/>
      <c r="D31" s="227"/>
      <c r="E31" s="74"/>
      <c r="F31" s="226">
        <v>0</v>
      </c>
      <c r="G31" s="272">
        <f t="shared" si="0"/>
        <v>0</v>
      </c>
      <c r="H31" s="54"/>
    </row>
    <row r="32" spans="2:8" ht="16.5" hidden="1" x14ac:dyDescent="0.3">
      <c r="B32" s="16">
        <v>19</v>
      </c>
      <c r="C32" s="224"/>
      <c r="D32" s="227"/>
      <c r="E32" s="74"/>
      <c r="F32" s="226">
        <v>0</v>
      </c>
      <c r="G32" s="272">
        <f t="shared" si="0"/>
        <v>0</v>
      </c>
      <c r="H32" s="54"/>
    </row>
    <row r="33" spans="2:8" ht="16.5" hidden="1" x14ac:dyDescent="0.3">
      <c r="B33" s="16">
        <v>20</v>
      </c>
      <c r="C33" s="224"/>
      <c r="D33" s="227"/>
      <c r="E33" s="74"/>
      <c r="F33" s="226">
        <v>0</v>
      </c>
      <c r="G33" s="272">
        <f>E33*F33</f>
        <v>0</v>
      </c>
      <c r="H33" s="54"/>
    </row>
    <row r="34" spans="2:8" ht="34.5" hidden="1" x14ac:dyDescent="0.3">
      <c r="C34" s="224"/>
      <c r="D34" s="81" t="s">
        <v>566</v>
      </c>
      <c r="E34" s="74"/>
      <c r="F34" s="226">
        <v>0</v>
      </c>
      <c r="G34" s="272">
        <f t="shared" si="0"/>
        <v>0</v>
      </c>
      <c r="H34" s="54"/>
    </row>
    <row r="35" spans="2:8" ht="16.5" x14ac:dyDescent="0.3">
      <c r="B35" s="82"/>
      <c r="C35" s="230"/>
      <c r="D35" s="231"/>
      <c r="E35" s="86"/>
      <c r="F35" s="230"/>
      <c r="G35" s="232"/>
      <c r="H35" s="54"/>
    </row>
    <row r="36" spans="2:8" ht="16.5" x14ac:dyDescent="0.25">
      <c r="B36" s="912" t="s">
        <v>769</v>
      </c>
      <c r="C36" s="913"/>
      <c r="D36" s="913"/>
      <c r="E36" s="913"/>
      <c r="F36" s="913"/>
      <c r="G36" s="914"/>
      <c r="H36" s="236">
        <f>SUM(G39:G59)</f>
        <v>2300000</v>
      </c>
    </row>
    <row r="37" spans="2:8" ht="16.5" x14ac:dyDescent="0.3">
      <c r="B37" s="832" t="s">
        <v>35</v>
      </c>
      <c r="C37" s="832" t="s">
        <v>42</v>
      </c>
      <c r="D37" s="831" t="s">
        <v>153</v>
      </c>
      <c r="E37" s="837" t="s">
        <v>150</v>
      </c>
      <c r="F37" s="837" t="s">
        <v>51</v>
      </c>
      <c r="G37" s="876" t="s">
        <v>422</v>
      </c>
      <c r="H37" s="54"/>
    </row>
    <row r="38" spans="2:8" ht="16.5" x14ac:dyDescent="0.3">
      <c r="B38" s="832"/>
      <c r="C38" s="832"/>
      <c r="D38" s="915"/>
      <c r="E38" s="839"/>
      <c r="F38" s="839"/>
      <c r="G38" s="878"/>
      <c r="H38" s="54"/>
    </row>
    <row r="39" spans="2:8" ht="16.5" x14ac:dyDescent="0.3">
      <c r="B39" s="16">
        <v>1</v>
      </c>
      <c r="C39" s="410" t="s">
        <v>1779</v>
      </c>
      <c r="D39" s="227" t="s">
        <v>1778</v>
      </c>
      <c r="E39" s="224">
        <v>92</v>
      </c>
      <c r="F39" s="226">
        <v>25000</v>
      </c>
      <c r="G39" s="272">
        <f>E39*F39</f>
        <v>2300000</v>
      </c>
      <c r="H39" s="67"/>
    </row>
    <row r="40" spans="2:8" ht="16.5" hidden="1" x14ac:dyDescent="0.3">
      <c r="B40" s="16">
        <v>2</v>
      </c>
      <c r="C40" s="224"/>
      <c r="D40" s="227"/>
      <c r="E40" s="224"/>
      <c r="F40" s="226">
        <v>0</v>
      </c>
      <c r="G40" s="272">
        <f t="shared" ref="G40:G59" si="1">E40*F40</f>
        <v>0</v>
      </c>
      <c r="H40" s="54"/>
    </row>
    <row r="41" spans="2:8" ht="16.5" hidden="1" x14ac:dyDescent="0.3">
      <c r="B41" s="16">
        <v>3</v>
      </c>
      <c r="C41" s="224"/>
      <c r="D41" s="227"/>
      <c r="E41" s="224"/>
      <c r="F41" s="226">
        <v>0</v>
      </c>
      <c r="G41" s="272">
        <f t="shared" si="1"/>
        <v>0</v>
      </c>
      <c r="H41" s="54"/>
    </row>
    <row r="42" spans="2:8" ht="16.5" hidden="1" x14ac:dyDescent="0.3">
      <c r="B42" s="16">
        <v>4</v>
      </c>
      <c r="C42" s="224"/>
      <c r="D42" s="227"/>
      <c r="E42" s="74"/>
      <c r="F42" s="226">
        <v>0</v>
      </c>
      <c r="G42" s="272">
        <f t="shared" si="1"/>
        <v>0</v>
      </c>
      <c r="H42" s="54"/>
    </row>
    <row r="43" spans="2:8" ht="16.5" hidden="1" x14ac:dyDescent="0.3">
      <c r="B43" s="16">
        <v>5</v>
      </c>
      <c r="C43" s="224"/>
      <c r="D43" s="227"/>
      <c r="E43" s="74"/>
      <c r="F43" s="226">
        <v>0</v>
      </c>
      <c r="G43" s="272">
        <f t="shared" si="1"/>
        <v>0</v>
      </c>
      <c r="H43" s="54"/>
    </row>
    <row r="44" spans="2:8" ht="16.5" hidden="1" x14ac:dyDescent="0.3">
      <c r="B44" s="16">
        <v>6</v>
      </c>
      <c r="C44" s="224"/>
      <c r="D44" s="228"/>
      <c r="E44" s="74"/>
      <c r="F44" s="226">
        <v>0</v>
      </c>
      <c r="G44" s="272">
        <f t="shared" si="1"/>
        <v>0</v>
      </c>
      <c r="H44" s="54"/>
    </row>
    <row r="45" spans="2:8" ht="16.5" hidden="1" x14ac:dyDescent="0.3">
      <c r="B45" s="16">
        <v>7</v>
      </c>
      <c r="C45" s="224"/>
      <c r="D45" s="229"/>
      <c r="E45" s="74"/>
      <c r="F45" s="226">
        <v>0</v>
      </c>
      <c r="G45" s="272">
        <f t="shared" si="1"/>
        <v>0</v>
      </c>
      <c r="H45" s="54"/>
    </row>
    <row r="46" spans="2:8" ht="16.5" hidden="1" x14ac:dyDescent="0.3">
      <c r="B46" s="16">
        <v>8</v>
      </c>
      <c r="C46" s="224"/>
      <c r="D46" s="227"/>
      <c r="E46" s="74"/>
      <c r="F46" s="226">
        <v>0</v>
      </c>
      <c r="G46" s="272">
        <f t="shared" si="1"/>
        <v>0</v>
      </c>
      <c r="H46" s="54"/>
    </row>
    <row r="47" spans="2:8" ht="16.5" hidden="1" x14ac:dyDescent="0.3">
      <c r="B47" s="16">
        <v>9</v>
      </c>
      <c r="C47" s="224"/>
      <c r="D47" s="227"/>
      <c r="E47" s="74"/>
      <c r="F47" s="226">
        <v>0</v>
      </c>
      <c r="G47" s="272">
        <f t="shared" si="1"/>
        <v>0</v>
      </c>
      <c r="H47" s="54"/>
    </row>
    <row r="48" spans="2:8" ht="16.5" hidden="1" x14ac:dyDescent="0.3">
      <c r="B48" s="16">
        <v>10</v>
      </c>
      <c r="C48" s="224"/>
      <c r="D48" s="227"/>
      <c r="E48" s="74"/>
      <c r="F48" s="226">
        <v>0</v>
      </c>
      <c r="G48" s="272">
        <f t="shared" si="1"/>
        <v>0</v>
      </c>
      <c r="H48" s="54"/>
    </row>
    <row r="49" spans="2:8" ht="16.5" hidden="1" x14ac:dyDescent="0.3">
      <c r="B49" s="16">
        <v>11</v>
      </c>
      <c r="C49" s="224"/>
      <c r="D49" s="227"/>
      <c r="E49" s="74"/>
      <c r="F49" s="226">
        <v>0</v>
      </c>
      <c r="G49" s="272">
        <f t="shared" si="1"/>
        <v>0</v>
      </c>
      <c r="H49" s="54"/>
    </row>
    <row r="50" spans="2:8" ht="16.5" hidden="1" x14ac:dyDescent="0.3">
      <c r="B50" s="16">
        <v>12</v>
      </c>
      <c r="C50" s="224"/>
      <c r="D50" s="227"/>
      <c r="E50" s="74"/>
      <c r="F50" s="226">
        <v>0</v>
      </c>
      <c r="G50" s="272">
        <f t="shared" si="1"/>
        <v>0</v>
      </c>
      <c r="H50" s="54"/>
    </row>
    <row r="51" spans="2:8" ht="16.5" hidden="1" x14ac:dyDescent="0.3">
      <c r="B51" s="16">
        <v>13</v>
      </c>
      <c r="C51" s="224"/>
      <c r="D51" s="229"/>
      <c r="E51" s="74"/>
      <c r="F51" s="226">
        <v>0</v>
      </c>
      <c r="G51" s="272">
        <f t="shared" si="1"/>
        <v>0</v>
      </c>
      <c r="H51" s="54"/>
    </row>
    <row r="52" spans="2:8" ht="16.5" hidden="1" x14ac:dyDescent="0.3">
      <c r="B52" s="16">
        <v>14</v>
      </c>
      <c r="C52" s="224"/>
      <c r="D52" s="228"/>
      <c r="E52" s="74"/>
      <c r="F52" s="226">
        <v>0</v>
      </c>
      <c r="G52" s="272">
        <f t="shared" si="1"/>
        <v>0</v>
      </c>
      <c r="H52" s="54"/>
    </row>
    <row r="53" spans="2:8" ht="16.5" hidden="1" x14ac:dyDescent="0.3">
      <c r="B53" s="16">
        <v>15</v>
      </c>
      <c r="C53" s="224"/>
      <c r="D53" s="229"/>
      <c r="E53" s="74"/>
      <c r="F53" s="226">
        <v>0</v>
      </c>
      <c r="G53" s="272">
        <f t="shared" si="1"/>
        <v>0</v>
      </c>
      <c r="H53" s="54"/>
    </row>
    <row r="54" spans="2:8" ht="16.5" hidden="1" x14ac:dyDescent="0.3">
      <c r="B54" s="16">
        <v>16</v>
      </c>
      <c r="C54" s="224"/>
      <c r="D54" s="228"/>
      <c r="E54" s="74"/>
      <c r="F54" s="226">
        <v>0</v>
      </c>
      <c r="G54" s="272">
        <f t="shared" si="1"/>
        <v>0</v>
      </c>
      <c r="H54" s="54"/>
    </row>
    <row r="55" spans="2:8" ht="16.5" hidden="1" x14ac:dyDescent="0.3">
      <c r="B55" s="16">
        <v>17</v>
      </c>
      <c r="C55" s="224"/>
      <c r="D55" s="227"/>
      <c r="E55" s="74"/>
      <c r="F55" s="226">
        <v>0</v>
      </c>
      <c r="G55" s="272">
        <f t="shared" si="1"/>
        <v>0</v>
      </c>
      <c r="H55" s="54"/>
    </row>
    <row r="56" spans="2:8" ht="16.5" hidden="1" x14ac:dyDescent="0.3">
      <c r="B56" s="16">
        <v>18</v>
      </c>
      <c r="C56" s="224"/>
      <c r="D56" s="227"/>
      <c r="E56" s="74"/>
      <c r="F56" s="226">
        <v>0</v>
      </c>
      <c r="G56" s="272">
        <f t="shared" si="1"/>
        <v>0</v>
      </c>
      <c r="H56" s="54"/>
    </row>
    <row r="57" spans="2:8" ht="16.5" hidden="1" x14ac:dyDescent="0.3">
      <c r="B57" s="16">
        <v>19</v>
      </c>
      <c r="C57" s="224"/>
      <c r="D57" s="227"/>
      <c r="E57" s="74"/>
      <c r="F57" s="226">
        <v>0</v>
      </c>
      <c r="G57" s="272">
        <f t="shared" si="1"/>
        <v>0</v>
      </c>
      <c r="H57" s="54"/>
    </row>
    <row r="58" spans="2:8" ht="16.5" hidden="1" x14ac:dyDescent="0.3">
      <c r="B58" s="16">
        <v>20</v>
      </c>
      <c r="C58" s="224"/>
      <c r="D58" s="227"/>
      <c r="E58" s="74"/>
      <c r="F58" s="226">
        <v>0</v>
      </c>
      <c r="G58" s="272">
        <f t="shared" si="1"/>
        <v>0</v>
      </c>
      <c r="H58" s="54"/>
    </row>
    <row r="59" spans="2:8" ht="34.5" hidden="1" x14ac:dyDescent="0.3">
      <c r="C59" s="224"/>
      <c r="D59" s="81" t="s">
        <v>566</v>
      </c>
      <c r="E59" s="74"/>
      <c r="F59" s="226">
        <v>0</v>
      </c>
      <c r="G59" s="272">
        <f t="shared" si="1"/>
        <v>0</v>
      </c>
      <c r="H59" s="54"/>
    </row>
    <row r="60" spans="2:8" ht="16.5" x14ac:dyDescent="0.3">
      <c r="B60" s="82"/>
      <c r="C60" s="230"/>
      <c r="D60" s="231"/>
      <c r="E60" s="86"/>
      <c r="F60" s="230"/>
      <c r="G60" s="232"/>
      <c r="H60" s="54"/>
    </row>
    <row r="61" spans="2:8" ht="16.5" x14ac:dyDescent="0.25">
      <c r="B61" s="912" t="s">
        <v>774</v>
      </c>
      <c r="C61" s="913"/>
      <c r="D61" s="913"/>
      <c r="E61" s="913"/>
      <c r="F61" s="913"/>
      <c r="G61" s="914"/>
      <c r="H61" s="236">
        <f>SUM(G64:G84)</f>
        <v>38328994</v>
      </c>
    </row>
    <row r="62" spans="2:8" ht="16.5" x14ac:dyDescent="0.3">
      <c r="B62" s="832" t="s">
        <v>35</v>
      </c>
      <c r="C62" s="832" t="s">
        <v>42</v>
      </c>
      <c r="D62" s="831" t="s">
        <v>153</v>
      </c>
      <c r="E62" s="837" t="s">
        <v>150</v>
      </c>
      <c r="F62" s="837" t="s">
        <v>51</v>
      </c>
      <c r="G62" s="876" t="s">
        <v>422</v>
      </c>
      <c r="H62" s="54"/>
    </row>
    <row r="63" spans="2:8" ht="16.5" x14ac:dyDescent="0.3">
      <c r="B63" s="832"/>
      <c r="C63" s="832"/>
      <c r="D63" s="915"/>
      <c r="E63" s="839"/>
      <c r="F63" s="839"/>
      <c r="G63" s="878"/>
      <c r="H63" s="54"/>
    </row>
    <row r="64" spans="2:8" ht="16.5" x14ac:dyDescent="0.3">
      <c r="B64" s="16">
        <v>1</v>
      </c>
      <c r="C64" s="224" t="s">
        <v>779</v>
      </c>
      <c r="D64" s="411" t="s">
        <v>1782</v>
      </c>
      <c r="E64" s="224">
        <v>138</v>
      </c>
      <c r="F64" s="226">
        <v>50000</v>
      </c>
      <c r="G64" s="272">
        <f t="shared" ref="G64:G84" si="2">E64*F64</f>
        <v>6900000</v>
      </c>
      <c r="H64" s="67"/>
    </row>
    <row r="65" spans="2:8" ht="16.5" x14ac:dyDescent="0.3">
      <c r="B65" s="16">
        <v>2</v>
      </c>
      <c r="C65" s="224" t="s">
        <v>779</v>
      </c>
      <c r="D65" s="412" t="s">
        <v>1781</v>
      </c>
      <c r="E65" s="224">
        <v>23</v>
      </c>
      <c r="F65" s="226">
        <v>162500</v>
      </c>
      <c r="G65" s="272">
        <f t="shared" si="2"/>
        <v>3737500</v>
      </c>
      <c r="H65" s="54"/>
    </row>
    <row r="66" spans="2:8" ht="16.5" x14ac:dyDescent="0.3">
      <c r="B66" s="16">
        <v>3</v>
      </c>
      <c r="C66" s="224" t="s">
        <v>779</v>
      </c>
      <c r="D66" s="412" t="s">
        <v>770</v>
      </c>
      <c r="E66" s="224">
        <v>253</v>
      </c>
      <c r="F66" s="226">
        <v>50000</v>
      </c>
      <c r="G66" s="272">
        <f t="shared" si="2"/>
        <v>12650000</v>
      </c>
      <c r="H66" s="54"/>
    </row>
    <row r="67" spans="2:8" ht="16.5" x14ac:dyDescent="0.3">
      <c r="B67" s="16">
        <v>4</v>
      </c>
      <c r="C67" s="224" t="s">
        <v>779</v>
      </c>
      <c r="D67" s="412" t="s">
        <v>771</v>
      </c>
      <c r="E67" s="74">
        <v>46</v>
      </c>
      <c r="F67" s="226">
        <v>87500</v>
      </c>
      <c r="G67" s="272">
        <f t="shared" si="2"/>
        <v>4025000</v>
      </c>
      <c r="H67" s="54"/>
    </row>
    <row r="68" spans="2:8" ht="16.5" x14ac:dyDescent="0.3">
      <c r="B68" s="16">
        <v>5</v>
      </c>
      <c r="C68" s="224" t="s">
        <v>779</v>
      </c>
      <c r="D68" s="412" t="s">
        <v>772</v>
      </c>
      <c r="E68" s="74">
        <v>253</v>
      </c>
      <c r="F68" s="226">
        <v>9998</v>
      </c>
      <c r="G68" s="272">
        <f t="shared" si="2"/>
        <v>2529494</v>
      </c>
      <c r="H68" s="54"/>
    </row>
    <row r="69" spans="2:8" ht="16.5" x14ac:dyDescent="0.3">
      <c r="B69" s="16">
        <v>6</v>
      </c>
      <c r="C69" s="224" t="s">
        <v>779</v>
      </c>
      <c r="D69" s="413" t="s">
        <v>773</v>
      </c>
      <c r="E69" s="74">
        <v>46</v>
      </c>
      <c r="F69" s="226">
        <v>62500</v>
      </c>
      <c r="G69" s="272">
        <f t="shared" si="2"/>
        <v>2875000</v>
      </c>
      <c r="H69" s="54"/>
    </row>
    <row r="70" spans="2:8" ht="16.5" x14ac:dyDescent="0.3">
      <c r="B70" s="16">
        <v>7</v>
      </c>
      <c r="C70" s="224" t="s">
        <v>779</v>
      </c>
      <c r="D70" s="414" t="s">
        <v>1558</v>
      </c>
      <c r="E70" s="74">
        <v>92</v>
      </c>
      <c r="F70" s="226">
        <v>37500</v>
      </c>
      <c r="G70" s="272">
        <f t="shared" si="2"/>
        <v>3450000</v>
      </c>
      <c r="H70" s="54"/>
    </row>
    <row r="71" spans="2:8" ht="16.5" x14ac:dyDescent="0.3">
      <c r="B71" s="16">
        <v>8</v>
      </c>
      <c r="C71" s="224" t="s">
        <v>779</v>
      </c>
      <c r="D71" s="412" t="s">
        <v>1559</v>
      </c>
      <c r="E71" s="709">
        <v>253</v>
      </c>
      <c r="F71" s="710">
        <v>5000</v>
      </c>
      <c r="G71" s="272">
        <f t="shared" si="2"/>
        <v>1265000</v>
      </c>
      <c r="H71" s="54"/>
    </row>
    <row r="72" spans="2:8" ht="16.5" x14ac:dyDescent="0.3">
      <c r="B72" s="16">
        <v>9</v>
      </c>
      <c r="C72" s="224" t="s">
        <v>779</v>
      </c>
      <c r="D72" s="412" t="s">
        <v>1783</v>
      </c>
      <c r="E72" s="74">
        <v>23</v>
      </c>
      <c r="F72" s="226">
        <v>25000</v>
      </c>
      <c r="G72" s="272">
        <f t="shared" si="2"/>
        <v>575000</v>
      </c>
      <c r="H72" s="54"/>
    </row>
    <row r="73" spans="2:8" ht="16.5" x14ac:dyDescent="0.3">
      <c r="B73" s="16">
        <v>10</v>
      </c>
      <c r="C73" s="480" t="s">
        <v>779</v>
      </c>
      <c r="D73" s="412" t="s">
        <v>1910</v>
      </c>
      <c r="E73" s="74">
        <v>23</v>
      </c>
      <c r="F73" s="226">
        <v>14000</v>
      </c>
      <c r="G73" s="272">
        <f t="shared" si="2"/>
        <v>322000</v>
      </c>
      <c r="H73" s="54"/>
    </row>
    <row r="74" spans="2:8" ht="16.5" hidden="1" x14ac:dyDescent="0.3">
      <c r="B74" s="16">
        <v>11</v>
      </c>
      <c r="C74" s="224"/>
      <c r="D74" s="227"/>
      <c r="E74" s="74"/>
      <c r="F74" s="226">
        <v>0</v>
      </c>
      <c r="G74" s="272">
        <f t="shared" si="2"/>
        <v>0</v>
      </c>
      <c r="H74" s="54"/>
    </row>
    <row r="75" spans="2:8" ht="16.5" hidden="1" x14ac:dyDescent="0.3">
      <c r="B75" s="16">
        <v>12</v>
      </c>
      <c r="C75" s="224"/>
      <c r="D75" s="227"/>
      <c r="E75" s="74"/>
      <c r="F75" s="226">
        <v>0</v>
      </c>
      <c r="G75" s="272">
        <f t="shared" si="2"/>
        <v>0</v>
      </c>
      <c r="H75" s="54"/>
    </row>
    <row r="76" spans="2:8" ht="16.5" hidden="1" x14ac:dyDescent="0.3">
      <c r="B76" s="16">
        <v>13</v>
      </c>
      <c r="C76" s="224"/>
      <c r="D76" s="229"/>
      <c r="E76" s="74"/>
      <c r="F76" s="226">
        <v>0</v>
      </c>
      <c r="G76" s="272">
        <f t="shared" si="2"/>
        <v>0</v>
      </c>
      <c r="H76" s="54"/>
    </row>
    <row r="77" spans="2:8" ht="16.5" hidden="1" x14ac:dyDescent="0.3">
      <c r="B77" s="16">
        <v>14</v>
      </c>
      <c r="C77" s="224"/>
      <c r="D77" s="228"/>
      <c r="E77" s="74"/>
      <c r="F77" s="226">
        <v>0</v>
      </c>
      <c r="G77" s="272">
        <f t="shared" si="2"/>
        <v>0</v>
      </c>
      <c r="H77" s="54"/>
    </row>
    <row r="78" spans="2:8" ht="16.5" hidden="1" x14ac:dyDescent="0.3">
      <c r="B78" s="16">
        <v>15</v>
      </c>
      <c r="C78" s="224"/>
      <c r="D78" s="229"/>
      <c r="E78" s="74"/>
      <c r="F78" s="226">
        <v>0</v>
      </c>
      <c r="G78" s="272">
        <f t="shared" si="2"/>
        <v>0</v>
      </c>
      <c r="H78" s="54"/>
    </row>
    <row r="79" spans="2:8" ht="16.5" hidden="1" x14ac:dyDescent="0.3">
      <c r="B79" s="16">
        <v>16</v>
      </c>
      <c r="C79" s="224"/>
      <c r="D79" s="228"/>
      <c r="E79" s="74"/>
      <c r="F79" s="226">
        <v>0</v>
      </c>
      <c r="G79" s="272">
        <f t="shared" si="2"/>
        <v>0</v>
      </c>
      <c r="H79" s="54"/>
    </row>
    <row r="80" spans="2:8" ht="16.5" hidden="1" x14ac:dyDescent="0.3">
      <c r="B80" s="16">
        <v>17</v>
      </c>
      <c r="C80" s="224"/>
      <c r="D80" s="227"/>
      <c r="E80" s="74"/>
      <c r="F80" s="226">
        <v>0</v>
      </c>
      <c r="G80" s="272">
        <f t="shared" si="2"/>
        <v>0</v>
      </c>
      <c r="H80" s="54"/>
    </row>
    <row r="81" spans="2:8" ht="16.5" hidden="1" x14ac:dyDescent="0.3">
      <c r="B81" s="16">
        <v>18</v>
      </c>
      <c r="C81" s="224"/>
      <c r="D81" s="227"/>
      <c r="E81" s="74"/>
      <c r="F81" s="226">
        <v>0</v>
      </c>
      <c r="G81" s="272">
        <f t="shared" si="2"/>
        <v>0</v>
      </c>
      <c r="H81" s="54"/>
    </row>
    <row r="82" spans="2:8" ht="16.5" hidden="1" x14ac:dyDescent="0.3">
      <c r="B82" s="16">
        <v>19</v>
      </c>
      <c r="C82" s="224"/>
      <c r="D82" s="227"/>
      <c r="E82" s="74"/>
      <c r="F82" s="226">
        <v>0</v>
      </c>
      <c r="G82" s="272">
        <f t="shared" si="2"/>
        <v>0</v>
      </c>
      <c r="H82" s="54"/>
    </row>
    <row r="83" spans="2:8" ht="15.75" hidden="1" customHeight="1" x14ac:dyDescent="0.3">
      <c r="B83" s="16">
        <v>20</v>
      </c>
      <c r="C83" s="224"/>
      <c r="D83" s="227"/>
      <c r="E83" s="74"/>
      <c r="F83" s="226">
        <v>0</v>
      </c>
      <c r="G83" s="272">
        <f t="shared" si="2"/>
        <v>0</v>
      </c>
      <c r="H83" s="54"/>
    </row>
    <row r="84" spans="2:8" ht="12" hidden="1" customHeight="1" x14ac:dyDescent="0.3">
      <c r="C84" s="224"/>
      <c r="D84" s="81" t="s">
        <v>566</v>
      </c>
      <c r="E84" s="74"/>
      <c r="F84" s="226">
        <v>0</v>
      </c>
      <c r="G84" s="272">
        <f t="shared" si="2"/>
        <v>0</v>
      </c>
      <c r="H84" s="54"/>
    </row>
    <row r="85" spans="2:8" ht="16.5" x14ac:dyDescent="0.3">
      <c r="B85" s="82"/>
      <c r="C85" s="230"/>
      <c r="D85" s="231"/>
      <c r="E85" s="86"/>
      <c r="F85" s="230"/>
      <c r="G85" s="232"/>
      <c r="H85" s="54"/>
    </row>
    <row r="86" spans="2:8" ht="16.5" hidden="1" x14ac:dyDescent="0.25">
      <c r="B86" s="912" t="s">
        <v>151</v>
      </c>
      <c r="C86" s="913"/>
      <c r="D86" s="913"/>
      <c r="E86" s="913"/>
      <c r="F86" s="913"/>
      <c r="G86" s="914"/>
      <c r="H86" s="236">
        <f>SUM(G89:G109)</f>
        <v>0</v>
      </c>
    </row>
    <row r="87" spans="2:8" ht="16.5" hidden="1" x14ac:dyDescent="0.3">
      <c r="B87" s="832" t="s">
        <v>35</v>
      </c>
      <c r="C87" s="832" t="s">
        <v>42</v>
      </c>
      <c r="D87" s="831" t="s">
        <v>153</v>
      </c>
      <c r="E87" s="837" t="s">
        <v>150</v>
      </c>
      <c r="F87" s="837" t="s">
        <v>51</v>
      </c>
      <c r="G87" s="876" t="s">
        <v>422</v>
      </c>
      <c r="H87" s="54"/>
    </row>
    <row r="88" spans="2:8" ht="16.5" hidden="1" x14ac:dyDescent="0.3">
      <c r="B88" s="832"/>
      <c r="C88" s="832"/>
      <c r="D88" s="915"/>
      <c r="E88" s="839"/>
      <c r="F88" s="839"/>
      <c r="G88" s="878"/>
      <c r="H88" s="54"/>
    </row>
    <row r="89" spans="2:8" ht="16.5" hidden="1" x14ac:dyDescent="0.3">
      <c r="B89" s="16">
        <v>1</v>
      </c>
      <c r="C89" s="224"/>
      <c r="D89" s="225"/>
      <c r="E89" s="224"/>
      <c r="F89" s="226">
        <v>0</v>
      </c>
      <c r="G89" s="272">
        <f t="shared" ref="G89:G109" si="3">E89*F89</f>
        <v>0</v>
      </c>
      <c r="H89" s="67"/>
    </row>
    <row r="90" spans="2:8" ht="16.5" hidden="1" x14ac:dyDescent="0.3">
      <c r="B90" s="16">
        <v>2</v>
      </c>
      <c r="C90" s="224"/>
      <c r="D90" s="227"/>
      <c r="E90" s="224"/>
      <c r="F90" s="226">
        <v>0</v>
      </c>
      <c r="G90" s="272">
        <f t="shared" si="3"/>
        <v>0</v>
      </c>
      <c r="H90" s="54"/>
    </row>
    <row r="91" spans="2:8" ht="16.5" hidden="1" x14ac:dyDescent="0.3">
      <c r="B91" s="16">
        <v>3</v>
      </c>
      <c r="C91" s="224"/>
      <c r="D91" s="227"/>
      <c r="E91" s="224"/>
      <c r="F91" s="226">
        <v>0</v>
      </c>
      <c r="G91" s="272">
        <f t="shared" si="3"/>
        <v>0</v>
      </c>
      <c r="H91" s="54"/>
    </row>
    <row r="92" spans="2:8" ht="16.5" hidden="1" x14ac:dyDescent="0.3">
      <c r="B92" s="16">
        <v>4</v>
      </c>
      <c r="C92" s="224"/>
      <c r="D92" s="227"/>
      <c r="E92" s="74"/>
      <c r="F92" s="226">
        <v>0</v>
      </c>
      <c r="G92" s="272">
        <f t="shared" si="3"/>
        <v>0</v>
      </c>
      <c r="H92" s="54"/>
    </row>
    <row r="93" spans="2:8" ht="16.5" hidden="1" x14ac:dyDescent="0.3">
      <c r="B93" s="16">
        <v>5</v>
      </c>
      <c r="C93" s="224"/>
      <c r="D93" s="227"/>
      <c r="E93" s="74"/>
      <c r="F93" s="226">
        <v>0</v>
      </c>
      <c r="G93" s="272">
        <f t="shared" si="3"/>
        <v>0</v>
      </c>
      <c r="H93" s="54"/>
    </row>
    <row r="94" spans="2:8" ht="16.5" hidden="1" x14ac:dyDescent="0.3">
      <c r="B94" s="16">
        <v>6</v>
      </c>
      <c r="C94" s="224"/>
      <c r="D94" s="228"/>
      <c r="E94" s="74"/>
      <c r="F94" s="226">
        <v>0</v>
      </c>
      <c r="G94" s="272">
        <f t="shared" si="3"/>
        <v>0</v>
      </c>
      <c r="H94" s="54"/>
    </row>
    <row r="95" spans="2:8" ht="16.5" hidden="1" x14ac:dyDescent="0.3">
      <c r="B95" s="16">
        <v>7</v>
      </c>
      <c r="C95" s="224"/>
      <c r="D95" s="229"/>
      <c r="E95" s="74"/>
      <c r="F95" s="226">
        <v>0</v>
      </c>
      <c r="G95" s="272">
        <f t="shared" si="3"/>
        <v>0</v>
      </c>
      <c r="H95" s="54"/>
    </row>
    <row r="96" spans="2:8" ht="16.5" hidden="1" x14ac:dyDescent="0.3">
      <c r="B96" s="16">
        <v>8</v>
      </c>
      <c r="C96" s="224"/>
      <c r="D96" s="227"/>
      <c r="E96" s="74"/>
      <c r="F96" s="226">
        <v>0</v>
      </c>
      <c r="G96" s="272">
        <f t="shared" si="3"/>
        <v>0</v>
      </c>
      <c r="H96" s="54"/>
    </row>
    <row r="97" spans="2:8" ht="16.5" hidden="1" x14ac:dyDescent="0.3">
      <c r="B97" s="16">
        <v>9</v>
      </c>
      <c r="C97" s="224"/>
      <c r="D97" s="227"/>
      <c r="E97" s="74"/>
      <c r="F97" s="226">
        <v>0</v>
      </c>
      <c r="G97" s="272">
        <f t="shared" si="3"/>
        <v>0</v>
      </c>
      <c r="H97" s="54"/>
    </row>
    <row r="98" spans="2:8" ht="16.5" hidden="1" x14ac:dyDescent="0.3">
      <c r="B98" s="16">
        <v>10</v>
      </c>
      <c r="C98" s="224"/>
      <c r="D98" s="227"/>
      <c r="E98" s="74"/>
      <c r="F98" s="226">
        <v>0</v>
      </c>
      <c r="G98" s="272">
        <f t="shared" si="3"/>
        <v>0</v>
      </c>
      <c r="H98" s="54"/>
    </row>
    <row r="99" spans="2:8" ht="16.5" hidden="1" x14ac:dyDescent="0.3">
      <c r="B99" s="16">
        <v>11</v>
      </c>
      <c r="C99" s="224"/>
      <c r="D99" s="227"/>
      <c r="E99" s="74"/>
      <c r="F99" s="226">
        <v>0</v>
      </c>
      <c r="G99" s="272">
        <f t="shared" si="3"/>
        <v>0</v>
      </c>
      <c r="H99" s="54"/>
    </row>
    <row r="100" spans="2:8" ht="16.5" hidden="1" x14ac:dyDescent="0.3">
      <c r="B100" s="16">
        <v>12</v>
      </c>
      <c r="C100" s="224"/>
      <c r="D100" s="227"/>
      <c r="E100" s="74"/>
      <c r="F100" s="226">
        <v>0</v>
      </c>
      <c r="G100" s="272">
        <f t="shared" si="3"/>
        <v>0</v>
      </c>
      <c r="H100" s="54"/>
    </row>
    <row r="101" spans="2:8" ht="16.5" hidden="1" x14ac:dyDescent="0.3">
      <c r="B101" s="16">
        <v>13</v>
      </c>
      <c r="C101" s="224"/>
      <c r="D101" s="229"/>
      <c r="E101" s="74"/>
      <c r="F101" s="226">
        <v>0</v>
      </c>
      <c r="G101" s="272">
        <f t="shared" si="3"/>
        <v>0</v>
      </c>
      <c r="H101" s="54"/>
    </row>
    <row r="102" spans="2:8" ht="16.5" hidden="1" x14ac:dyDescent="0.3">
      <c r="B102" s="16">
        <v>14</v>
      </c>
      <c r="C102" s="224"/>
      <c r="D102" s="228"/>
      <c r="E102" s="74"/>
      <c r="F102" s="226">
        <v>0</v>
      </c>
      <c r="G102" s="272">
        <f t="shared" si="3"/>
        <v>0</v>
      </c>
      <c r="H102" s="54"/>
    </row>
    <row r="103" spans="2:8" ht="16.5" hidden="1" x14ac:dyDescent="0.3">
      <c r="B103" s="16">
        <v>15</v>
      </c>
      <c r="C103" s="224"/>
      <c r="D103" s="229"/>
      <c r="E103" s="74"/>
      <c r="F103" s="226">
        <v>0</v>
      </c>
      <c r="G103" s="272">
        <f t="shared" si="3"/>
        <v>0</v>
      </c>
      <c r="H103" s="54"/>
    </row>
    <row r="104" spans="2:8" ht="16.5" hidden="1" x14ac:dyDescent="0.3">
      <c r="B104" s="16">
        <v>16</v>
      </c>
      <c r="C104" s="224"/>
      <c r="D104" s="228"/>
      <c r="E104" s="74"/>
      <c r="F104" s="226">
        <v>0</v>
      </c>
      <c r="G104" s="272">
        <f t="shared" si="3"/>
        <v>0</v>
      </c>
      <c r="H104" s="54"/>
    </row>
    <row r="105" spans="2:8" ht="16.5" hidden="1" x14ac:dyDescent="0.3">
      <c r="B105" s="16">
        <v>17</v>
      </c>
      <c r="C105" s="224"/>
      <c r="D105" s="227"/>
      <c r="E105" s="74"/>
      <c r="F105" s="226">
        <v>0</v>
      </c>
      <c r="G105" s="272">
        <f t="shared" si="3"/>
        <v>0</v>
      </c>
      <c r="H105" s="54"/>
    </row>
    <row r="106" spans="2:8" ht="16.5" hidden="1" x14ac:dyDescent="0.3">
      <c r="B106" s="16">
        <v>18</v>
      </c>
      <c r="C106" s="224"/>
      <c r="D106" s="227"/>
      <c r="E106" s="74"/>
      <c r="F106" s="226">
        <v>0</v>
      </c>
      <c r="G106" s="272">
        <f t="shared" si="3"/>
        <v>0</v>
      </c>
      <c r="H106" s="54"/>
    </row>
    <row r="107" spans="2:8" ht="16.5" hidden="1" x14ac:dyDescent="0.3">
      <c r="B107" s="16">
        <v>19</v>
      </c>
      <c r="C107" s="224"/>
      <c r="D107" s="227"/>
      <c r="E107" s="74"/>
      <c r="F107" s="226">
        <v>0</v>
      </c>
      <c r="G107" s="272">
        <f t="shared" si="3"/>
        <v>0</v>
      </c>
      <c r="H107" s="54"/>
    </row>
    <row r="108" spans="2:8" ht="16.5" hidden="1" x14ac:dyDescent="0.3">
      <c r="B108" s="16">
        <v>20</v>
      </c>
      <c r="C108" s="224"/>
      <c r="D108" s="227"/>
      <c r="E108" s="74"/>
      <c r="F108" s="226">
        <v>0</v>
      </c>
      <c r="G108" s="272">
        <f t="shared" si="3"/>
        <v>0</v>
      </c>
      <c r="H108" s="54"/>
    </row>
    <row r="109" spans="2:8" ht="34.5" hidden="1" x14ac:dyDescent="0.3">
      <c r="C109" s="224"/>
      <c r="D109" s="81" t="s">
        <v>566</v>
      </c>
      <c r="E109" s="74"/>
      <c r="F109" s="226">
        <v>0</v>
      </c>
      <c r="G109" s="272">
        <f t="shared" si="3"/>
        <v>0</v>
      </c>
      <c r="H109" s="54"/>
    </row>
    <row r="110" spans="2:8" ht="16.5" hidden="1" x14ac:dyDescent="0.3">
      <c r="B110" s="82"/>
      <c r="C110" s="230"/>
      <c r="D110" s="231"/>
      <c r="E110" s="86"/>
      <c r="F110" s="230"/>
      <c r="G110" s="232"/>
      <c r="H110" s="54"/>
    </row>
    <row r="111" spans="2:8" ht="16.5" hidden="1" x14ac:dyDescent="0.25">
      <c r="B111" s="912" t="s">
        <v>152</v>
      </c>
      <c r="C111" s="913"/>
      <c r="D111" s="913"/>
      <c r="E111" s="913"/>
      <c r="F111" s="913"/>
      <c r="G111" s="914"/>
      <c r="H111" s="236">
        <f>SUM(G114:G134)</f>
        <v>0</v>
      </c>
    </row>
    <row r="112" spans="2:8" ht="16.5" hidden="1" x14ac:dyDescent="0.3">
      <c r="B112" s="832" t="s">
        <v>35</v>
      </c>
      <c r="C112" s="832" t="s">
        <v>42</v>
      </c>
      <c r="D112" s="831" t="s">
        <v>153</v>
      </c>
      <c r="E112" s="837" t="s">
        <v>150</v>
      </c>
      <c r="F112" s="837" t="s">
        <v>51</v>
      </c>
      <c r="G112" s="876" t="s">
        <v>422</v>
      </c>
      <c r="H112" s="54"/>
    </row>
    <row r="113" spans="2:8" ht="16.5" hidden="1" x14ac:dyDescent="0.3">
      <c r="B113" s="832"/>
      <c r="C113" s="832"/>
      <c r="D113" s="915"/>
      <c r="E113" s="839"/>
      <c r="F113" s="839"/>
      <c r="G113" s="878"/>
      <c r="H113" s="54"/>
    </row>
    <row r="114" spans="2:8" ht="16.5" hidden="1" x14ac:dyDescent="0.3">
      <c r="B114" s="16">
        <v>1</v>
      </c>
      <c r="C114" s="224"/>
      <c r="D114" s="225"/>
      <c r="E114" s="224"/>
      <c r="F114" s="226">
        <v>0</v>
      </c>
      <c r="G114" s="272">
        <f t="shared" ref="G114:G134" si="4">E114*F114</f>
        <v>0</v>
      </c>
      <c r="H114" s="67"/>
    </row>
    <row r="115" spans="2:8" ht="16.5" hidden="1" x14ac:dyDescent="0.3">
      <c r="B115" s="16">
        <v>2</v>
      </c>
      <c r="C115" s="224"/>
      <c r="D115" s="227"/>
      <c r="E115" s="224"/>
      <c r="F115" s="226">
        <v>0</v>
      </c>
      <c r="G115" s="272">
        <f t="shared" si="4"/>
        <v>0</v>
      </c>
      <c r="H115" s="54"/>
    </row>
    <row r="116" spans="2:8" ht="16.5" hidden="1" x14ac:dyDescent="0.3">
      <c r="B116" s="16">
        <v>3</v>
      </c>
      <c r="C116" s="224"/>
      <c r="D116" s="227"/>
      <c r="E116" s="224"/>
      <c r="F116" s="226">
        <v>0</v>
      </c>
      <c r="G116" s="272">
        <f t="shared" si="4"/>
        <v>0</v>
      </c>
      <c r="H116" s="54"/>
    </row>
    <row r="117" spans="2:8" ht="16.5" hidden="1" x14ac:dyDescent="0.3">
      <c r="B117" s="16">
        <v>4</v>
      </c>
      <c r="C117" s="224"/>
      <c r="D117" s="227"/>
      <c r="E117" s="74"/>
      <c r="F117" s="226">
        <v>0</v>
      </c>
      <c r="G117" s="272">
        <f>E117*F117</f>
        <v>0</v>
      </c>
      <c r="H117" s="54"/>
    </row>
    <row r="118" spans="2:8" ht="16.5" hidden="1" x14ac:dyDescent="0.3">
      <c r="B118" s="16">
        <v>5</v>
      </c>
      <c r="C118" s="224"/>
      <c r="D118" s="227"/>
      <c r="E118" s="74"/>
      <c r="F118" s="226">
        <v>0</v>
      </c>
      <c r="G118" s="272">
        <f t="shared" si="4"/>
        <v>0</v>
      </c>
      <c r="H118" s="54"/>
    </row>
    <row r="119" spans="2:8" ht="16.5" hidden="1" x14ac:dyDescent="0.3">
      <c r="B119" s="16">
        <v>6</v>
      </c>
      <c r="C119" s="224"/>
      <c r="D119" s="228"/>
      <c r="E119" s="74"/>
      <c r="F119" s="226">
        <v>0</v>
      </c>
      <c r="G119" s="272">
        <f t="shared" si="4"/>
        <v>0</v>
      </c>
      <c r="H119" s="54"/>
    </row>
    <row r="120" spans="2:8" ht="16.5" hidden="1" x14ac:dyDescent="0.3">
      <c r="B120" s="16">
        <v>7</v>
      </c>
      <c r="C120" s="224"/>
      <c r="D120" s="229"/>
      <c r="E120" s="74"/>
      <c r="F120" s="226">
        <v>0</v>
      </c>
      <c r="G120" s="272">
        <f t="shared" si="4"/>
        <v>0</v>
      </c>
      <c r="H120" s="54"/>
    </row>
    <row r="121" spans="2:8" ht="16.5" hidden="1" x14ac:dyDescent="0.3">
      <c r="B121" s="16">
        <v>8</v>
      </c>
      <c r="C121" s="224"/>
      <c r="D121" s="227"/>
      <c r="E121" s="74"/>
      <c r="F121" s="226">
        <v>0</v>
      </c>
      <c r="G121" s="272">
        <f t="shared" si="4"/>
        <v>0</v>
      </c>
      <c r="H121" s="54"/>
    </row>
    <row r="122" spans="2:8" ht="16.5" hidden="1" x14ac:dyDescent="0.3">
      <c r="B122" s="16">
        <v>9</v>
      </c>
      <c r="C122" s="224"/>
      <c r="D122" s="227"/>
      <c r="E122" s="74"/>
      <c r="F122" s="226">
        <v>0</v>
      </c>
      <c r="G122" s="272">
        <f>E122*F122</f>
        <v>0</v>
      </c>
      <c r="H122" s="54"/>
    </row>
    <row r="123" spans="2:8" ht="16.5" hidden="1" x14ac:dyDescent="0.3">
      <c r="B123" s="16">
        <v>10</v>
      </c>
      <c r="C123" s="224"/>
      <c r="D123" s="227"/>
      <c r="E123" s="74"/>
      <c r="F123" s="226">
        <v>0</v>
      </c>
      <c r="G123" s="272">
        <f t="shared" si="4"/>
        <v>0</v>
      </c>
      <c r="H123" s="54"/>
    </row>
    <row r="124" spans="2:8" ht="16.5" hidden="1" x14ac:dyDescent="0.3">
      <c r="B124" s="16">
        <v>11</v>
      </c>
      <c r="C124" s="224"/>
      <c r="D124" s="227"/>
      <c r="E124" s="74"/>
      <c r="F124" s="226">
        <v>0</v>
      </c>
      <c r="G124" s="272">
        <f t="shared" si="4"/>
        <v>0</v>
      </c>
      <c r="H124" s="54"/>
    </row>
    <row r="125" spans="2:8" ht="16.5" hidden="1" x14ac:dyDescent="0.3">
      <c r="B125" s="16">
        <v>12</v>
      </c>
      <c r="C125" s="224"/>
      <c r="D125" s="227"/>
      <c r="E125" s="74"/>
      <c r="F125" s="226">
        <v>0</v>
      </c>
      <c r="G125" s="272">
        <f t="shared" si="4"/>
        <v>0</v>
      </c>
      <c r="H125" s="54"/>
    </row>
    <row r="126" spans="2:8" ht="16.5" hidden="1" x14ac:dyDescent="0.3">
      <c r="B126" s="16">
        <v>13</v>
      </c>
      <c r="C126" s="224"/>
      <c r="D126" s="229"/>
      <c r="E126" s="74"/>
      <c r="F126" s="226">
        <v>0</v>
      </c>
      <c r="G126" s="272">
        <f t="shared" si="4"/>
        <v>0</v>
      </c>
      <c r="H126" s="54"/>
    </row>
    <row r="127" spans="2:8" ht="16.5" hidden="1" x14ac:dyDescent="0.3">
      <c r="B127" s="16">
        <v>14</v>
      </c>
      <c r="C127" s="224"/>
      <c r="D127" s="228"/>
      <c r="E127" s="74"/>
      <c r="F127" s="226">
        <v>0</v>
      </c>
      <c r="G127" s="272">
        <f t="shared" si="4"/>
        <v>0</v>
      </c>
      <c r="H127" s="54"/>
    </row>
    <row r="128" spans="2:8" ht="16.5" hidden="1" x14ac:dyDescent="0.3">
      <c r="B128" s="16">
        <v>15</v>
      </c>
      <c r="C128" s="224"/>
      <c r="D128" s="229"/>
      <c r="E128" s="74"/>
      <c r="F128" s="226">
        <v>0</v>
      </c>
      <c r="G128" s="272">
        <f>E128*F128</f>
        <v>0</v>
      </c>
      <c r="H128" s="54"/>
    </row>
    <row r="129" spans="2:8" ht="16.5" hidden="1" x14ac:dyDescent="0.3">
      <c r="B129" s="16">
        <v>16</v>
      </c>
      <c r="C129" s="224"/>
      <c r="D129" s="228"/>
      <c r="E129" s="74"/>
      <c r="F129" s="226">
        <v>0</v>
      </c>
      <c r="G129" s="272">
        <f t="shared" si="4"/>
        <v>0</v>
      </c>
      <c r="H129" s="54"/>
    </row>
    <row r="130" spans="2:8" ht="16.5" hidden="1" x14ac:dyDescent="0.3">
      <c r="B130" s="16">
        <v>17</v>
      </c>
      <c r="C130" s="224"/>
      <c r="D130" s="227"/>
      <c r="E130" s="74"/>
      <c r="F130" s="226">
        <v>0</v>
      </c>
      <c r="G130" s="272">
        <f t="shared" si="4"/>
        <v>0</v>
      </c>
      <c r="H130" s="54"/>
    </row>
    <row r="131" spans="2:8" ht="16.5" hidden="1" x14ac:dyDescent="0.3">
      <c r="B131" s="16">
        <v>18</v>
      </c>
      <c r="C131" s="224"/>
      <c r="D131" s="227"/>
      <c r="E131" s="74"/>
      <c r="F131" s="226">
        <v>0</v>
      </c>
      <c r="G131" s="272">
        <f t="shared" si="4"/>
        <v>0</v>
      </c>
      <c r="H131" s="54"/>
    </row>
    <row r="132" spans="2:8" ht="16.5" hidden="1" x14ac:dyDescent="0.3">
      <c r="B132" s="16">
        <v>19</v>
      </c>
      <c r="C132" s="224"/>
      <c r="D132" s="227"/>
      <c r="E132" s="74"/>
      <c r="F132" s="226">
        <v>0</v>
      </c>
      <c r="G132" s="272">
        <f t="shared" si="4"/>
        <v>0</v>
      </c>
      <c r="H132" s="54"/>
    </row>
    <row r="133" spans="2:8" ht="16.5" hidden="1" x14ac:dyDescent="0.3">
      <c r="B133" s="16">
        <v>20</v>
      </c>
      <c r="C133" s="224"/>
      <c r="D133" s="227"/>
      <c r="E133" s="74"/>
      <c r="F133" s="226">
        <v>0</v>
      </c>
      <c r="G133" s="272">
        <f t="shared" si="4"/>
        <v>0</v>
      </c>
      <c r="H133" s="54"/>
    </row>
    <row r="134" spans="2:8" ht="34.5" hidden="1" x14ac:dyDescent="0.3">
      <c r="C134" s="224"/>
      <c r="D134" s="81" t="s">
        <v>566</v>
      </c>
      <c r="E134" s="74"/>
      <c r="F134" s="226">
        <v>0</v>
      </c>
      <c r="G134" s="272">
        <f t="shared" si="4"/>
        <v>0</v>
      </c>
      <c r="H134" s="54"/>
    </row>
    <row r="135" spans="2:8" ht="16.5" x14ac:dyDescent="0.3">
      <c r="B135" s="82"/>
      <c r="C135" s="230"/>
      <c r="D135" s="231"/>
      <c r="E135" s="86"/>
      <c r="F135" s="230"/>
      <c r="G135" s="232"/>
      <c r="H135" s="54"/>
    </row>
    <row r="136" spans="2:8" ht="17.25" x14ac:dyDescent="0.25">
      <c r="B136" s="82"/>
      <c r="C136" s="82"/>
      <c r="D136" s="219"/>
      <c r="E136" s="86"/>
      <c r="F136" s="82"/>
      <c r="G136" s="906" t="s">
        <v>155</v>
      </c>
      <c r="H136" s="907"/>
    </row>
    <row r="137" spans="2:8" ht="17.25" x14ac:dyDescent="0.3">
      <c r="B137" s="220">
        <v>2</v>
      </c>
      <c r="C137" s="221" t="s">
        <v>180</v>
      </c>
      <c r="D137" s="221"/>
      <c r="E137" s="221"/>
      <c r="F137" s="221"/>
      <c r="G137" s="222"/>
      <c r="H137" s="234">
        <f>SUM(H138,H163,H188,H213)</f>
        <v>28287140.68</v>
      </c>
    </row>
    <row r="138" spans="2:8" ht="16.5" customHeight="1" x14ac:dyDescent="0.25">
      <c r="B138" s="763" t="s">
        <v>1560</v>
      </c>
      <c r="C138" s="764"/>
      <c r="D138" s="764"/>
      <c r="E138" s="764"/>
      <c r="F138" s="764"/>
      <c r="G138" s="765"/>
      <c r="H138" s="236">
        <f>SUM(G141:G161)</f>
        <v>28287140.68</v>
      </c>
    </row>
    <row r="139" spans="2:8" ht="16.5" x14ac:dyDescent="0.3">
      <c r="B139" s="832" t="s">
        <v>35</v>
      </c>
      <c r="C139" s="892" t="s">
        <v>153</v>
      </c>
      <c r="D139" s="893"/>
      <c r="E139" s="837" t="s">
        <v>150</v>
      </c>
      <c r="F139" s="837" t="s">
        <v>51</v>
      </c>
      <c r="G139" s="876" t="s">
        <v>422</v>
      </c>
      <c r="H139" s="54"/>
    </row>
    <row r="140" spans="2:8" ht="16.5" x14ac:dyDescent="0.3">
      <c r="B140" s="832"/>
      <c r="C140" s="894"/>
      <c r="D140" s="895"/>
      <c r="E140" s="839"/>
      <c r="F140" s="839"/>
      <c r="G140" s="878"/>
      <c r="H140" s="54"/>
    </row>
    <row r="141" spans="2:8" ht="17.25" x14ac:dyDescent="0.3">
      <c r="B141" s="16">
        <v>1</v>
      </c>
      <c r="C141" s="904" t="s">
        <v>882</v>
      </c>
      <c r="D141" s="905"/>
      <c r="E141" s="224">
        <v>1</v>
      </c>
      <c r="F141" s="226">
        <v>1600000</v>
      </c>
      <c r="G141" s="272">
        <f t="shared" ref="G141:G161" si="5">E141*F141</f>
        <v>1600000</v>
      </c>
      <c r="H141" s="67"/>
    </row>
    <row r="142" spans="2:8" ht="16.5" x14ac:dyDescent="0.3">
      <c r="B142" s="16">
        <v>2</v>
      </c>
      <c r="C142" s="904" t="s">
        <v>775</v>
      </c>
      <c r="D142" s="905"/>
      <c r="E142" s="224">
        <v>1</v>
      </c>
      <c r="F142" s="226">
        <v>1500000</v>
      </c>
      <c r="G142" s="272">
        <f t="shared" si="5"/>
        <v>1500000</v>
      </c>
      <c r="H142" s="54"/>
    </row>
    <row r="143" spans="2:8" ht="17.25" x14ac:dyDescent="0.3">
      <c r="B143" s="16">
        <v>3</v>
      </c>
      <c r="C143" s="904" t="s">
        <v>883</v>
      </c>
      <c r="D143" s="905"/>
      <c r="E143" s="224">
        <v>1</v>
      </c>
      <c r="F143" s="226">
        <v>22500000</v>
      </c>
      <c r="G143" s="272">
        <f t="shared" si="5"/>
        <v>22500000</v>
      </c>
      <c r="H143" s="54"/>
    </row>
    <row r="144" spans="2:8" ht="32.25" x14ac:dyDescent="0.3">
      <c r="B144" s="16">
        <v>4</v>
      </c>
      <c r="C144" s="537" t="s">
        <v>884</v>
      </c>
      <c r="D144" s="502"/>
      <c r="E144" s="224">
        <v>1</v>
      </c>
      <c r="F144" s="226">
        <v>1450000</v>
      </c>
      <c r="G144" s="272">
        <f t="shared" si="5"/>
        <v>1450000</v>
      </c>
      <c r="H144" s="54"/>
    </row>
    <row r="145" spans="2:8" ht="32.25" x14ac:dyDescent="0.3">
      <c r="B145" s="16">
        <v>5</v>
      </c>
      <c r="C145" s="537" t="s">
        <v>1561</v>
      </c>
      <c r="D145" s="502"/>
      <c r="E145" s="74">
        <v>1</v>
      </c>
      <c r="F145" s="226">
        <v>1237140.68</v>
      </c>
      <c r="G145" s="272">
        <f t="shared" si="5"/>
        <v>1237140.68</v>
      </c>
      <c r="H145" s="54"/>
    </row>
    <row r="146" spans="2:8" ht="16.5" hidden="1" x14ac:dyDescent="0.3">
      <c r="B146" s="16">
        <v>6</v>
      </c>
      <c r="C146" s="896"/>
      <c r="D146" s="897"/>
      <c r="E146" s="74"/>
      <c r="F146" s="226">
        <v>0</v>
      </c>
      <c r="G146" s="272">
        <f t="shared" si="5"/>
        <v>0</v>
      </c>
      <c r="H146" s="54"/>
    </row>
    <row r="147" spans="2:8" ht="16.5" hidden="1" x14ac:dyDescent="0.3">
      <c r="B147" s="16">
        <v>7</v>
      </c>
      <c r="C147" s="896"/>
      <c r="D147" s="897"/>
      <c r="E147" s="74"/>
      <c r="F147" s="226">
        <v>0</v>
      </c>
      <c r="G147" s="272">
        <f t="shared" si="5"/>
        <v>0</v>
      </c>
      <c r="H147" s="54"/>
    </row>
    <row r="148" spans="2:8" ht="16.5" hidden="1" x14ac:dyDescent="0.3">
      <c r="B148" s="16">
        <v>8</v>
      </c>
      <c r="C148" s="896"/>
      <c r="D148" s="897"/>
      <c r="E148" s="74"/>
      <c r="F148" s="226">
        <v>0</v>
      </c>
      <c r="G148" s="272">
        <f t="shared" si="5"/>
        <v>0</v>
      </c>
      <c r="H148" s="54"/>
    </row>
    <row r="149" spans="2:8" ht="16.5" hidden="1" x14ac:dyDescent="0.3">
      <c r="B149" s="16">
        <v>9</v>
      </c>
      <c r="C149" s="896"/>
      <c r="D149" s="897"/>
      <c r="E149" s="74"/>
      <c r="F149" s="226">
        <v>0</v>
      </c>
      <c r="G149" s="272">
        <f t="shared" si="5"/>
        <v>0</v>
      </c>
      <c r="H149" s="54"/>
    </row>
    <row r="150" spans="2:8" ht="16.5" hidden="1" x14ac:dyDescent="0.3">
      <c r="B150" s="16">
        <v>10</v>
      </c>
      <c r="C150" s="896"/>
      <c r="D150" s="897"/>
      <c r="E150" s="74"/>
      <c r="F150" s="226">
        <v>0</v>
      </c>
      <c r="G150" s="272">
        <f t="shared" si="5"/>
        <v>0</v>
      </c>
      <c r="H150" s="54"/>
    </row>
    <row r="151" spans="2:8" ht="16.5" hidden="1" x14ac:dyDescent="0.3">
      <c r="B151" s="16">
        <v>11</v>
      </c>
      <c r="C151" s="896"/>
      <c r="D151" s="897"/>
      <c r="E151" s="74"/>
      <c r="F151" s="226">
        <v>0</v>
      </c>
      <c r="G151" s="272">
        <f t="shared" si="5"/>
        <v>0</v>
      </c>
      <c r="H151" s="54"/>
    </row>
    <row r="152" spans="2:8" ht="16.5" hidden="1" x14ac:dyDescent="0.3">
      <c r="B152" s="16">
        <v>12</v>
      </c>
      <c r="C152" s="896"/>
      <c r="D152" s="897"/>
      <c r="E152" s="74"/>
      <c r="F152" s="226">
        <v>0</v>
      </c>
      <c r="G152" s="272">
        <f t="shared" si="5"/>
        <v>0</v>
      </c>
      <c r="H152" s="54"/>
    </row>
    <row r="153" spans="2:8" ht="16.5" hidden="1" x14ac:dyDescent="0.3">
      <c r="B153" s="16">
        <v>13</v>
      </c>
      <c r="C153" s="896"/>
      <c r="D153" s="897"/>
      <c r="E153" s="74"/>
      <c r="F153" s="226">
        <v>0</v>
      </c>
      <c r="G153" s="272">
        <f t="shared" si="5"/>
        <v>0</v>
      </c>
      <c r="H153" s="54"/>
    </row>
    <row r="154" spans="2:8" ht="16.5" hidden="1" x14ac:dyDescent="0.3">
      <c r="B154" s="16">
        <v>14</v>
      </c>
      <c r="C154" s="896"/>
      <c r="D154" s="897"/>
      <c r="E154" s="74"/>
      <c r="F154" s="226">
        <v>0</v>
      </c>
      <c r="G154" s="272">
        <f t="shared" si="5"/>
        <v>0</v>
      </c>
      <c r="H154" s="54"/>
    </row>
    <row r="155" spans="2:8" ht="16.5" hidden="1" x14ac:dyDescent="0.3">
      <c r="B155" s="16">
        <v>15</v>
      </c>
      <c r="C155" s="896"/>
      <c r="D155" s="897"/>
      <c r="E155" s="74"/>
      <c r="F155" s="226">
        <v>0</v>
      </c>
      <c r="G155" s="272">
        <f t="shared" si="5"/>
        <v>0</v>
      </c>
      <c r="H155" s="54"/>
    </row>
    <row r="156" spans="2:8" ht="16.5" hidden="1" x14ac:dyDescent="0.3">
      <c r="B156" s="16">
        <v>16</v>
      </c>
      <c r="C156" s="896"/>
      <c r="D156" s="897"/>
      <c r="E156" s="74"/>
      <c r="F156" s="226">
        <v>0</v>
      </c>
      <c r="G156" s="272">
        <f t="shared" si="5"/>
        <v>0</v>
      </c>
      <c r="H156" s="54"/>
    </row>
    <row r="157" spans="2:8" ht="16.5" hidden="1" x14ac:dyDescent="0.3">
      <c r="B157" s="16">
        <v>17</v>
      </c>
      <c r="C157" s="896"/>
      <c r="D157" s="897"/>
      <c r="E157" s="74"/>
      <c r="F157" s="226">
        <v>0</v>
      </c>
      <c r="G157" s="272">
        <f t="shared" si="5"/>
        <v>0</v>
      </c>
      <c r="H157" s="54"/>
    </row>
    <row r="158" spans="2:8" ht="16.5" hidden="1" x14ac:dyDescent="0.3">
      <c r="B158" s="16">
        <v>18</v>
      </c>
      <c r="C158" s="896"/>
      <c r="D158" s="897"/>
      <c r="E158" s="74"/>
      <c r="F158" s="226">
        <v>0</v>
      </c>
      <c r="G158" s="272">
        <f t="shared" si="5"/>
        <v>0</v>
      </c>
      <c r="H158" s="54"/>
    </row>
    <row r="159" spans="2:8" ht="16.5" hidden="1" x14ac:dyDescent="0.3">
      <c r="B159" s="16">
        <v>19</v>
      </c>
      <c r="C159" s="896"/>
      <c r="D159" s="897"/>
      <c r="E159" s="74"/>
      <c r="F159" s="226">
        <v>0</v>
      </c>
      <c r="G159" s="272">
        <f t="shared" si="5"/>
        <v>0</v>
      </c>
      <c r="H159" s="54"/>
    </row>
    <row r="160" spans="2:8" ht="16.5" hidden="1" x14ac:dyDescent="0.3">
      <c r="B160" s="16">
        <v>20</v>
      </c>
      <c r="C160" s="233"/>
      <c r="D160" s="225"/>
      <c r="E160" s="74"/>
      <c r="F160" s="226">
        <v>0</v>
      </c>
      <c r="G160" s="272">
        <f t="shared" si="5"/>
        <v>0</v>
      </c>
      <c r="H160" s="54"/>
    </row>
    <row r="161" spans="2:8" ht="17.25" hidden="1" x14ac:dyDescent="0.3">
      <c r="C161" s="890" t="s">
        <v>566</v>
      </c>
      <c r="D161" s="891"/>
      <c r="E161" s="74"/>
      <c r="F161" s="226">
        <v>0</v>
      </c>
      <c r="G161" s="272">
        <f t="shared" si="5"/>
        <v>0</v>
      </c>
      <c r="H161" s="54"/>
    </row>
    <row r="163" spans="2:8" ht="16.5" hidden="1" x14ac:dyDescent="0.25">
      <c r="B163" s="763" t="s">
        <v>780</v>
      </c>
      <c r="C163" s="764"/>
      <c r="D163" s="764"/>
      <c r="E163" s="764"/>
      <c r="F163" s="764"/>
      <c r="G163" s="765"/>
      <c r="H163" s="236">
        <f>SUM(G166:G186)</f>
        <v>0</v>
      </c>
    </row>
    <row r="164" spans="2:8" ht="16.5" hidden="1" x14ac:dyDescent="0.3">
      <c r="B164" s="832" t="s">
        <v>35</v>
      </c>
      <c r="C164" s="892" t="s">
        <v>153</v>
      </c>
      <c r="D164" s="893"/>
      <c r="E164" s="837" t="s">
        <v>150</v>
      </c>
      <c r="F164" s="837" t="s">
        <v>51</v>
      </c>
      <c r="G164" s="876" t="s">
        <v>422</v>
      </c>
      <c r="H164" s="54"/>
    </row>
    <row r="165" spans="2:8" ht="16.5" hidden="1" x14ac:dyDescent="0.3">
      <c r="B165" s="832"/>
      <c r="C165" s="894"/>
      <c r="D165" s="895"/>
      <c r="E165" s="839"/>
      <c r="F165" s="839"/>
      <c r="G165" s="878"/>
      <c r="H165" s="54"/>
    </row>
    <row r="166" spans="2:8" ht="16.5" hidden="1" x14ac:dyDescent="0.3">
      <c r="B166" s="16">
        <v>1</v>
      </c>
      <c r="C166" s="904" t="s">
        <v>776</v>
      </c>
      <c r="D166" s="905"/>
      <c r="E166" s="224">
        <v>1</v>
      </c>
      <c r="F166" s="226"/>
      <c r="G166" s="272">
        <f t="shared" ref="G166:G186" si="6">E166*F166</f>
        <v>0</v>
      </c>
      <c r="H166" s="67"/>
    </row>
    <row r="167" spans="2:8" ht="16.5" hidden="1" x14ac:dyDescent="0.3">
      <c r="B167" s="16">
        <v>2</v>
      </c>
      <c r="C167" s="896"/>
      <c r="D167" s="897"/>
      <c r="E167" s="224"/>
      <c r="F167" s="226">
        <v>0</v>
      </c>
      <c r="G167" s="272">
        <f t="shared" si="6"/>
        <v>0</v>
      </c>
      <c r="H167" s="54"/>
    </row>
    <row r="168" spans="2:8" ht="16.5" hidden="1" x14ac:dyDescent="0.3">
      <c r="B168" s="16">
        <v>3</v>
      </c>
      <c r="C168" s="896"/>
      <c r="D168" s="897"/>
      <c r="E168" s="224"/>
      <c r="F168" s="226">
        <v>0</v>
      </c>
      <c r="G168" s="272">
        <f t="shared" si="6"/>
        <v>0</v>
      </c>
      <c r="H168" s="54"/>
    </row>
    <row r="169" spans="2:8" ht="16.5" hidden="1" x14ac:dyDescent="0.3">
      <c r="B169" s="16">
        <v>4</v>
      </c>
      <c r="C169" s="896"/>
      <c r="D169" s="897"/>
      <c r="E169" s="74"/>
      <c r="F169" s="226">
        <v>0</v>
      </c>
      <c r="G169" s="272">
        <f t="shared" si="6"/>
        <v>0</v>
      </c>
      <c r="H169" s="54"/>
    </row>
    <row r="170" spans="2:8" ht="16.5" hidden="1" x14ac:dyDescent="0.3">
      <c r="B170" s="16">
        <v>5</v>
      </c>
      <c r="C170" s="896"/>
      <c r="D170" s="897"/>
      <c r="E170" s="74"/>
      <c r="F170" s="226">
        <v>0</v>
      </c>
      <c r="G170" s="272">
        <f t="shared" si="6"/>
        <v>0</v>
      </c>
      <c r="H170" s="54"/>
    </row>
    <row r="171" spans="2:8" ht="16.5" hidden="1" x14ac:dyDescent="0.3">
      <c r="B171" s="16">
        <v>6</v>
      </c>
      <c r="C171" s="896"/>
      <c r="D171" s="897"/>
      <c r="E171" s="74"/>
      <c r="F171" s="226">
        <v>0</v>
      </c>
      <c r="G171" s="272">
        <f t="shared" si="6"/>
        <v>0</v>
      </c>
      <c r="H171" s="54"/>
    </row>
    <row r="172" spans="2:8" ht="16.5" hidden="1" x14ac:dyDescent="0.3">
      <c r="B172" s="16">
        <v>7</v>
      </c>
      <c r="C172" s="896"/>
      <c r="D172" s="897"/>
      <c r="E172" s="74"/>
      <c r="F172" s="226">
        <v>0</v>
      </c>
      <c r="G172" s="272">
        <f t="shared" si="6"/>
        <v>0</v>
      </c>
      <c r="H172" s="54"/>
    </row>
    <row r="173" spans="2:8" ht="16.5" hidden="1" x14ac:dyDescent="0.3">
      <c r="B173" s="16">
        <v>8</v>
      </c>
      <c r="C173" s="896"/>
      <c r="D173" s="897"/>
      <c r="E173" s="74"/>
      <c r="F173" s="226">
        <v>0</v>
      </c>
      <c r="G173" s="272">
        <f t="shared" si="6"/>
        <v>0</v>
      </c>
      <c r="H173" s="54"/>
    </row>
    <row r="174" spans="2:8" ht="16.5" hidden="1" x14ac:dyDescent="0.3">
      <c r="B174" s="16">
        <v>9</v>
      </c>
      <c r="C174" s="896"/>
      <c r="D174" s="897"/>
      <c r="E174" s="74"/>
      <c r="F174" s="226">
        <v>0</v>
      </c>
      <c r="G174" s="272">
        <f t="shared" si="6"/>
        <v>0</v>
      </c>
      <c r="H174" s="54"/>
    </row>
    <row r="175" spans="2:8" ht="16.5" hidden="1" x14ac:dyDescent="0.3">
      <c r="B175" s="16">
        <v>10</v>
      </c>
      <c r="C175" s="896"/>
      <c r="D175" s="897"/>
      <c r="E175" s="74"/>
      <c r="F175" s="226">
        <v>0</v>
      </c>
      <c r="G175" s="272">
        <f t="shared" si="6"/>
        <v>0</v>
      </c>
      <c r="H175" s="54"/>
    </row>
    <row r="176" spans="2:8" ht="16.5" hidden="1" x14ac:dyDescent="0.3">
      <c r="B176" s="16">
        <v>11</v>
      </c>
      <c r="C176" s="896"/>
      <c r="D176" s="897"/>
      <c r="E176" s="74"/>
      <c r="F176" s="226">
        <v>0</v>
      </c>
      <c r="G176" s="272">
        <f t="shared" si="6"/>
        <v>0</v>
      </c>
      <c r="H176" s="54"/>
    </row>
    <row r="177" spans="2:8" ht="16.5" hidden="1" x14ac:dyDescent="0.3">
      <c r="B177" s="16">
        <v>12</v>
      </c>
      <c r="C177" s="896"/>
      <c r="D177" s="897"/>
      <c r="E177" s="74"/>
      <c r="F177" s="226">
        <v>0</v>
      </c>
      <c r="G177" s="272">
        <f t="shared" si="6"/>
        <v>0</v>
      </c>
      <c r="H177" s="54"/>
    </row>
    <row r="178" spans="2:8" ht="16.5" hidden="1" x14ac:dyDescent="0.3">
      <c r="B178" s="16">
        <v>13</v>
      </c>
      <c r="C178" s="896"/>
      <c r="D178" s="897"/>
      <c r="E178" s="74"/>
      <c r="F178" s="226">
        <v>0</v>
      </c>
      <c r="G178" s="272">
        <f t="shared" si="6"/>
        <v>0</v>
      </c>
      <c r="H178" s="54"/>
    </row>
    <row r="179" spans="2:8" ht="16.5" hidden="1" x14ac:dyDescent="0.3">
      <c r="B179" s="16">
        <v>14</v>
      </c>
      <c r="C179" s="896"/>
      <c r="D179" s="897"/>
      <c r="E179" s="74"/>
      <c r="F179" s="226">
        <v>0</v>
      </c>
      <c r="G179" s="272">
        <f t="shared" si="6"/>
        <v>0</v>
      </c>
      <c r="H179" s="54"/>
    </row>
    <row r="180" spans="2:8" ht="16.5" hidden="1" x14ac:dyDescent="0.3">
      <c r="B180" s="16">
        <v>15</v>
      </c>
      <c r="C180" s="896"/>
      <c r="D180" s="897"/>
      <c r="E180" s="74"/>
      <c r="F180" s="226">
        <v>0</v>
      </c>
      <c r="G180" s="272">
        <f t="shared" si="6"/>
        <v>0</v>
      </c>
      <c r="H180" s="54"/>
    </row>
    <row r="181" spans="2:8" ht="16.5" hidden="1" x14ac:dyDescent="0.3">
      <c r="B181" s="16">
        <v>16</v>
      </c>
      <c r="C181" s="896"/>
      <c r="D181" s="897"/>
      <c r="E181" s="74"/>
      <c r="F181" s="226">
        <v>0</v>
      </c>
      <c r="G181" s="272">
        <f t="shared" si="6"/>
        <v>0</v>
      </c>
      <c r="H181" s="54"/>
    </row>
    <row r="182" spans="2:8" ht="16.5" hidden="1" x14ac:dyDescent="0.3">
      <c r="B182" s="16">
        <v>17</v>
      </c>
      <c r="C182" s="896"/>
      <c r="D182" s="897"/>
      <c r="E182" s="74"/>
      <c r="F182" s="226">
        <v>0</v>
      </c>
      <c r="G182" s="272">
        <f t="shared" si="6"/>
        <v>0</v>
      </c>
      <c r="H182" s="54"/>
    </row>
    <row r="183" spans="2:8" ht="16.5" hidden="1" x14ac:dyDescent="0.3">
      <c r="B183" s="16">
        <v>18</v>
      </c>
      <c r="C183" s="896"/>
      <c r="D183" s="897"/>
      <c r="E183" s="74"/>
      <c r="F183" s="226">
        <v>0</v>
      </c>
      <c r="G183" s="272">
        <f t="shared" si="6"/>
        <v>0</v>
      </c>
      <c r="H183" s="54"/>
    </row>
    <row r="184" spans="2:8" ht="16.5" hidden="1" x14ac:dyDescent="0.3">
      <c r="B184" s="16">
        <v>19</v>
      </c>
      <c r="C184" s="896"/>
      <c r="D184" s="897"/>
      <c r="E184" s="74"/>
      <c r="F184" s="226">
        <v>0</v>
      </c>
      <c r="G184" s="272">
        <f t="shared" si="6"/>
        <v>0</v>
      </c>
      <c r="H184" s="54"/>
    </row>
    <row r="185" spans="2:8" ht="16.5" hidden="1" x14ac:dyDescent="0.3">
      <c r="B185" s="16">
        <v>20</v>
      </c>
      <c r="C185" s="233"/>
      <c r="D185" s="225"/>
      <c r="E185" s="74"/>
      <c r="F185" s="226">
        <v>0</v>
      </c>
      <c r="G185" s="272">
        <f t="shared" si="6"/>
        <v>0</v>
      </c>
      <c r="H185" s="54"/>
    </row>
    <row r="186" spans="2:8" ht="17.25" hidden="1" x14ac:dyDescent="0.3">
      <c r="C186" s="890" t="s">
        <v>566</v>
      </c>
      <c r="D186" s="891"/>
      <c r="E186" s="74"/>
      <c r="F186" s="226">
        <v>0</v>
      </c>
      <c r="G186" s="272">
        <f t="shared" si="6"/>
        <v>0</v>
      </c>
      <c r="H186" s="54"/>
    </row>
    <row r="187" spans="2:8" hidden="1" x14ac:dyDescent="0.25"/>
    <row r="188" spans="2:8" ht="16.5" hidden="1" x14ac:dyDescent="0.25">
      <c r="B188" s="763" t="s">
        <v>156</v>
      </c>
      <c r="C188" s="764"/>
      <c r="D188" s="764"/>
      <c r="E188" s="764"/>
      <c r="F188" s="764"/>
      <c r="G188" s="765"/>
      <c r="H188" s="236">
        <f>SUM(G191:G211)</f>
        <v>0</v>
      </c>
    </row>
    <row r="189" spans="2:8" ht="16.5" hidden="1" x14ac:dyDescent="0.3">
      <c r="B189" s="832" t="s">
        <v>35</v>
      </c>
      <c r="C189" s="892" t="s">
        <v>153</v>
      </c>
      <c r="D189" s="893"/>
      <c r="E189" s="837" t="s">
        <v>150</v>
      </c>
      <c r="F189" s="837" t="s">
        <v>51</v>
      </c>
      <c r="G189" s="876" t="s">
        <v>422</v>
      </c>
      <c r="H189" s="54"/>
    </row>
    <row r="190" spans="2:8" ht="16.5" hidden="1" x14ac:dyDescent="0.3">
      <c r="B190" s="832"/>
      <c r="C190" s="894"/>
      <c r="D190" s="895"/>
      <c r="E190" s="839"/>
      <c r="F190" s="839"/>
      <c r="G190" s="878"/>
      <c r="H190" s="54"/>
    </row>
    <row r="191" spans="2:8" ht="16.5" hidden="1" x14ac:dyDescent="0.3">
      <c r="B191" s="16">
        <v>1</v>
      </c>
      <c r="C191" s="896"/>
      <c r="D191" s="897"/>
      <c r="E191" s="224"/>
      <c r="F191" s="226">
        <v>0</v>
      </c>
      <c r="G191" s="272">
        <f t="shared" ref="G191:G211" si="7">E191*F191</f>
        <v>0</v>
      </c>
      <c r="H191" s="67"/>
    </row>
    <row r="192" spans="2:8" ht="16.5" hidden="1" x14ac:dyDescent="0.3">
      <c r="B192" s="16">
        <v>2</v>
      </c>
      <c r="C192" s="896"/>
      <c r="D192" s="897"/>
      <c r="E192" s="224"/>
      <c r="F192" s="226">
        <v>0</v>
      </c>
      <c r="G192" s="272">
        <f t="shared" si="7"/>
        <v>0</v>
      </c>
      <c r="H192" s="54"/>
    </row>
    <row r="193" spans="2:8" ht="16.5" hidden="1" x14ac:dyDescent="0.3">
      <c r="B193" s="16">
        <v>3</v>
      </c>
      <c r="C193" s="896"/>
      <c r="D193" s="897"/>
      <c r="E193" s="224"/>
      <c r="F193" s="226">
        <v>0</v>
      </c>
      <c r="G193" s="272">
        <f t="shared" si="7"/>
        <v>0</v>
      </c>
      <c r="H193" s="54"/>
    </row>
    <row r="194" spans="2:8" ht="16.5" hidden="1" x14ac:dyDescent="0.3">
      <c r="B194" s="16">
        <v>4</v>
      </c>
      <c r="C194" s="896"/>
      <c r="D194" s="897"/>
      <c r="E194" s="74"/>
      <c r="F194" s="226">
        <v>0</v>
      </c>
      <c r="G194" s="272">
        <f t="shared" si="7"/>
        <v>0</v>
      </c>
      <c r="H194" s="54"/>
    </row>
    <row r="195" spans="2:8" ht="16.5" hidden="1" x14ac:dyDescent="0.3">
      <c r="B195" s="16">
        <v>5</v>
      </c>
      <c r="C195" s="896"/>
      <c r="D195" s="897"/>
      <c r="E195" s="74"/>
      <c r="F195" s="226">
        <v>0</v>
      </c>
      <c r="G195" s="272">
        <f t="shared" si="7"/>
        <v>0</v>
      </c>
      <c r="H195" s="54"/>
    </row>
    <row r="196" spans="2:8" ht="16.5" hidden="1" x14ac:dyDescent="0.3">
      <c r="B196" s="16">
        <v>6</v>
      </c>
      <c r="C196" s="896"/>
      <c r="D196" s="897"/>
      <c r="E196" s="74"/>
      <c r="F196" s="226">
        <v>0</v>
      </c>
      <c r="G196" s="272">
        <f t="shared" si="7"/>
        <v>0</v>
      </c>
      <c r="H196" s="54"/>
    </row>
    <row r="197" spans="2:8" ht="16.5" hidden="1" x14ac:dyDescent="0.3">
      <c r="B197" s="16">
        <v>7</v>
      </c>
      <c r="C197" s="896"/>
      <c r="D197" s="897"/>
      <c r="E197" s="74"/>
      <c r="F197" s="226">
        <v>0</v>
      </c>
      <c r="G197" s="272">
        <f t="shared" si="7"/>
        <v>0</v>
      </c>
      <c r="H197" s="54"/>
    </row>
    <row r="198" spans="2:8" ht="16.5" hidden="1" x14ac:dyDescent="0.3">
      <c r="B198" s="16">
        <v>8</v>
      </c>
      <c r="C198" s="896"/>
      <c r="D198" s="897"/>
      <c r="E198" s="74"/>
      <c r="F198" s="226">
        <v>0</v>
      </c>
      <c r="G198" s="272">
        <f t="shared" si="7"/>
        <v>0</v>
      </c>
      <c r="H198" s="54"/>
    </row>
    <row r="199" spans="2:8" ht="16.5" hidden="1" x14ac:dyDescent="0.3">
      <c r="B199" s="16">
        <v>9</v>
      </c>
      <c r="C199" s="896"/>
      <c r="D199" s="897"/>
      <c r="E199" s="74"/>
      <c r="F199" s="226">
        <v>0</v>
      </c>
      <c r="G199" s="272">
        <f t="shared" si="7"/>
        <v>0</v>
      </c>
      <c r="H199" s="54"/>
    </row>
    <row r="200" spans="2:8" ht="16.5" hidden="1" x14ac:dyDescent="0.3">
      <c r="B200" s="16">
        <v>10</v>
      </c>
      <c r="C200" s="896"/>
      <c r="D200" s="897"/>
      <c r="E200" s="74"/>
      <c r="F200" s="226">
        <v>0</v>
      </c>
      <c r="G200" s="272">
        <f t="shared" si="7"/>
        <v>0</v>
      </c>
      <c r="H200" s="54"/>
    </row>
    <row r="201" spans="2:8" ht="16.5" hidden="1" x14ac:dyDescent="0.3">
      <c r="B201" s="16">
        <v>11</v>
      </c>
      <c r="C201" s="896"/>
      <c r="D201" s="897"/>
      <c r="E201" s="74"/>
      <c r="F201" s="226">
        <v>0</v>
      </c>
      <c r="G201" s="272">
        <f t="shared" si="7"/>
        <v>0</v>
      </c>
      <c r="H201" s="54"/>
    </row>
    <row r="202" spans="2:8" ht="16.5" hidden="1" x14ac:dyDescent="0.3">
      <c r="B202" s="16">
        <v>12</v>
      </c>
      <c r="C202" s="896"/>
      <c r="D202" s="897"/>
      <c r="E202" s="74"/>
      <c r="F202" s="226">
        <v>0</v>
      </c>
      <c r="G202" s="272">
        <f t="shared" si="7"/>
        <v>0</v>
      </c>
      <c r="H202" s="54"/>
    </row>
    <row r="203" spans="2:8" ht="16.5" hidden="1" x14ac:dyDescent="0.3">
      <c r="B203" s="16">
        <v>13</v>
      </c>
      <c r="C203" s="896"/>
      <c r="D203" s="897"/>
      <c r="E203" s="74"/>
      <c r="F203" s="226">
        <v>0</v>
      </c>
      <c r="G203" s="272">
        <f t="shared" si="7"/>
        <v>0</v>
      </c>
      <c r="H203" s="54"/>
    </row>
    <row r="204" spans="2:8" ht="16.5" hidden="1" x14ac:dyDescent="0.3">
      <c r="B204" s="16">
        <v>14</v>
      </c>
      <c r="C204" s="896"/>
      <c r="D204" s="897"/>
      <c r="E204" s="74"/>
      <c r="F204" s="226">
        <v>0</v>
      </c>
      <c r="G204" s="272">
        <f t="shared" si="7"/>
        <v>0</v>
      </c>
      <c r="H204" s="54"/>
    </row>
    <row r="205" spans="2:8" ht="16.5" hidden="1" x14ac:dyDescent="0.3">
      <c r="B205" s="16">
        <v>15</v>
      </c>
      <c r="C205" s="896"/>
      <c r="D205" s="897"/>
      <c r="E205" s="74"/>
      <c r="F205" s="226">
        <v>0</v>
      </c>
      <c r="G205" s="272">
        <f t="shared" si="7"/>
        <v>0</v>
      </c>
      <c r="H205" s="54"/>
    </row>
    <row r="206" spans="2:8" ht="16.5" hidden="1" x14ac:dyDescent="0.3">
      <c r="B206" s="16">
        <v>16</v>
      </c>
      <c r="C206" s="896"/>
      <c r="D206" s="897"/>
      <c r="E206" s="74"/>
      <c r="F206" s="226">
        <v>0</v>
      </c>
      <c r="G206" s="272">
        <f t="shared" si="7"/>
        <v>0</v>
      </c>
      <c r="H206" s="54"/>
    </row>
    <row r="207" spans="2:8" ht="16.5" hidden="1" x14ac:dyDescent="0.3">
      <c r="B207" s="16">
        <v>17</v>
      </c>
      <c r="C207" s="896"/>
      <c r="D207" s="897"/>
      <c r="E207" s="74"/>
      <c r="F207" s="226">
        <v>0</v>
      </c>
      <c r="G207" s="272">
        <f t="shared" si="7"/>
        <v>0</v>
      </c>
      <c r="H207" s="54"/>
    </row>
    <row r="208" spans="2:8" ht="16.5" hidden="1" x14ac:dyDescent="0.3">
      <c r="B208" s="16">
        <v>18</v>
      </c>
      <c r="C208" s="896"/>
      <c r="D208" s="897"/>
      <c r="E208" s="74"/>
      <c r="F208" s="226">
        <v>0</v>
      </c>
      <c r="G208" s="272">
        <f t="shared" si="7"/>
        <v>0</v>
      </c>
      <c r="H208" s="54"/>
    </row>
    <row r="209" spans="2:8" ht="16.5" hidden="1" x14ac:dyDescent="0.3">
      <c r="B209" s="16">
        <v>19</v>
      </c>
      <c r="C209" s="896"/>
      <c r="D209" s="897"/>
      <c r="E209" s="74"/>
      <c r="F209" s="226">
        <v>0</v>
      </c>
      <c r="G209" s="272">
        <f t="shared" si="7"/>
        <v>0</v>
      </c>
      <c r="H209" s="54"/>
    </row>
    <row r="210" spans="2:8" ht="16.5" hidden="1" x14ac:dyDescent="0.3">
      <c r="B210" s="16">
        <v>20</v>
      </c>
      <c r="C210" s="233"/>
      <c r="D210" s="225"/>
      <c r="E210" s="74"/>
      <c r="F210" s="226">
        <v>0</v>
      </c>
      <c r="G210" s="272">
        <f t="shared" si="7"/>
        <v>0</v>
      </c>
      <c r="H210" s="54"/>
    </row>
    <row r="211" spans="2:8" ht="17.25" hidden="1" x14ac:dyDescent="0.3">
      <c r="C211" s="890" t="s">
        <v>566</v>
      </c>
      <c r="D211" s="891"/>
      <c r="E211" s="74"/>
      <c r="F211" s="226">
        <v>0</v>
      </c>
      <c r="G211" s="272">
        <f t="shared" si="7"/>
        <v>0</v>
      </c>
      <c r="H211" s="54"/>
    </row>
    <row r="212" spans="2:8" hidden="1" x14ac:dyDescent="0.25"/>
    <row r="213" spans="2:8" ht="16.5" hidden="1" x14ac:dyDescent="0.25">
      <c r="B213" s="763" t="s">
        <v>157</v>
      </c>
      <c r="C213" s="764"/>
      <c r="D213" s="764"/>
      <c r="E213" s="764"/>
      <c r="F213" s="764"/>
      <c r="G213" s="765"/>
      <c r="H213" s="236">
        <f>SUM(G216:G236)</f>
        <v>0</v>
      </c>
    </row>
    <row r="214" spans="2:8" ht="16.5" hidden="1" x14ac:dyDescent="0.3">
      <c r="B214" s="832" t="s">
        <v>35</v>
      </c>
      <c r="C214" s="892" t="s">
        <v>153</v>
      </c>
      <c r="D214" s="893"/>
      <c r="E214" s="837" t="s">
        <v>150</v>
      </c>
      <c r="F214" s="837" t="s">
        <v>51</v>
      </c>
      <c r="G214" s="876" t="s">
        <v>422</v>
      </c>
      <c r="H214" s="54"/>
    </row>
    <row r="215" spans="2:8" ht="16.5" hidden="1" x14ac:dyDescent="0.3">
      <c r="B215" s="832"/>
      <c r="C215" s="894"/>
      <c r="D215" s="895"/>
      <c r="E215" s="839"/>
      <c r="F215" s="839"/>
      <c r="G215" s="878"/>
      <c r="H215" s="54"/>
    </row>
    <row r="216" spans="2:8" ht="16.5" hidden="1" x14ac:dyDescent="0.3">
      <c r="B216" s="16">
        <v>1</v>
      </c>
      <c r="C216" s="896"/>
      <c r="D216" s="897"/>
      <c r="E216" s="224"/>
      <c r="F216" s="226">
        <v>0</v>
      </c>
      <c r="G216" s="272">
        <f t="shared" ref="G216:G236" si="8">E216*F216</f>
        <v>0</v>
      </c>
      <c r="H216" s="67"/>
    </row>
    <row r="217" spans="2:8" ht="16.5" hidden="1" x14ac:dyDescent="0.3">
      <c r="B217" s="16">
        <v>2</v>
      </c>
      <c r="C217" s="896"/>
      <c r="D217" s="897"/>
      <c r="E217" s="224"/>
      <c r="F217" s="226">
        <v>0</v>
      </c>
      <c r="G217" s="272">
        <f t="shared" si="8"/>
        <v>0</v>
      </c>
      <c r="H217" s="54"/>
    </row>
    <row r="218" spans="2:8" ht="16.5" hidden="1" x14ac:dyDescent="0.3">
      <c r="B218" s="16">
        <v>3</v>
      </c>
      <c r="C218" s="896"/>
      <c r="D218" s="897"/>
      <c r="E218" s="224"/>
      <c r="F218" s="226">
        <v>0</v>
      </c>
      <c r="G218" s="272">
        <f t="shared" si="8"/>
        <v>0</v>
      </c>
      <c r="H218" s="54"/>
    </row>
    <row r="219" spans="2:8" ht="16.5" hidden="1" x14ac:dyDescent="0.3">
      <c r="B219" s="16">
        <v>4</v>
      </c>
      <c r="C219" s="896"/>
      <c r="D219" s="897"/>
      <c r="E219" s="74"/>
      <c r="F219" s="226">
        <v>0</v>
      </c>
      <c r="G219" s="272">
        <f t="shared" si="8"/>
        <v>0</v>
      </c>
      <c r="H219" s="54"/>
    </row>
    <row r="220" spans="2:8" ht="16.5" hidden="1" x14ac:dyDescent="0.3">
      <c r="B220" s="16">
        <v>5</v>
      </c>
      <c r="C220" s="896"/>
      <c r="D220" s="897"/>
      <c r="E220" s="74"/>
      <c r="F220" s="226">
        <v>0</v>
      </c>
      <c r="G220" s="272">
        <f t="shared" si="8"/>
        <v>0</v>
      </c>
      <c r="H220" s="54"/>
    </row>
    <row r="221" spans="2:8" ht="16.5" hidden="1" x14ac:dyDescent="0.3">
      <c r="B221" s="16">
        <v>6</v>
      </c>
      <c r="C221" s="896"/>
      <c r="D221" s="897"/>
      <c r="E221" s="74"/>
      <c r="F221" s="226">
        <v>0</v>
      </c>
      <c r="G221" s="272">
        <f t="shared" si="8"/>
        <v>0</v>
      </c>
      <c r="H221" s="54"/>
    </row>
    <row r="222" spans="2:8" ht="16.5" hidden="1" x14ac:dyDescent="0.3">
      <c r="B222" s="16">
        <v>7</v>
      </c>
      <c r="C222" s="896"/>
      <c r="D222" s="897"/>
      <c r="E222" s="74"/>
      <c r="F222" s="226">
        <v>0</v>
      </c>
      <c r="G222" s="272">
        <f t="shared" si="8"/>
        <v>0</v>
      </c>
      <c r="H222" s="54"/>
    </row>
    <row r="223" spans="2:8" ht="16.5" hidden="1" x14ac:dyDescent="0.3">
      <c r="B223" s="16">
        <v>8</v>
      </c>
      <c r="C223" s="896"/>
      <c r="D223" s="897"/>
      <c r="E223" s="74"/>
      <c r="F223" s="226">
        <v>0</v>
      </c>
      <c r="G223" s="272">
        <f t="shared" si="8"/>
        <v>0</v>
      </c>
      <c r="H223" s="54"/>
    </row>
    <row r="224" spans="2:8" ht="16.5" hidden="1" x14ac:dyDescent="0.3">
      <c r="B224" s="16">
        <v>9</v>
      </c>
      <c r="C224" s="896"/>
      <c r="D224" s="897"/>
      <c r="E224" s="74"/>
      <c r="F224" s="226">
        <v>0</v>
      </c>
      <c r="G224" s="272">
        <f t="shared" si="8"/>
        <v>0</v>
      </c>
      <c r="H224" s="54"/>
    </row>
    <row r="225" spans="2:8" ht="16.5" hidden="1" x14ac:dyDescent="0.3">
      <c r="B225" s="16">
        <v>10</v>
      </c>
      <c r="C225" s="896"/>
      <c r="D225" s="897"/>
      <c r="E225" s="74"/>
      <c r="F225" s="226">
        <v>0</v>
      </c>
      <c r="G225" s="272">
        <f t="shared" si="8"/>
        <v>0</v>
      </c>
      <c r="H225" s="54"/>
    </row>
    <row r="226" spans="2:8" ht="16.5" hidden="1" x14ac:dyDescent="0.3">
      <c r="B226" s="16">
        <v>11</v>
      </c>
      <c r="C226" s="896"/>
      <c r="D226" s="897"/>
      <c r="E226" s="74"/>
      <c r="F226" s="226">
        <v>0</v>
      </c>
      <c r="G226" s="272">
        <f t="shared" si="8"/>
        <v>0</v>
      </c>
      <c r="H226" s="54"/>
    </row>
    <row r="227" spans="2:8" ht="16.5" hidden="1" x14ac:dyDescent="0.3">
      <c r="B227" s="16">
        <v>12</v>
      </c>
      <c r="C227" s="896"/>
      <c r="D227" s="897"/>
      <c r="E227" s="74"/>
      <c r="F227" s="226">
        <v>0</v>
      </c>
      <c r="G227" s="272">
        <f t="shared" si="8"/>
        <v>0</v>
      </c>
      <c r="H227" s="54"/>
    </row>
    <row r="228" spans="2:8" ht="16.5" hidden="1" x14ac:dyDescent="0.3">
      <c r="B228" s="16">
        <v>13</v>
      </c>
      <c r="C228" s="896"/>
      <c r="D228" s="897"/>
      <c r="E228" s="74"/>
      <c r="F228" s="226">
        <v>0</v>
      </c>
      <c r="G228" s="272">
        <f t="shared" si="8"/>
        <v>0</v>
      </c>
      <c r="H228" s="54"/>
    </row>
    <row r="229" spans="2:8" ht="16.5" hidden="1" x14ac:dyDescent="0.3">
      <c r="B229" s="16">
        <v>14</v>
      </c>
      <c r="C229" s="896"/>
      <c r="D229" s="897"/>
      <c r="E229" s="74"/>
      <c r="F229" s="226">
        <v>0</v>
      </c>
      <c r="G229" s="272">
        <f t="shared" si="8"/>
        <v>0</v>
      </c>
      <c r="H229" s="54"/>
    </row>
    <row r="230" spans="2:8" ht="16.5" hidden="1" x14ac:dyDescent="0.3">
      <c r="B230" s="16">
        <v>15</v>
      </c>
      <c r="C230" s="896"/>
      <c r="D230" s="897"/>
      <c r="E230" s="74"/>
      <c r="F230" s="226">
        <v>0</v>
      </c>
      <c r="G230" s="272">
        <f t="shared" si="8"/>
        <v>0</v>
      </c>
      <c r="H230" s="54"/>
    </row>
    <row r="231" spans="2:8" ht="16.5" hidden="1" x14ac:dyDescent="0.3">
      <c r="B231" s="16">
        <v>16</v>
      </c>
      <c r="C231" s="896"/>
      <c r="D231" s="897"/>
      <c r="E231" s="74"/>
      <c r="F231" s="226">
        <v>0</v>
      </c>
      <c r="G231" s="272">
        <f t="shared" si="8"/>
        <v>0</v>
      </c>
      <c r="H231" s="54"/>
    </row>
    <row r="232" spans="2:8" ht="16.5" hidden="1" x14ac:dyDescent="0.3">
      <c r="B232" s="16">
        <v>17</v>
      </c>
      <c r="C232" s="896"/>
      <c r="D232" s="897"/>
      <c r="E232" s="74"/>
      <c r="F232" s="226">
        <v>0</v>
      </c>
      <c r="G232" s="272">
        <f t="shared" si="8"/>
        <v>0</v>
      </c>
      <c r="H232" s="54"/>
    </row>
    <row r="233" spans="2:8" ht="16.5" hidden="1" x14ac:dyDescent="0.3">
      <c r="B233" s="16">
        <v>18</v>
      </c>
      <c r="C233" s="896"/>
      <c r="D233" s="897"/>
      <c r="E233" s="74"/>
      <c r="F233" s="226">
        <v>0</v>
      </c>
      <c r="G233" s="272">
        <f t="shared" si="8"/>
        <v>0</v>
      </c>
      <c r="H233" s="54"/>
    </row>
    <row r="234" spans="2:8" ht="16.5" hidden="1" x14ac:dyDescent="0.3">
      <c r="B234" s="16">
        <v>19</v>
      </c>
      <c r="C234" s="896"/>
      <c r="D234" s="897"/>
      <c r="E234" s="74"/>
      <c r="F234" s="226">
        <v>0</v>
      </c>
      <c r="G234" s="272">
        <f t="shared" si="8"/>
        <v>0</v>
      </c>
      <c r="H234" s="54"/>
    </row>
    <row r="235" spans="2:8" ht="16.5" hidden="1" x14ac:dyDescent="0.3">
      <c r="B235" s="16">
        <v>20</v>
      </c>
      <c r="C235" s="233"/>
      <c r="D235" s="225"/>
      <c r="E235" s="74"/>
      <c r="F235" s="226">
        <v>0</v>
      </c>
      <c r="G235" s="272">
        <f t="shared" si="8"/>
        <v>0</v>
      </c>
      <c r="H235" s="54"/>
    </row>
    <row r="236" spans="2:8" ht="17.25" hidden="1" x14ac:dyDescent="0.3">
      <c r="C236" s="890" t="s">
        <v>566</v>
      </c>
      <c r="D236" s="891"/>
      <c r="E236" s="74"/>
      <c r="F236" s="226">
        <v>0</v>
      </c>
      <c r="G236" s="272">
        <f t="shared" si="8"/>
        <v>0</v>
      </c>
      <c r="H236" s="54"/>
    </row>
    <row r="237" spans="2:8" hidden="1" x14ac:dyDescent="0.25"/>
    <row r="238" spans="2:8" ht="17.25" x14ac:dyDescent="0.25">
      <c r="B238" s="82"/>
      <c r="C238" s="82"/>
      <c r="D238" s="219"/>
      <c r="E238" s="86"/>
      <c r="F238" s="82"/>
      <c r="G238" s="906" t="s">
        <v>178</v>
      </c>
      <c r="H238" s="907"/>
    </row>
    <row r="239" spans="2:8" ht="17.25" x14ac:dyDescent="0.3">
      <c r="B239" s="220">
        <v>3</v>
      </c>
      <c r="C239" s="221" t="s">
        <v>167</v>
      </c>
      <c r="D239" s="221"/>
      <c r="E239" s="221"/>
      <c r="F239" s="221"/>
      <c r="G239" s="222"/>
      <c r="H239" s="234">
        <f>SUM(H240,H265,H290,H315)</f>
        <v>21113122.91</v>
      </c>
    </row>
    <row r="240" spans="2:8" ht="16.5" x14ac:dyDescent="0.25">
      <c r="B240" s="763" t="s">
        <v>158</v>
      </c>
      <c r="C240" s="764"/>
      <c r="D240" s="764"/>
      <c r="E240" s="764"/>
      <c r="F240" s="764"/>
      <c r="G240" s="765"/>
      <c r="H240" s="236">
        <f>SUM(G243:G263)</f>
        <v>21113122.91</v>
      </c>
    </row>
    <row r="241" spans="2:8" ht="16.5" x14ac:dyDescent="0.3">
      <c r="B241" s="832" t="s">
        <v>35</v>
      </c>
      <c r="C241" s="892" t="s">
        <v>162</v>
      </c>
      <c r="D241" s="893"/>
      <c r="E241" s="837" t="s">
        <v>150</v>
      </c>
      <c r="F241" s="837" t="s">
        <v>51</v>
      </c>
      <c r="G241" s="876" t="s">
        <v>422</v>
      </c>
      <c r="H241" s="54"/>
    </row>
    <row r="242" spans="2:8" ht="16.5" x14ac:dyDescent="0.3">
      <c r="B242" s="832"/>
      <c r="C242" s="894"/>
      <c r="D242" s="895"/>
      <c r="E242" s="839"/>
      <c r="F242" s="839"/>
      <c r="G242" s="878"/>
      <c r="H242" s="54"/>
    </row>
    <row r="243" spans="2:8" ht="17.25" x14ac:dyDescent="0.3">
      <c r="B243" s="16">
        <v>1</v>
      </c>
      <c r="C243" s="904" t="s">
        <v>777</v>
      </c>
      <c r="D243" s="905"/>
      <c r="E243" s="224">
        <v>1</v>
      </c>
      <c r="F243" s="226">
        <v>5337392.34</v>
      </c>
      <c r="G243" s="272">
        <f t="shared" ref="G243:G263" si="9">E243*F243</f>
        <v>5337392.34</v>
      </c>
      <c r="H243" s="67"/>
    </row>
    <row r="244" spans="2:8" ht="16.5" x14ac:dyDescent="0.3">
      <c r="B244" s="16">
        <v>2</v>
      </c>
      <c r="C244" s="904" t="s">
        <v>778</v>
      </c>
      <c r="D244" s="905"/>
      <c r="E244" s="224">
        <v>1</v>
      </c>
      <c r="F244" s="226">
        <v>7662490.5</v>
      </c>
      <c r="G244" s="272">
        <f t="shared" si="9"/>
        <v>7662490.5</v>
      </c>
      <c r="H244" s="54"/>
    </row>
    <row r="245" spans="2:8" ht="16.5" x14ac:dyDescent="0.3">
      <c r="B245" s="16">
        <v>3</v>
      </c>
      <c r="C245" s="904" t="s">
        <v>1562</v>
      </c>
      <c r="D245" s="905"/>
      <c r="E245" s="224">
        <v>1</v>
      </c>
      <c r="F245" s="226">
        <v>8113240.0700000003</v>
      </c>
      <c r="G245" s="272">
        <f t="shared" si="9"/>
        <v>8113240.0700000003</v>
      </c>
      <c r="H245" s="54"/>
    </row>
    <row r="246" spans="2:8" ht="16.5" hidden="1" x14ac:dyDescent="0.3">
      <c r="B246" s="16">
        <v>4</v>
      </c>
      <c r="C246" s="896"/>
      <c r="D246" s="897"/>
      <c r="E246" s="74"/>
      <c r="F246" s="226">
        <v>0</v>
      </c>
      <c r="G246" s="272">
        <f t="shared" si="9"/>
        <v>0</v>
      </c>
      <c r="H246" s="54"/>
    </row>
    <row r="247" spans="2:8" ht="16.5" hidden="1" x14ac:dyDescent="0.3">
      <c r="B247" s="16">
        <v>5</v>
      </c>
      <c r="C247" s="896"/>
      <c r="D247" s="897"/>
      <c r="E247" s="74"/>
      <c r="F247" s="226">
        <v>0</v>
      </c>
      <c r="G247" s="272">
        <f t="shared" si="9"/>
        <v>0</v>
      </c>
      <c r="H247" s="54"/>
    </row>
    <row r="248" spans="2:8" ht="16.5" hidden="1" x14ac:dyDescent="0.3">
      <c r="B248" s="16">
        <v>6</v>
      </c>
      <c r="C248" s="896"/>
      <c r="D248" s="897"/>
      <c r="E248" s="74"/>
      <c r="F248" s="226">
        <v>0</v>
      </c>
      <c r="G248" s="272">
        <f t="shared" si="9"/>
        <v>0</v>
      </c>
      <c r="H248" s="54"/>
    </row>
    <row r="249" spans="2:8" ht="16.5" hidden="1" x14ac:dyDescent="0.3">
      <c r="B249" s="16">
        <v>7</v>
      </c>
      <c r="C249" s="896"/>
      <c r="D249" s="897"/>
      <c r="E249" s="74"/>
      <c r="F249" s="226">
        <v>0</v>
      </c>
      <c r="G249" s="272">
        <f t="shared" si="9"/>
        <v>0</v>
      </c>
      <c r="H249" s="54"/>
    </row>
    <row r="250" spans="2:8" ht="16.5" hidden="1" x14ac:dyDescent="0.3">
      <c r="B250" s="16">
        <v>8</v>
      </c>
      <c r="C250" s="896"/>
      <c r="D250" s="897"/>
      <c r="E250" s="74"/>
      <c r="F250" s="226">
        <v>0</v>
      </c>
      <c r="G250" s="272">
        <f t="shared" si="9"/>
        <v>0</v>
      </c>
      <c r="H250" s="54"/>
    </row>
    <row r="251" spans="2:8" ht="16.5" hidden="1" x14ac:dyDescent="0.3">
      <c r="B251" s="16">
        <v>9</v>
      </c>
      <c r="C251" s="896"/>
      <c r="D251" s="897"/>
      <c r="E251" s="74"/>
      <c r="F251" s="226">
        <v>0</v>
      </c>
      <c r="G251" s="272">
        <f t="shared" si="9"/>
        <v>0</v>
      </c>
      <c r="H251" s="54"/>
    </row>
    <row r="252" spans="2:8" ht="16.5" hidden="1" x14ac:dyDescent="0.3">
      <c r="B252" s="16">
        <v>10</v>
      </c>
      <c r="C252" s="896"/>
      <c r="D252" s="897"/>
      <c r="E252" s="74"/>
      <c r="F252" s="226">
        <v>0</v>
      </c>
      <c r="G252" s="272">
        <f t="shared" si="9"/>
        <v>0</v>
      </c>
      <c r="H252" s="54"/>
    </row>
    <row r="253" spans="2:8" ht="16.5" hidden="1" x14ac:dyDescent="0.3">
      <c r="B253" s="16">
        <v>11</v>
      </c>
      <c r="C253" s="896"/>
      <c r="D253" s="897"/>
      <c r="E253" s="74"/>
      <c r="F253" s="226">
        <v>0</v>
      </c>
      <c r="G253" s="272">
        <f t="shared" si="9"/>
        <v>0</v>
      </c>
      <c r="H253" s="54"/>
    </row>
    <row r="254" spans="2:8" ht="16.5" hidden="1" x14ac:dyDescent="0.3">
      <c r="B254" s="16">
        <v>12</v>
      </c>
      <c r="C254" s="896"/>
      <c r="D254" s="897"/>
      <c r="E254" s="74"/>
      <c r="F254" s="226">
        <v>0</v>
      </c>
      <c r="G254" s="272">
        <f t="shared" si="9"/>
        <v>0</v>
      </c>
      <c r="H254" s="54"/>
    </row>
    <row r="255" spans="2:8" ht="16.5" hidden="1" x14ac:dyDescent="0.3">
      <c r="B255" s="16">
        <v>13</v>
      </c>
      <c r="C255" s="896"/>
      <c r="D255" s="897"/>
      <c r="E255" s="74"/>
      <c r="F255" s="226">
        <v>0</v>
      </c>
      <c r="G255" s="272">
        <f t="shared" si="9"/>
        <v>0</v>
      </c>
      <c r="H255" s="54"/>
    </row>
    <row r="256" spans="2:8" ht="16.5" hidden="1" x14ac:dyDescent="0.3">
      <c r="B256" s="16">
        <v>14</v>
      </c>
      <c r="C256" s="896"/>
      <c r="D256" s="897"/>
      <c r="E256" s="74"/>
      <c r="F256" s="226">
        <v>0</v>
      </c>
      <c r="G256" s="272">
        <f t="shared" si="9"/>
        <v>0</v>
      </c>
      <c r="H256" s="54"/>
    </row>
    <row r="257" spans="2:8" ht="16.5" hidden="1" x14ac:dyDescent="0.3">
      <c r="B257" s="16">
        <v>15</v>
      </c>
      <c r="C257" s="896"/>
      <c r="D257" s="897"/>
      <c r="E257" s="74"/>
      <c r="F257" s="226">
        <v>0</v>
      </c>
      <c r="G257" s="272">
        <f t="shared" si="9"/>
        <v>0</v>
      </c>
      <c r="H257" s="54"/>
    </row>
    <row r="258" spans="2:8" ht="16.5" hidden="1" x14ac:dyDescent="0.3">
      <c r="B258" s="16">
        <v>16</v>
      </c>
      <c r="C258" s="896"/>
      <c r="D258" s="897"/>
      <c r="E258" s="74"/>
      <c r="F258" s="226">
        <v>0</v>
      </c>
      <c r="G258" s="272">
        <f t="shared" si="9"/>
        <v>0</v>
      </c>
      <c r="H258" s="54"/>
    </row>
    <row r="259" spans="2:8" ht="16.5" hidden="1" x14ac:dyDescent="0.3">
      <c r="B259" s="16">
        <v>17</v>
      </c>
      <c r="C259" s="896"/>
      <c r="D259" s="897"/>
      <c r="E259" s="74"/>
      <c r="F259" s="226">
        <v>0</v>
      </c>
      <c r="G259" s="272">
        <f t="shared" si="9"/>
        <v>0</v>
      </c>
      <c r="H259" s="54"/>
    </row>
    <row r="260" spans="2:8" ht="16.5" hidden="1" x14ac:dyDescent="0.3">
      <c r="B260" s="16">
        <v>18</v>
      </c>
      <c r="C260" s="896"/>
      <c r="D260" s="897"/>
      <c r="E260" s="74"/>
      <c r="F260" s="226">
        <v>0</v>
      </c>
      <c r="G260" s="272">
        <f t="shared" si="9"/>
        <v>0</v>
      </c>
      <c r="H260" s="54"/>
    </row>
    <row r="261" spans="2:8" ht="16.5" hidden="1" x14ac:dyDescent="0.3">
      <c r="B261" s="16">
        <v>19</v>
      </c>
      <c r="C261" s="896"/>
      <c r="D261" s="897"/>
      <c r="E261" s="74"/>
      <c r="F261" s="226">
        <v>0</v>
      </c>
      <c r="G261" s="272">
        <f t="shared" si="9"/>
        <v>0</v>
      </c>
      <c r="H261" s="54"/>
    </row>
    <row r="262" spans="2:8" ht="16.5" hidden="1" x14ac:dyDescent="0.3">
      <c r="B262" s="16">
        <v>20</v>
      </c>
      <c r="C262" s="233"/>
      <c r="D262" s="225"/>
      <c r="E262" s="74"/>
      <c r="F262" s="226">
        <v>0</v>
      </c>
      <c r="G262" s="272">
        <f t="shared" si="9"/>
        <v>0</v>
      </c>
      <c r="H262" s="54"/>
    </row>
    <row r="263" spans="2:8" ht="17.25" hidden="1" x14ac:dyDescent="0.3">
      <c r="C263" s="890" t="s">
        <v>566</v>
      </c>
      <c r="D263" s="891"/>
      <c r="E263" s="74"/>
      <c r="F263" s="226">
        <v>0</v>
      </c>
      <c r="G263" s="272">
        <f t="shared" si="9"/>
        <v>0</v>
      </c>
      <c r="H263" s="54"/>
    </row>
    <row r="265" spans="2:8" ht="16.5" hidden="1" x14ac:dyDescent="0.25">
      <c r="B265" s="763" t="s">
        <v>159</v>
      </c>
      <c r="C265" s="764"/>
      <c r="D265" s="764"/>
      <c r="E265" s="764"/>
      <c r="F265" s="764"/>
      <c r="G265" s="765"/>
      <c r="H265" s="236">
        <f>SUM(G268:G288)</f>
        <v>0</v>
      </c>
    </row>
    <row r="266" spans="2:8" ht="16.5" hidden="1" x14ac:dyDescent="0.3">
      <c r="B266" s="832" t="s">
        <v>35</v>
      </c>
      <c r="C266" s="892" t="s">
        <v>162</v>
      </c>
      <c r="D266" s="893"/>
      <c r="E266" s="837" t="s">
        <v>150</v>
      </c>
      <c r="F266" s="837" t="s">
        <v>51</v>
      </c>
      <c r="G266" s="876" t="s">
        <v>422</v>
      </c>
      <c r="H266" s="54"/>
    </row>
    <row r="267" spans="2:8" ht="16.5" hidden="1" x14ac:dyDescent="0.3">
      <c r="B267" s="832"/>
      <c r="C267" s="894"/>
      <c r="D267" s="895"/>
      <c r="E267" s="839"/>
      <c r="F267" s="839"/>
      <c r="G267" s="878"/>
      <c r="H267" s="54"/>
    </row>
    <row r="268" spans="2:8" ht="16.5" hidden="1" x14ac:dyDescent="0.3">
      <c r="B268" s="16">
        <v>1</v>
      </c>
      <c r="C268" s="896"/>
      <c r="D268" s="897"/>
      <c r="E268" s="224"/>
      <c r="F268" s="226">
        <v>0</v>
      </c>
      <c r="G268" s="272">
        <f t="shared" ref="G268:G288" si="10">E268*F268</f>
        <v>0</v>
      </c>
      <c r="H268" s="67"/>
    </row>
    <row r="269" spans="2:8" ht="16.5" hidden="1" x14ac:dyDescent="0.3">
      <c r="B269" s="16">
        <v>2</v>
      </c>
      <c r="C269" s="896"/>
      <c r="D269" s="897"/>
      <c r="E269" s="224"/>
      <c r="F269" s="226">
        <v>0</v>
      </c>
      <c r="G269" s="272">
        <f t="shared" si="10"/>
        <v>0</v>
      </c>
      <c r="H269" s="54"/>
    </row>
    <row r="270" spans="2:8" ht="16.5" hidden="1" x14ac:dyDescent="0.3">
      <c r="B270" s="16">
        <v>3</v>
      </c>
      <c r="C270" s="896"/>
      <c r="D270" s="897"/>
      <c r="E270" s="224"/>
      <c r="F270" s="226">
        <v>0</v>
      </c>
      <c r="G270" s="272">
        <f t="shared" si="10"/>
        <v>0</v>
      </c>
      <c r="H270" s="54"/>
    </row>
    <row r="271" spans="2:8" ht="16.5" hidden="1" x14ac:dyDescent="0.3">
      <c r="B271" s="16">
        <v>4</v>
      </c>
      <c r="C271" s="896"/>
      <c r="D271" s="897"/>
      <c r="E271" s="74"/>
      <c r="F271" s="226">
        <v>0</v>
      </c>
      <c r="G271" s="272">
        <f t="shared" si="10"/>
        <v>0</v>
      </c>
      <c r="H271" s="54"/>
    </row>
    <row r="272" spans="2:8" ht="16.5" hidden="1" x14ac:dyDescent="0.3">
      <c r="B272" s="16">
        <v>5</v>
      </c>
      <c r="C272" s="896"/>
      <c r="D272" s="897"/>
      <c r="E272" s="74"/>
      <c r="F272" s="226">
        <v>0</v>
      </c>
      <c r="G272" s="272">
        <f t="shared" si="10"/>
        <v>0</v>
      </c>
      <c r="H272" s="54"/>
    </row>
    <row r="273" spans="2:8" ht="16.5" hidden="1" x14ac:dyDescent="0.3">
      <c r="B273" s="16">
        <v>6</v>
      </c>
      <c r="C273" s="896"/>
      <c r="D273" s="897"/>
      <c r="E273" s="74"/>
      <c r="F273" s="226">
        <v>0</v>
      </c>
      <c r="G273" s="272">
        <f t="shared" si="10"/>
        <v>0</v>
      </c>
      <c r="H273" s="54"/>
    </row>
    <row r="274" spans="2:8" ht="16.5" hidden="1" x14ac:dyDescent="0.3">
      <c r="B274" s="16">
        <v>7</v>
      </c>
      <c r="C274" s="896"/>
      <c r="D274" s="897"/>
      <c r="E274" s="74"/>
      <c r="F274" s="226">
        <v>0</v>
      </c>
      <c r="G274" s="272">
        <f t="shared" si="10"/>
        <v>0</v>
      </c>
      <c r="H274" s="54"/>
    </row>
    <row r="275" spans="2:8" ht="16.5" hidden="1" x14ac:dyDescent="0.3">
      <c r="B275" s="16">
        <v>8</v>
      </c>
      <c r="C275" s="896"/>
      <c r="D275" s="897"/>
      <c r="E275" s="74"/>
      <c r="F275" s="226">
        <v>0</v>
      </c>
      <c r="G275" s="272">
        <f>E275*F275</f>
        <v>0</v>
      </c>
      <c r="H275" s="54"/>
    </row>
    <row r="276" spans="2:8" ht="16.5" hidden="1" x14ac:dyDescent="0.3">
      <c r="B276" s="16">
        <v>9</v>
      </c>
      <c r="C276" s="896"/>
      <c r="D276" s="897"/>
      <c r="E276" s="74"/>
      <c r="F276" s="226">
        <v>0</v>
      </c>
      <c r="G276" s="272">
        <f t="shared" si="10"/>
        <v>0</v>
      </c>
      <c r="H276" s="54"/>
    </row>
    <row r="277" spans="2:8" ht="16.5" hidden="1" x14ac:dyDescent="0.3">
      <c r="B277" s="16">
        <v>10</v>
      </c>
      <c r="C277" s="896"/>
      <c r="D277" s="897"/>
      <c r="E277" s="74"/>
      <c r="F277" s="226">
        <v>0</v>
      </c>
      <c r="G277" s="272">
        <f t="shared" si="10"/>
        <v>0</v>
      </c>
      <c r="H277" s="54"/>
    </row>
    <row r="278" spans="2:8" ht="16.5" hidden="1" x14ac:dyDescent="0.3">
      <c r="B278" s="16">
        <v>11</v>
      </c>
      <c r="C278" s="896"/>
      <c r="D278" s="897"/>
      <c r="E278" s="74"/>
      <c r="F278" s="226">
        <v>0</v>
      </c>
      <c r="G278" s="272">
        <f t="shared" si="10"/>
        <v>0</v>
      </c>
      <c r="H278" s="54"/>
    </row>
    <row r="279" spans="2:8" ht="16.5" hidden="1" x14ac:dyDescent="0.3">
      <c r="B279" s="16">
        <v>12</v>
      </c>
      <c r="C279" s="896"/>
      <c r="D279" s="897"/>
      <c r="E279" s="74"/>
      <c r="F279" s="226">
        <v>0</v>
      </c>
      <c r="G279" s="272">
        <f t="shared" si="10"/>
        <v>0</v>
      </c>
      <c r="H279" s="54"/>
    </row>
    <row r="280" spans="2:8" ht="16.5" hidden="1" x14ac:dyDescent="0.3">
      <c r="B280" s="16">
        <v>13</v>
      </c>
      <c r="C280" s="896"/>
      <c r="D280" s="897"/>
      <c r="E280" s="74"/>
      <c r="F280" s="226">
        <v>0</v>
      </c>
      <c r="G280" s="272">
        <f t="shared" si="10"/>
        <v>0</v>
      </c>
      <c r="H280" s="54"/>
    </row>
    <row r="281" spans="2:8" ht="16.5" hidden="1" x14ac:dyDescent="0.3">
      <c r="B281" s="16">
        <v>14</v>
      </c>
      <c r="C281" s="896"/>
      <c r="D281" s="897"/>
      <c r="E281" s="74"/>
      <c r="F281" s="226">
        <v>0</v>
      </c>
      <c r="G281" s="272">
        <f t="shared" si="10"/>
        <v>0</v>
      </c>
      <c r="H281" s="54"/>
    </row>
    <row r="282" spans="2:8" ht="16.5" hidden="1" x14ac:dyDescent="0.3">
      <c r="B282" s="16">
        <v>15</v>
      </c>
      <c r="C282" s="896"/>
      <c r="D282" s="897"/>
      <c r="E282" s="74"/>
      <c r="F282" s="226">
        <v>0</v>
      </c>
      <c r="G282" s="272">
        <f t="shared" si="10"/>
        <v>0</v>
      </c>
      <c r="H282" s="54"/>
    </row>
    <row r="283" spans="2:8" ht="16.5" hidden="1" x14ac:dyDescent="0.3">
      <c r="B283" s="16">
        <v>16</v>
      </c>
      <c r="C283" s="896"/>
      <c r="D283" s="897"/>
      <c r="E283" s="74"/>
      <c r="F283" s="226">
        <v>0</v>
      </c>
      <c r="G283" s="272">
        <f t="shared" si="10"/>
        <v>0</v>
      </c>
      <c r="H283" s="54"/>
    </row>
    <row r="284" spans="2:8" ht="16.5" hidden="1" x14ac:dyDescent="0.3">
      <c r="B284" s="16">
        <v>17</v>
      </c>
      <c r="C284" s="896"/>
      <c r="D284" s="897"/>
      <c r="E284" s="74"/>
      <c r="F284" s="226">
        <v>0</v>
      </c>
      <c r="G284" s="272">
        <f t="shared" si="10"/>
        <v>0</v>
      </c>
      <c r="H284" s="54"/>
    </row>
    <row r="285" spans="2:8" ht="16.5" hidden="1" x14ac:dyDescent="0.3">
      <c r="B285" s="16">
        <v>18</v>
      </c>
      <c r="C285" s="896"/>
      <c r="D285" s="897"/>
      <c r="E285" s="74"/>
      <c r="F285" s="226">
        <v>0</v>
      </c>
      <c r="G285" s="272">
        <f t="shared" si="10"/>
        <v>0</v>
      </c>
      <c r="H285" s="54"/>
    </row>
    <row r="286" spans="2:8" ht="16.5" hidden="1" x14ac:dyDescent="0.3">
      <c r="B286" s="16">
        <v>19</v>
      </c>
      <c r="C286" s="896"/>
      <c r="D286" s="897"/>
      <c r="E286" s="74"/>
      <c r="F286" s="226">
        <v>0</v>
      </c>
      <c r="G286" s="272">
        <f t="shared" si="10"/>
        <v>0</v>
      </c>
      <c r="H286" s="54"/>
    </row>
    <row r="287" spans="2:8" ht="16.5" hidden="1" x14ac:dyDescent="0.3">
      <c r="B287" s="16">
        <v>20</v>
      </c>
      <c r="C287" s="233"/>
      <c r="D287" s="225"/>
      <c r="E287" s="74"/>
      <c r="F287" s="226">
        <v>0</v>
      </c>
      <c r="G287" s="272">
        <f t="shared" si="10"/>
        <v>0</v>
      </c>
      <c r="H287" s="54"/>
    </row>
    <row r="288" spans="2:8" ht="17.25" hidden="1" x14ac:dyDescent="0.3">
      <c r="C288" s="890" t="s">
        <v>566</v>
      </c>
      <c r="D288" s="891"/>
      <c r="E288" s="74"/>
      <c r="F288" s="226">
        <v>0</v>
      </c>
      <c r="G288" s="272">
        <f t="shared" si="10"/>
        <v>0</v>
      </c>
      <c r="H288" s="54"/>
    </row>
    <row r="289" spans="2:8" hidden="1" x14ac:dyDescent="0.25"/>
    <row r="290" spans="2:8" ht="16.5" hidden="1" x14ac:dyDescent="0.25">
      <c r="B290" s="763" t="s">
        <v>160</v>
      </c>
      <c r="C290" s="764"/>
      <c r="D290" s="764"/>
      <c r="E290" s="764"/>
      <c r="F290" s="764"/>
      <c r="G290" s="765"/>
      <c r="H290" s="236">
        <f>SUM(G293:G313)</f>
        <v>0</v>
      </c>
    </row>
    <row r="291" spans="2:8" ht="16.5" hidden="1" x14ac:dyDescent="0.3">
      <c r="B291" s="832" t="s">
        <v>35</v>
      </c>
      <c r="C291" s="892" t="s">
        <v>162</v>
      </c>
      <c r="D291" s="893"/>
      <c r="E291" s="837" t="s">
        <v>150</v>
      </c>
      <c r="F291" s="837" t="s">
        <v>51</v>
      </c>
      <c r="G291" s="876" t="s">
        <v>422</v>
      </c>
      <c r="H291" s="54"/>
    </row>
    <row r="292" spans="2:8" ht="16.5" hidden="1" x14ac:dyDescent="0.3">
      <c r="B292" s="832"/>
      <c r="C292" s="894"/>
      <c r="D292" s="895"/>
      <c r="E292" s="839"/>
      <c r="F292" s="839"/>
      <c r="G292" s="878"/>
      <c r="H292" s="54"/>
    </row>
    <row r="293" spans="2:8" ht="16.5" hidden="1" x14ac:dyDescent="0.3">
      <c r="B293" s="16">
        <v>1</v>
      </c>
      <c r="C293" s="896"/>
      <c r="D293" s="897"/>
      <c r="E293" s="224"/>
      <c r="F293" s="226">
        <v>0</v>
      </c>
      <c r="G293" s="272">
        <f t="shared" ref="G293:G313" si="11">E293*F293</f>
        <v>0</v>
      </c>
      <c r="H293" s="67"/>
    </row>
    <row r="294" spans="2:8" ht="16.5" hidden="1" x14ac:dyDescent="0.3">
      <c r="B294" s="16">
        <v>2</v>
      </c>
      <c r="C294" s="896"/>
      <c r="D294" s="897"/>
      <c r="E294" s="224"/>
      <c r="F294" s="226">
        <v>0</v>
      </c>
      <c r="G294" s="272">
        <f t="shared" si="11"/>
        <v>0</v>
      </c>
      <c r="H294" s="54"/>
    </row>
    <row r="295" spans="2:8" ht="16.5" hidden="1" x14ac:dyDescent="0.3">
      <c r="B295" s="16">
        <v>3</v>
      </c>
      <c r="C295" s="896"/>
      <c r="D295" s="897"/>
      <c r="E295" s="224"/>
      <c r="F295" s="226">
        <v>0</v>
      </c>
      <c r="G295" s="272">
        <f t="shared" si="11"/>
        <v>0</v>
      </c>
      <c r="H295" s="54"/>
    </row>
    <row r="296" spans="2:8" ht="16.5" hidden="1" x14ac:dyDescent="0.3">
      <c r="B296" s="16">
        <v>4</v>
      </c>
      <c r="C296" s="896"/>
      <c r="D296" s="897"/>
      <c r="E296" s="74"/>
      <c r="F296" s="226">
        <v>0</v>
      </c>
      <c r="G296" s="272">
        <f t="shared" si="11"/>
        <v>0</v>
      </c>
      <c r="H296" s="54"/>
    </row>
    <row r="297" spans="2:8" ht="16.5" hidden="1" x14ac:dyDescent="0.3">
      <c r="B297" s="16">
        <v>5</v>
      </c>
      <c r="C297" s="896"/>
      <c r="D297" s="897"/>
      <c r="E297" s="74"/>
      <c r="F297" s="226">
        <v>0</v>
      </c>
      <c r="G297" s="272">
        <f t="shared" si="11"/>
        <v>0</v>
      </c>
      <c r="H297" s="54"/>
    </row>
    <row r="298" spans="2:8" ht="16.5" hidden="1" x14ac:dyDescent="0.3">
      <c r="B298" s="16">
        <v>6</v>
      </c>
      <c r="C298" s="896"/>
      <c r="D298" s="897"/>
      <c r="E298" s="74"/>
      <c r="F298" s="226">
        <v>0</v>
      </c>
      <c r="G298" s="272">
        <f t="shared" si="11"/>
        <v>0</v>
      </c>
      <c r="H298" s="54"/>
    </row>
    <row r="299" spans="2:8" ht="16.5" hidden="1" x14ac:dyDescent="0.3">
      <c r="B299" s="16">
        <v>7</v>
      </c>
      <c r="C299" s="896"/>
      <c r="D299" s="897"/>
      <c r="E299" s="74"/>
      <c r="F299" s="226">
        <v>0</v>
      </c>
      <c r="G299" s="272">
        <f t="shared" si="11"/>
        <v>0</v>
      </c>
      <c r="H299" s="54"/>
    </row>
    <row r="300" spans="2:8" ht="16.5" hidden="1" x14ac:dyDescent="0.3">
      <c r="B300" s="16">
        <v>8</v>
      </c>
      <c r="C300" s="896"/>
      <c r="D300" s="897"/>
      <c r="E300" s="74"/>
      <c r="F300" s="226">
        <v>0</v>
      </c>
      <c r="G300" s="272">
        <f t="shared" si="11"/>
        <v>0</v>
      </c>
      <c r="H300" s="54"/>
    </row>
    <row r="301" spans="2:8" ht="16.5" hidden="1" x14ac:dyDescent="0.3">
      <c r="B301" s="16">
        <v>9</v>
      </c>
      <c r="C301" s="896"/>
      <c r="D301" s="897"/>
      <c r="E301" s="74"/>
      <c r="F301" s="226">
        <v>0</v>
      </c>
      <c r="G301" s="272">
        <f t="shared" si="11"/>
        <v>0</v>
      </c>
      <c r="H301" s="54"/>
    </row>
    <row r="302" spans="2:8" ht="16.5" hidden="1" x14ac:dyDescent="0.3">
      <c r="B302" s="16">
        <v>10</v>
      </c>
      <c r="C302" s="896"/>
      <c r="D302" s="897"/>
      <c r="E302" s="74"/>
      <c r="F302" s="226">
        <v>0</v>
      </c>
      <c r="G302" s="272">
        <f t="shared" si="11"/>
        <v>0</v>
      </c>
      <c r="H302" s="54"/>
    </row>
    <row r="303" spans="2:8" ht="16.5" hidden="1" x14ac:dyDescent="0.3">
      <c r="B303" s="16">
        <v>11</v>
      </c>
      <c r="C303" s="896"/>
      <c r="D303" s="897"/>
      <c r="E303" s="74"/>
      <c r="F303" s="226">
        <v>0</v>
      </c>
      <c r="G303" s="272">
        <f t="shared" si="11"/>
        <v>0</v>
      </c>
      <c r="H303" s="54"/>
    </row>
    <row r="304" spans="2:8" ht="16.5" hidden="1" x14ac:dyDescent="0.3">
      <c r="B304" s="16">
        <v>12</v>
      </c>
      <c r="C304" s="896"/>
      <c r="D304" s="897"/>
      <c r="E304" s="74"/>
      <c r="F304" s="226">
        <v>0</v>
      </c>
      <c r="G304" s="272">
        <f t="shared" si="11"/>
        <v>0</v>
      </c>
      <c r="H304" s="54"/>
    </row>
    <row r="305" spans="2:8" ht="16.5" hidden="1" x14ac:dyDescent="0.3">
      <c r="B305" s="16">
        <v>13</v>
      </c>
      <c r="C305" s="896"/>
      <c r="D305" s="897"/>
      <c r="E305" s="74"/>
      <c r="F305" s="226">
        <v>0</v>
      </c>
      <c r="G305" s="272">
        <f t="shared" si="11"/>
        <v>0</v>
      </c>
      <c r="H305" s="54"/>
    </row>
    <row r="306" spans="2:8" ht="16.5" hidden="1" x14ac:dyDescent="0.3">
      <c r="B306" s="16">
        <v>14</v>
      </c>
      <c r="C306" s="896"/>
      <c r="D306" s="897"/>
      <c r="E306" s="74"/>
      <c r="F306" s="226">
        <v>0</v>
      </c>
      <c r="G306" s="272">
        <f t="shared" si="11"/>
        <v>0</v>
      </c>
      <c r="H306" s="54"/>
    </row>
    <row r="307" spans="2:8" ht="16.5" hidden="1" x14ac:dyDescent="0.3">
      <c r="B307" s="16">
        <v>15</v>
      </c>
      <c r="C307" s="896"/>
      <c r="D307" s="897"/>
      <c r="E307" s="74"/>
      <c r="F307" s="226">
        <v>0</v>
      </c>
      <c r="G307" s="272">
        <f t="shared" si="11"/>
        <v>0</v>
      </c>
      <c r="H307" s="54"/>
    </row>
    <row r="308" spans="2:8" ht="16.5" hidden="1" x14ac:dyDescent="0.3">
      <c r="B308" s="16">
        <v>16</v>
      </c>
      <c r="C308" s="896"/>
      <c r="D308" s="897"/>
      <c r="E308" s="74"/>
      <c r="F308" s="226">
        <v>0</v>
      </c>
      <c r="G308" s="272">
        <f t="shared" si="11"/>
        <v>0</v>
      </c>
      <c r="H308" s="54"/>
    </row>
    <row r="309" spans="2:8" ht="16.5" hidden="1" x14ac:dyDescent="0.3">
      <c r="B309" s="16">
        <v>17</v>
      </c>
      <c r="C309" s="896"/>
      <c r="D309" s="897"/>
      <c r="E309" s="74"/>
      <c r="F309" s="226">
        <v>0</v>
      </c>
      <c r="G309" s="272">
        <f t="shared" si="11"/>
        <v>0</v>
      </c>
      <c r="H309" s="54"/>
    </row>
    <row r="310" spans="2:8" ht="16.5" hidden="1" x14ac:dyDescent="0.3">
      <c r="B310" s="16">
        <v>18</v>
      </c>
      <c r="C310" s="896"/>
      <c r="D310" s="897"/>
      <c r="E310" s="74"/>
      <c r="F310" s="226">
        <v>0</v>
      </c>
      <c r="G310" s="272">
        <f t="shared" si="11"/>
        <v>0</v>
      </c>
      <c r="H310" s="54"/>
    </row>
    <row r="311" spans="2:8" ht="16.5" hidden="1" x14ac:dyDescent="0.3">
      <c r="B311" s="16">
        <v>19</v>
      </c>
      <c r="C311" s="896"/>
      <c r="D311" s="897"/>
      <c r="E311" s="74"/>
      <c r="F311" s="226">
        <v>0</v>
      </c>
      <c r="G311" s="272">
        <f t="shared" si="11"/>
        <v>0</v>
      </c>
      <c r="H311" s="54"/>
    </row>
    <row r="312" spans="2:8" ht="16.5" hidden="1" x14ac:dyDescent="0.3">
      <c r="B312" s="16">
        <v>20</v>
      </c>
      <c r="C312" s="233"/>
      <c r="D312" s="225"/>
      <c r="E312" s="74"/>
      <c r="F312" s="226">
        <v>0</v>
      </c>
      <c r="G312" s="272">
        <f t="shared" si="11"/>
        <v>0</v>
      </c>
      <c r="H312" s="54"/>
    </row>
    <row r="313" spans="2:8" ht="17.25" hidden="1" x14ac:dyDescent="0.3">
      <c r="C313" s="890" t="s">
        <v>566</v>
      </c>
      <c r="D313" s="891"/>
      <c r="E313" s="74"/>
      <c r="F313" s="226">
        <v>0</v>
      </c>
      <c r="G313" s="272">
        <f t="shared" si="11"/>
        <v>0</v>
      </c>
      <c r="H313" s="54"/>
    </row>
    <row r="314" spans="2:8" hidden="1" x14ac:dyDescent="0.25"/>
    <row r="315" spans="2:8" ht="16.5" hidden="1" x14ac:dyDescent="0.25">
      <c r="B315" s="763" t="s">
        <v>161</v>
      </c>
      <c r="C315" s="764"/>
      <c r="D315" s="764"/>
      <c r="E315" s="764"/>
      <c r="F315" s="764"/>
      <c r="G315" s="765"/>
      <c r="H315" s="236">
        <f>SUM(G318:G338)</f>
        <v>0</v>
      </c>
    </row>
    <row r="316" spans="2:8" ht="16.5" hidden="1" x14ac:dyDescent="0.3">
      <c r="B316" s="832" t="s">
        <v>35</v>
      </c>
      <c r="C316" s="892" t="s">
        <v>162</v>
      </c>
      <c r="D316" s="893"/>
      <c r="E316" s="837" t="s">
        <v>150</v>
      </c>
      <c r="F316" s="837" t="s">
        <v>51</v>
      </c>
      <c r="G316" s="876" t="s">
        <v>422</v>
      </c>
      <c r="H316" s="54"/>
    </row>
    <row r="317" spans="2:8" ht="16.5" hidden="1" x14ac:dyDescent="0.3">
      <c r="B317" s="832"/>
      <c r="C317" s="894"/>
      <c r="D317" s="895"/>
      <c r="E317" s="839"/>
      <c r="F317" s="839"/>
      <c r="G317" s="878"/>
      <c r="H317" s="54"/>
    </row>
    <row r="318" spans="2:8" ht="16.5" hidden="1" x14ac:dyDescent="0.3">
      <c r="B318" s="16">
        <v>1</v>
      </c>
      <c r="C318" s="896"/>
      <c r="D318" s="897"/>
      <c r="E318" s="224"/>
      <c r="F318" s="226">
        <v>0</v>
      </c>
      <c r="G318" s="272">
        <f t="shared" ref="G318:G338" si="12">E318*F318</f>
        <v>0</v>
      </c>
      <c r="H318" s="67"/>
    </row>
    <row r="319" spans="2:8" ht="16.5" hidden="1" x14ac:dyDescent="0.3">
      <c r="B319" s="16">
        <v>2</v>
      </c>
      <c r="C319" s="896"/>
      <c r="D319" s="897"/>
      <c r="E319" s="224"/>
      <c r="F319" s="226">
        <v>0</v>
      </c>
      <c r="G319" s="272">
        <f t="shared" si="12"/>
        <v>0</v>
      </c>
      <c r="H319" s="54"/>
    </row>
    <row r="320" spans="2:8" ht="16.5" hidden="1" x14ac:dyDescent="0.3">
      <c r="B320" s="16">
        <v>3</v>
      </c>
      <c r="C320" s="896"/>
      <c r="D320" s="897"/>
      <c r="E320" s="224"/>
      <c r="F320" s="226">
        <v>0</v>
      </c>
      <c r="G320" s="272">
        <f t="shared" si="12"/>
        <v>0</v>
      </c>
      <c r="H320" s="54"/>
    </row>
    <row r="321" spans="2:8" ht="16.5" hidden="1" x14ac:dyDescent="0.3">
      <c r="B321" s="16">
        <v>4</v>
      </c>
      <c r="C321" s="896"/>
      <c r="D321" s="897"/>
      <c r="E321" s="74"/>
      <c r="F321" s="226">
        <v>0</v>
      </c>
      <c r="G321" s="272">
        <f t="shared" si="12"/>
        <v>0</v>
      </c>
      <c r="H321" s="54"/>
    </row>
    <row r="322" spans="2:8" ht="16.5" hidden="1" x14ac:dyDescent="0.3">
      <c r="B322" s="16">
        <v>5</v>
      </c>
      <c r="C322" s="896"/>
      <c r="D322" s="897"/>
      <c r="E322" s="74"/>
      <c r="F322" s="226">
        <v>0</v>
      </c>
      <c r="G322" s="272">
        <f t="shared" si="12"/>
        <v>0</v>
      </c>
      <c r="H322" s="54"/>
    </row>
    <row r="323" spans="2:8" ht="16.5" hidden="1" x14ac:dyDescent="0.3">
      <c r="B323" s="16">
        <v>6</v>
      </c>
      <c r="C323" s="896"/>
      <c r="D323" s="897"/>
      <c r="E323" s="74"/>
      <c r="F323" s="226">
        <v>0</v>
      </c>
      <c r="G323" s="272">
        <f t="shared" si="12"/>
        <v>0</v>
      </c>
      <c r="H323" s="54"/>
    </row>
    <row r="324" spans="2:8" ht="16.5" hidden="1" x14ac:dyDescent="0.3">
      <c r="B324" s="16">
        <v>7</v>
      </c>
      <c r="C324" s="896"/>
      <c r="D324" s="897"/>
      <c r="E324" s="74"/>
      <c r="F324" s="226">
        <v>0</v>
      </c>
      <c r="G324" s="272">
        <f t="shared" si="12"/>
        <v>0</v>
      </c>
      <c r="H324" s="54"/>
    </row>
    <row r="325" spans="2:8" ht="16.5" hidden="1" x14ac:dyDescent="0.3">
      <c r="B325" s="16">
        <v>8</v>
      </c>
      <c r="C325" s="896"/>
      <c r="D325" s="897"/>
      <c r="E325" s="74"/>
      <c r="F325" s="226">
        <v>0</v>
      </c>
      <c r="G325" s="272">
        <f t="shared" si="12"/>
        <v>0</v>
      </c>
      <c r="H325" s="54"/>
    </row>
    <row r="326" spans="2:8" ht="16.5" hidden="1" x14ac:dyDescent="0.3">
      <c r="B326" s="16">
        <v>9</v>
      </c>
      <c r="C326" s="896"/>
      <c r="D326" s="897"/>
      <c r="E326" s="74"/>
      <c r="F326" s="226">
        <v>0</v>
      </c>
      <c r="G326" s="272">
        <f t="shared" si="12"/>
        <v>0</v>
      </c>
      <c r="H326" s="54"/>
    </row>
    <row r="327" spans="2:8" ht="16.5" hidden="1" x14ac:dyDescent="0.3">
      <c r="B327" s="16">
        <v>10</v>
      </c>
      <c r="C327" s="896"/>
      <c r="D327" s="897"/>
      <c r="E327" s="74"/>
      <c r="F327" s="226">
        <v>0</v>
      </c>
      <c r="G327" s="272">
        <f t="shared" si="12"/>
        <v>0</v>
      </c>
      <c r="H327" s="54"/>
    </row>
    <row r="328" spans="2:8" ht="16.5" hidden="1" x14ac:dyDescent="0.3">
      <c r="B328" s="16">
        <v>11</v>
      </c>
      <c r="C328" s="896"/>
      <c r="D328" s="897"/>
      <c r="E328" s="74"/>
      <c r="F328" s="226">
        <v>0</v>
      </c>
      <c r="G328" s="272">
        <f t="shared" si="12"/>
        <v>0</v>
      </c>
      <c r="H328" s="54"/>
    </row>
    <row r="329" spans="2:8" ht="16.5" hidden="1" x14ac:dyDescent="0.3">
      <c r="B329" s="16">
        <v>12</v>
      </c>
      <c r="C329" s="896"/>
      <c r="D329" s="897"/>
      <c r="E329" s="74"/>
      <c r="F329" s="226">
        <v>0</v>
      </c>
      <c r="G329" s="272">
        <f t="shared" si="12"/>
        <v>0</v>
      </c>
      <c r="H329" s="54"/>
    </row>
    <row r="330" spans="2:8" ht="16.5" hidden="1" x14ac:dyDescent="0.3">
      <c r="B330" s="16">
        <v>13</v>
      </c>
      <c r="C330" s="896"/>
      <c r="D330" s="897"/>
      <c r="E330" s="74"/>
      <c r="F330" s="226">
        <v>0</v>
      </c>
      <c r="G330" s="272">
        <f t="shared" si="12"/>
        <v>0</v>
      </c>
      <c r="H330" s="54"/>
    </row>
    <row r="331" spans="2:8" ht="16.5" hidden="1" x14ac:dyDescent="0.3">
      <c r="B331" s="16">
        <v>14</v>
      </c>
      <c r="C331" s="896"/>
      <c r="D331" s="897"/>
      <c r="E331" s="74"/>
      <c r="F331" s="226">
        <v>0</v>
      </c>
      <c r="G331" s="272">
        <f t="shared" si="12"/>
        <v>0</v>
      </c>
      <c r="H331" s="54"/>
    </row>
    <row r="332" spans="2:8" ht="16.5" hidden="1" x14ac:dyDescent="0.3">
      <c r="B332" s="16">
        <v>15</v>
      </c>
      <c r="C332" s="896"/>
      <c r="D332" s="897"/>
      <c r="E332" s="74"/>
      <c r="F332" s="226">
        <v>0</v>
      </c>
      <c r="G332" s="272">
        <f t="shared" si="12"/>
        <v>0</v>
      </c>
      <c r="H332" s="54"/>
    </row>
    <row r="333" spans="2:8" ht="16.5" hidden="1" x14ac:dyDescent="0.3">
      <c r="B333" s="16">
        <v>16</v>
      </c>
      <c r="C333" s="896"/>
      <c r="D333" s="897"/>
      <c r="E333" s="74"/>
      <c r="F333" s="226">
        <v>0</v>
      </c>
      <c r="G333" s="272">
        <f t="shared" si="12"/>
        <v>0</v>
      </c>
      <c r="H333" s="54"/>
    </row>
    <row r="334" spans="2:8" ht="16.5" hidden="1" x14ac:dyDescent="0.3">
      <c r="B334" s="16">
        <v>17</v>
      </c>
      <c r="C334" s="896"/>
      <c r="D334" s="897"/>
      <c r="E334" s="74"/>
      <c r="F334" s="226">
        <v>0</v>
      </c>
      <c r="G334" s="272">
        <f t="shared" si="12"/>
        <v>0</v>
      </c>
      <c r="H334" s="54"/>
    </row>
    <row r="335" spans="2:8" ht="16.5" hidden="1" x14ac:dyDescent="0.3">
      <c r="B335" s="16">
        <v>18</v>
      </c>
      <c r="C335" s="896"/>
      <c r="D335" s="897"/>
      <c r="E335" s="74"/>
      <c r="F335" s="226">
        <v>0</v>
      </c>
      <c r="G335" s="272">
        <f t="shared" si="12"/>
        <v>0</v>
      </c>
      <c r="H335" s="54"/>
    </row>
    <row r="336" spans="2:8" ht="16.5" hidden="1" x14ac:dyDescent="0.3">
      <c r="B336" s="16">
        <v>19</v>
      </c>
      <c r="C336" s="896"/>
      <c r="D336" s="897"/>
      <c r="E336" s="74"/>
      <c r="F336" s="226">
        <v>0</v>
      </c>
      <c r="G336" s="272">
        <f t="shared" si="12"/>
        <v>0</v>
      </c>
      <c r="H336" s="54"/>
    </row>
    <row r="337" spans="2:8" ht="16.5" hidden="1" x14ac:dyDescent="0.3">
      <c r="B337" s="16">
        <v>20</v>
      </c>
      <c r="C337" s="233"/>
      <c r="D337" s="225"/>
      <c r="E337" s="74"/>
      <c r="F337" s="226">
        <v>0</v>
      </c>
      <c r="G337" s="272">
        <f t="shared" si="12"/>
        <v>0</v>
      </c>
      <c r="H337" s="54"/>
    </row>
    <row r="338" spans="2:8" ht="17.25" hidden="1" x14ac:dyDescent="0.3">
      <c r="C338" s="890" t="s">
        <v>566</v>
      </c>
      <c r="D338" s="891"/>
      <c r="E338" s="74"/>
      <c r="F338" s="226">
        <v>0</v>
      </c>
      <c r="G338" s="272">
        <f t="shared" si="12"/>
        <v>0</v>
      </c>
      <c r="H338" s="54"/>
    </row>
    <row r="340" spans="2:8" ht="34.5" customHeight="1" x14ac:dyDescent="0.25">
      <c r="B340" s="82"/>
      <c r="C340" s="82"/>
      <c r="D340" s="219"/>
      <c r="E340" s="86"/>
      <c r="F340" s="82"/>
      <c r="G340" s="906" t="s">
        <v>163</v>
      </c>
      <c r="H340" s="907"/>
    </row>
    <row r="341" spans="2:8" ht="17.25" x14ac:dyDescent="0.3">
      <c r="B341" s="220">
        <v>4</v>
      </c>
      <c r="C341" s="221" t="s">
        <v>149</v>
      </c>
      <c r="D341" s="221"/>
      <c r="E341" s="221"/>
      <c r="F341" s="221"/>
      <c r="G341" s="222"/>
      <c r="H341" s="234">
        <f>SUM(H342,H367,H392,H417)</f>
        <v>6140683.6600000001</v>
      </c>
    </row>
    <row r="342" spans="2:8" ht="16.5" x14ac:dyDescent="0.25">
      <c r="B342" s="763" t="s">
        <v>164</v>
      </c>
      <c r="C342" s="764"/>
      <c r="D342" s="764"/>
      <c r="E342" s="764"/>
      <c r="F342" s="764"/>
      <c r="G342" s="765"/>
      <c r="H342" s="236">
        <f>SUM(G345:G365)</f>
        <v>6140683.6600000001</v>
      </c>
    </row>
    <row r="343" spans="2:8" ht="16.5" x14ac:dyDescent="0.3">
      <c r="B343" s="832" t="s">
        <v>35</v>
      </c>
      <c r="C343" s="892" t="s">
        <v>162</v>
      </c>
      <c r="D343" s="893"/>
      <c r="E343" s="837" t="s">
        <v>150</v>
      </c>
      <c r="F343" s="837" t="s">
        <v>51</v>
      </c>
      <c r="G343" s="876" t="s">
        <v>422</v>
      </c>
      <c r="H343" s="54"/>
    </row>
    <row r="344" spans="2:8" ht="16.5" x14ac:dyDescent="0.3">
      <c r="B344" s="832"/>
      <c r="C344" s="894"/>
      <c r="D344" s="895"/>
      <c r="E344" s="839"/>
      <c r="F344" s="839"/>
      <c r="G344" s="878"/>
      <c r="H344" s="54"/>
    </row>
    <row r="345" spans="2:8" ht="17.25" customHeight="1" x14ac:dyDescent="0.3">
      <c r="B345" s="16">
        <v>1</v>
      </c>
      <c r="C345" s="904" t="s">
        <v>1563</v>
      </c>
      <c r="D345" s="905"/>
      <c r="E345" s="480">
        <v>1</v>
      </c>
      <c r="F345" s="481">
        <v>1200000</v>
      </c>
      <c r="G345" s="272">
        <f t="shared" ref="G345:G365" si="13">E345*F345</f>
        <v>1200000</v>
      </c>
      <c r="H345" s="67"/>
    </row>
    <row r="346" spans="2:8" ht="16.5" x14ac:dyDescent="0.3">
      <c r="B346" s="16">
        <v>2</v>
      </c>
      <c r="C346" s="904" t="s">
        <v>1564</v>
      </c>
      <c r="D346" s="905"/>
      <c r="E346" s="480">
        <v>1</v>
      </c>
      <c r="F346" s="481">
        <v>1890683.66</v>
      </c>
      <c r="G346" s="272">
        <f t="shared" si="13"/>
        <v>1890683.66</v>
      </c>
      <c r="H346" s="54"/>
    </row>
    <row r="347" spans="2:8" ht="17.25" customHeight="1" x14ac:dyDescent="0.3">
      <c r="B347" s="16">
        <v>3</v>
      </c>
      <c r="C347" s="904" t="s">
        <v>1565</v>
      </c>
      <c r="D347" s="905"/>
      <c r="E347" s="480">
        <v>1</v>
      </c>
      <c r="F347" s="481">
        <v>1050000</v>
      </c>
      <c r="G347" s="272">
        <f t="shared" si="13"/>
        <v>1050000</v>
      </c>
      <c r="H347" s="54"/>
    </row>
    <row r="348" spans="2:8" ht="16.5" x14ac:dyDescent="0.3">
      <c r="B348" s="16">
        <v>4</v>
      </c>
      <c r="C348" s="904" t="s">
        <v>1566</v>
      </c>
      <c r="D348" s="905"/>
      <c r="E348" s="74">
        <v>1</v>
      </c>
      <c r="F348" s="481">
        <v>2000000</v>
      </c>
      <c r="G348" s="272">
        <f t="shared" si="13"/>
        <v>2000000</v>
      </c>
      <c r="H348" s="54"/>
    </row>
    <row r="349" spans="2:8" ht="16.5" hidden="1" x14ac:dyDescent="0.3">
      <c r="B349" s="16">
        <v>5</v>
      </c>
      <c r="C349" s="904"/>
      <c r="D349" s="905"/>
      <c r="E349" s="74">
        <v>1</v>
      </c>
      <c r="F349" s="226"/>
      <c r="G349" s="272">
        <f t="shared" si="13"/>
        <v>0</v>
      </c>
      <c r="H349" s="54"/>
    </row>
    <row r="350" spans="2:8" ht="16.5" hidden="1" x14ac:dyDescent="0.3">
      <c r="B350" s="16">
        <v>6</v>
      </c>
      <c r="C350" s="904"/>
      <c r="D350" s="905"/>
      <c r="E350" s="74">
        <v>1</v>
      </c>
      <c r="F350" s="226"/>
      <c r="G350" s="272">
        <f t="shared" si="13"/>
        <v>0</v>
      </c>
      <c r="H350" s="54"/>
    </row>
    <row r="351" spans="2:8" ht="16.5" hidden="1" x14ac:dyDescent="0.3">
      <c r="B351" s="16">
        <v>7</v>
      </c>
      <c r="C351" s="896"/>
      <c r="D351" s="897"/>
      <c r="E351" s="74"/>
      <c r="F351" s="226">
        <v>0</v>
      </c>
      <c r="G351" s="272">
        <f t="shared" si="13"/>
        <v>0</v>
      </c>
      <c r="H351" s="54"/>
    </row>
    <row r="352" spans="2:8" ht="16.5" hidden="1" x14ac:dyDescent="0.3">
      <c r="B352" s="16">
        <v>8</v>
      </c>
      <c r="C352" s="896"/>
      <c r="D352" s="897"/>
      <c r="E352" s="74"/>
      <c r="F352" s="226">
        <v>0</v>
      </c>
      <c r="G352" s="272">
        <f t="shared" si="13"/>
        <v>0</v>
      </c>
      <c r="H352" s="54"/>
    </row>
    <row r="353" spans="2:8" ht="16.5" hidden="1" x14ac:dyDescent="0.3">
      <c r="B353" s="16">
        <v>9</v>
      </c>
      <c r="C353" s="896"/>
      <c r="D353" s="897"/>
      <c r="E353" s="74"/>
      <c r="F353" s="226">
        <v>0</v>
      </c>
      <c r="G353" s="272">
        <f t="shared" si="13"/>
        <v>0</v>
      </c>
      <c r="H353" s="54"/>
    </row>
    <row r="354" spans="2:8" ht="16.5" hidden="1" x14ac:dyDescent="0.3">
      <c r="B354" s="16">
        <v>10</v>
      </c>
      <c r="C354" s="896"/>
      <c r="D354" s="897"/>
      <c r="E354" s="74"/>
      <c r="F354" s="226">
        <v>0</v>
      </c>
      <c r="G354" s="272">
        <f t="shared" si="13"/>
        <v>0</v>
      </c>
      <c r="H354" s="54"/>
    </row>
    <row r="355" spans="2:8" ht="16.5" hidden="1" x14ac:dyDescent="0.3">
      <c r="B355" s="16">
        <v>11</v>
      </c>
      <c r="C355" s="896"/>
      <c r="D355" s="897"/>
      <c r="E355" s="74"/>
      <c r="F355" s="226">
        <v>0</v>
      </c>
      <c r="G355" s="272">
        <f t="shared" si="13"/>
        <v>0</v>
      </c>
      <c r="H355" s="54"/>
    </row>
    <row r="356" spans="2:8" ht="16.5" hidden="1" x14ac:dyDescent="0.3">
      <c r="B356" s="16">
        <v>12</v>
      </c>
      <c r="C356" s="896"/>
      <c r="D356" s="897"/>
      <c r="E356" s="74"/>
      <c r="F356" s="226">
        <v>0</v>
      </c>
      <c r="G356" s="272">
        <f t="shared" si="13"/>
        <v>0</v>
      </c>
      <c r="H356" s="54"/>
    </row>
    <row r="357" spans="2:8" ht="16.5" hidden="1" x14ac:dyDescent="0.3">
      <c r="B357" s="16">
        <v>13</v>
      </c>
      <c r="C357" s="896"/>
      <c r="D357" s="897"/>
      <c r="E357" s="74"/>
      <c r="F357" s="226">
        <v>0</v>
      </c>
      <c r="G357" s="272">
        <f t="shared" si="13"/>
        <v>0</v>
      </c>
      <c r="H357" s="54"/>
    </row>
    <row r="358" spans="2:8" ht="16.5" hidden="1" x14ac:dyDescent="0.3">
      <c r="B358" s="16">
        <v>14</v>
      </c>
      <c r="C358" s="896"/>
      <c r="D358" s="897"/>
      <c r="E358" s="74"/>
      <c r="F358" s="226">
        <v>0</v>
      </c>
      <c r="G358" s="272">
        <f t="shared" si="13"/>
        <v>0</v>
      </c>
      <c r="H358" s="54"/>
    </row>
    <row r="359" spans="2:8" ht="16.5" hidden="1" x14ac:dyDescent="0.3">
      <c r="B359" s="16">
        <v>15</v>
      </c>
      <c r="C359" s="896"/>
      <c r="D359" s="897"/>
      <c r="E359" s="74"/>
      <c r="F359" s="226">
        <v>0</v>
      </c>
      <c r="G359" s="272">
        <f t="shared" si="13"/>
        <v>0</v>
      </c>
      <c r="H359" s="54"/>
    </row>
    <row r="360" spans="2:8" ht="16.5" hidden="1" x14ac:dyDescent="0.3">
      <c r="B360" s="16">
        <v>16</v>
      </c>
      <c r="C360" s="896"/>
      <c r="D360" s="897"/>
      <c r="E360" s="74"/>
      <c r="F360" s="226">
        <v>0</v>
      </c>
      <c r="G360" s="272">
        <f t="shared" si="13"/>
        <v>0</v>
      </c>
      <c r="H360" s="54"/>
    </row>
    <row r="361" spans="2:8" ht="16.5" hidden="1" x14ac:dyDescent="0.3">
      <c r="B361" s="16">
        <v>17</v>
      </c>
      <c r="C361" s="896"/>
      <c r="D361" s="897"/>
      <c r="E361" s="74"/>
      <c r="F361" s="226">
        <v>0</v>
      </c>
      <c r="G361" s="272">
        <f t="shared" si="13"/>
        <v>0</v>
      </c>
      <c r="H361" s="54"/>
    </row>
    <row r="362" spans="2:8" ht="16.5" hidden="1" x14ac:dyDescent="0.3">
      <c r="B362" s="16">
        <v>18</v>
      </c>
      <c r="C362" s="896"/>
      <c r="D362" s="897"/>
      <c r="E362" s="74"/>
      <c r="F362" s="226">
        <v>0</v>
      </c>
      <c r="G362" s="272">
        <f t="shared" si="13"/>
        <v>0</v>
      </c>
      <c r="H362" s="54"/>
    </row>
    <row r="363" spans="2:8" ht="16.5" hidden="1" x14ac:dyDescent="0.3">
      <c r="B363" s="16">
        <v>19</v>
      </c>
      <c r="C363" s="896"/>
      <c r="D363" s="897"/>
      <c r="E363" s="74"/>
      <c r="F363" s="226">
        <v>0</v>
      </c>
      <c r="G363" s="272">
        <f t="shared" si="13"/>
        <v>0</v>
      </c>
      <c r="H363" s="54"/>
    </row>
    <row r="364" spans="2:8" ht="16.5" hidden="1" x14ac:dyDescent="0.3">
      <c r="B364" s="16">
        <v>20</v>
      </c>
      <c r="C364" s="233"/>
      <c r="D364" s="225"/>
      <c r="E364" s="74"/>
      <c r="F364" s="226">
        <v>0</v>
      </c>
      <c r="G364" s="272">
        <f t="shared" si="13"/>
        <v>0</v>
      </c>
      <c r="H364" s="54"/>
    </row>
    <row r="365" spans="2:8" ht="17.25" hidden="1" x14ac:dyDescent="0.3">
      <c r="C365" s="890" t="s">
        <v>566</v>
      </c>
      <c r="D365" s="891"/>
      <c r="E365" s="74"/>
      <c r="F365" s="226">
        <v>0</v>
      </c>
      <c r="G365" s="272">
        <f t="shared" si="13"/>
        <v>0</v>
      </c>
      <c r="H365" s="54"/>
    </row>
    <row r="366" spans="2:8" hidden="1" x14ac:dyDescent="0.25"/>
    <row r="367" spans="2:8" ht="16.5" hidden="1" x14ac:dyDescent="0.25">
      <c r="B367" s="763" t="s">
        <v>165</v>
      </c>
      <c r="C367" s="764"/>
      <c r="D367" s="764"/>
      <c r="E367" s="764"/>
      <c r="F367" s="764"/>
      <c r="G367" s="765"/>
      <c r="H367" s="236">
        <f>SUM(G370:G390)</f>
        <v>0</v>
      </c>
    </row>
    <row r="368" spans="2:8" ht="16.5" hidden="1" x14ac:dyDescent="0.3">
      <c r="B368" s="832" t="s">
        <v>35</v>
      </c>
      <c r="C368" s="892" t="s">
        <v>162</v>
      </c>
      <c r="D368" s="893"/>
      <c r="E368" s="837" t="s">
        <v>150</v>
      </c>
      <c r="F368" s="837" t="s">
        <v>51</v>
      </c>
      <c r="G368" s="876" t="s">
        <v>422</v>
      </c>
      <c r="H368" s="54"/>
    </row>
    <row r="369" spans="2:8" ht="16.5" hidden="1" x14ac:dyDescent="0.3">
      <c r="B369" s="832"/>
      <c r="C369" s="894"/>
      <c r="D369" s="895"/>
      <c r="E369" s="839"/>
      <c r="F369" s="839"/>
      <c r="G369" s="878"/>
      <c r="H369" s="54"/>
    </row>
    <row r="370" spans="2:8" ht="16.5" hidden="1" x14ac:dyDescent="0.3">
      <c r="B370" s="16">
        <v>1</v>
      </c>
      <c r="C370" s="896"/>
      <c r="D370" s="897"/>
      <c r="E370" s="224"/>
      <c r="F370" s="226">
        <v>0</v>
      </c>
      <c r="G370" s="272">
        <f t="shared" ref="G370:G390" si="14">E370*F370</f>
        <v>0</v>
      </c>
      <c r="H370" s="67"/>
    </row>
    <row r="371" spans="2:8" ht="16.5" hidden="1" x14ac:dyDescent="0.3">
      <c r="B371" s="16">
        <v>2</v>
      </c>
      <c r="C371" s="896"/>
      <c r="D371" s="897"/>
      <c r="E371" s="224"/>
      <c r="F371" s="226">
        <v>0</v>
      </c>
      <c r="G371" s="272">
        <f t="shared" si="14"/>
        <v>0</v>
      </c>
      <c r="H371" s="54"/>
    </row>
    <row r="372" spans="2:8" ht="16.5" hidden="1" x14ac:dyDescent="0.3">
      <c r="B372" s="16">
        <v>3</v>
      </c>
      <c r="C372" s="896"/>
      <c r="D372" s="897"/>
      <c r="E372" s="224"/>
      <c r="F372" s="226">
        <v>0</v>
      </c>
      <c r="G372" s="272">
        <f t="shared" si="14"/>
        <v>0</v>
      </c>
      <c r="H372" s="54"/>
    </row>
    <row r="373" spans="2:8" ht="16.5" hidden="1" x14ac:dyDescent="0.3">
      <c r="B373" s="16">
        <v>4</v>
      </c>
      <c r="C373" s="896"/>
      <c r="D373" s="897"/>
      <c r="E373" s="74"/>
      <c r="F373" s="226">
        <v>0</v>
      </c>
      <c r="G373" s="272">
        <f t="shared" si="14"/>
        <v>0</v>
      </c>
      <c r="H373" s="54"/>
    </row>
    <row r="374" spans="2:8" ht="16.5" hidden="1" x14ac:dyDescent="0.3">
      <c r="B374" s="16">
        <v>5</v>
      </c>
      <c r="C374" s="896"/>
      <c r="D374" s="897"/>
      <c r="E374" s="74"/>
      <c r="F374" s="226">
        <v>0</v>
      </c>
      <c r="G374" s="272">
        <f t="shared" si="14"/>
        <v>0</v>
      </c>
      <c r="H374" s="54"/>
    </row>
    <row r="375" spans="2:8" ht="16.5" hidden="1" x14ac:dyDescent="0.3">
      <c r="B375" s="16">
        <v>6</v>
      </c>
      <c r="C375" s="896"/>
      <c r="D375" s="897"/>
      <c r="E375" s="74"/>
      <c r="F375" s="226">
        <v>0</v>
      </c>
      <c r="G375" s="272">
        <f t="shared" si="14"/>
        <v>0</v>
      </c>
      <c r="H375" s="54"/>
    </row>
    <row r="376" spans="2:8" ht="16.5" hidden="1" x14ac:dyDescent="0.3">
      <c r="B376" s="16">
        <v>7</v>
      </c>
      <c r="C376" s="896"/>
      <c r="D376" s="897"/>
      <c r="E376" s="74"/>
      <c r="F376" s="226">
        <v>0</v>
      </c>
      <c r="G376" s="272">
        <f t="shared" si="14"/>
        <v>0</v>
      </c>
      <c r="H376" s="54"/>
    </row>
    <row r="377" spans="2:8" ht="16.5" hidden="1" x14ac:dyDescent="0.3">
      <c r="B377" s="16">
        <v>8</v>
      </c>
      <c r="C377" s="896"/>
      <c r="D377" s="897"/>
      <c r="E377" s="74"/>
      <c r="F377" s="226">
        <v>0</v>
      </c>
      <c r="G377" s="272">
        <f t="shared" si="14"/>
        <v>0</v>
      </c>
      <c r="H377" s="54"/>
    </row>
    <row r="378" spans="2:8" ht="16.5" hidden="1" x14ac:dyDescent="0.3">
      <c r="B378" s="16">
        <v>9</v>
      </c>
      <c r="C378" s="896"/>
      <c r="D378" s="897"/>
      <c r="E378" s="74"/>
      <c r="F378" s="226">
        <v>0</v>
      </c>
      <c r="G378" s="272">
        <f t="shared" si="14"/>
        <v>0</v>
      </c>
      <c r="H378" s="54"/>
    </row>
    <row r="379" spans="2:8" ht="16.5" hidden="1" x14ac:dyDescent="0.3">
      <c r="B379" s="16">
        <v>10</v>
      </c>
      <c r="C379" s="896"/>
      <c r="D379" s="897"/>
      <c r="E379" s="74"/>
      <c r="F379" s="226">
        <v>0</v>
      </c>
      <c r="G379" s="272">
        <f t="shared" si="14"/>
        <v>0</v>
      </c>
      <c r="H379" s="54"/>
    </row>
    <row r="380" spans="2:8" ht="16.5" hidden="1" x14ac:dyDescent="0.3">
      <c r="B380" s="16">
        <v>11</v>
      </c>
      <c r="C380" s="896"/>
      <c r="D380" s="897"/>
      <c r="E380" s="74"/>
      <c r="F380" s="226">
        <v>0</v>
      </c>
      <c r="G380" s="272">
        <f t="shared" si="14"/>
        <v>0</v>
      </c>
      <c r="H380" s="54"/>
    </row>
    <row r="381" spans="2:8" ht="16.5" hidden="1" x14ac:dyDescent="0.3">
      <c r="B381" s="16">
        <v>12</v>
      </c>
      <c r="C381" s="896"/>
      <c r="D381" s="897"/>
      <c r="E381" s="74"/>
      <c r="F381" s="226">
        <v>0</v>
      </c>
      <c r="G381" s="272">
        <f t="shared" si="14"/>
        <v>0</v>
      </c>
      <c r="H381" s="54"/>
    </row>
    <row r="382" spans="2:8" ht="16.5" hidden="1" x14ac:dyDescent="0.3">
      <c r="B382" s="16">
        <v>13</v>
      </c>
      <c r="C382" s="896"/>
      <c r="D382" s="897"/>
      <c r="E382" s="74"/>
      <c r="F382" s="226">
        <v>0</v>
      </c>
      <c r="G382" s="272">
        <f t="shared" si="14"/>
        <v>0</v>
      </c>
      <c r="H382" s="54"/>
    </row>
    <row r="383" spans="2:8" ht="16.5" hidden="1" x14ac:dyDescent="0.3">
      <c r="B383" s="16">
        <v>14</v>
      </c>
      <c r="C383" s="896"/>
      <c r="D383" s="897"/>
      <c r="E383" s="74"/>
      <c r="F383" s="226">
        <v>0</v>
      </c>
      <c r="G383" s="272">
        <f t="shared" si="14"/>
        <v>0</v>
      </c>
      <c r="H383" s="54"/>
    </row>
    <row r="384" spans="2:8" ht="16.5" hidden="1" x14ac:dyDescent="0.3">
      <c r="B384" s="16">
        <v>15</v>
      </c>
      <c r="C384" s="896"/>
      <c r="D384" s="897"/>
      <c r="E384" s="74"/>
      <c r="F384" s="226">
        <v>0</v>
      </c>
      <c r="G384" s="272">
        <f t="shared" si="14"/>
        <v>0</v>
      </c>
      <c r="H384" s="54"/>
    </row>
    <row r="385" spans="2:8" ht="16.5" hidden="1" x14ac:dyDescent="0.3">
      <c r="B385" s="16">
        <v>16</v>
      </c>
      <c r="C385" s="896"/>
      <c r="D385" s="897"/>
      <c r="E385" s="74"/>
      <c r="F385" s="226">
        <v>0</v>
      </c>
      <c r="G385" s="272">
        <f t="shared" si="14"/>
        <v>0</v>
      </c>
      <c r="H385" s="54"/>
    </row>
    <row r="386" spans="2:8" ht="16.5" hidden="1" x14ac:dyDescent="0.3">
      <c r="B386" s="16">
        <v>17</v>
      </c>
      <c r="C386" s="896"/>
      <c r="D386" s="897"/>
      <c r="E386" s="74"/>
      <c r="F386" s="226">
        <v>0</v>
      </c>
      <c r="G386" s="272">
        <f t="shared" si="14"/>
        <v>0</v>
      </c>
      <c r="H386" s="54"/>
    </row>
    <row r="387" spans="2:8" ht="16.5" hidden="1" x14ac:dyDescent="0.3">
      <c r="B387" s="16">
        <v>18</v>
      </c>
      <c r="C387" s="896"/>
      <c r="D387" s="897"/>
      <c r="E387" s="74"/>
      <c r="F387" s="226">
        <v>0</v>
      </c>
      <c r="G387" s="272">
        <f t="shared" si="14"/>
        <v>0</v>
      </c>
      <c r="H387" s="54"/>
    </row>
    <row r="388" spans="2:8" ht="16.5" hidden="1" x14ac:dyDescent="0.3">
      <c r="B388" s="16">
        <v>19</v>
      </c>
      <c r="C388" s="896"/>
      <c r="D388" s="897"/>
      <c r="E388" s="74"/>
      <c r="F388" s="226">
        <v>0</v>
      </c>
      <c r="G388" s="272">
        <f t="shared" si="14"/>
        <v>0</v>
      </c>
      <c r="H388" s="54"/>
    </row>
    <row r="389" spans="2:8" ht="16.5" hidden="1" x14ac:dyDescent="0.3">
      <c r="B389" s="16">
        <v>20</v>
      </c>
      <c r="C389" s="233"/>
      <c r="D389" s="225"/>
      <c r="E389" s="74"/>
      <c r="F389" s="226">
        <v>0</v>
      </c>
      <c r="G389" s="272">
        <f t="shared" si="14"/>
        <v>0</v>
      </c>
      <c r="H389" s="54"/>
    </row>
    <row r="390" spans="2:8" ht="17.25" hidden="1" x14ac:dyDescent="0.3">
      <c r="C390" s="890" t="s">
        <v>566</v>
      </c>
      <c r="D390" s="891"/>
      <c r="E390" s="74"/>
      <c r="F390" s="226">
        <v>0</v>
      </c>
      <c r="G390" s="272">
        <f t="shared" si="14"/>
        <v>0</v>
      </c>
      <c r="H390" s="54"/>
    </row>
    <row r="391" spans="2:8" hidden="1" x14ac:dyDescent="0.25"/>
    <row r="392" spans="2:8" ht="16.5" hidden="1" x14ac:dyDescent="0.25">
      <c r="B392" s="763" t="s">
        <v>176</v>
      </c>
      <c r="C392" s="764"/>
      <c r="D392" s="764"/>
      <c r="E392" s="764"/>
      <c r="F392" s="764"/>
      <c r="G392" s="765"/>
      <c r="H392" s="236">
        <f>SUM(G395:G415)</f>
        <v>0</v>
      </c>
    </row>
    <row r="393" spans="2:8" ht="16.5" hidden="1" x14ac:dyDescent="0.3">
      <c r="B393" s="832" t="s">
        <v>35</v>
      </c>
      <c r="C393" s="892" t="s">
        <v>162</v>
      </c>
      <c r="D393" s="893"/>
      <c r="E393" s="837" t="s">
        <v>150</v>
      </c>
      <c r="F393" s="837" t="s">
        <v>51</v>
      </c>
      <c r="G393" s="876" t="s">
        <v>422</v>
      </c>
      <c r="H393" s="54"/>
    </row>
    <row r="394" spans="2:8" ht="16.5" hidden="1" x14ac:dyDescent="0.3">
      <c r="B394" s="832"/>
      <c r="C394" s="894"/>
      <c r="D394" s="895"/>
      <c r="E394" s="839"/>
      <c r="F394" s="839"/>
      <c r="G394" s="878"/>
      <c r="H394" s="54"/>
    </row>
    <row r="395" spans="2:8" ht="16.5" hidden="1" x14ac:dyDescent="0.3">
      <c r="B395" s="16">
        <v>1</v>
      </c>
      <c r="C395" s="896"/>
      <c r="D395" s="897"/>
      <c r="E395" s="224"/>
      <c r="F395" s="226">
        <v>0</v>
      </c>
      <c r="G395" s="272">
        <f t="shared" ref="G395:G415" si="15">E395*F395</f>
        <v>0</v>
      </c>
      <c r="H395" s="67"/>
    </row>
    <row r="396" spans="2:8" ht="16.5" hidden="1" x14ac:dyDescent="0.3">
      <c r="B396" s="16">
        <v>2</v>
      </c>
      <c r="C396" s="896"/>
      <c r="D396" s="897"/>
      <c r="E396" s="224"/>
      <c r="F396" s="226">
        <v>0</v>
      </c>
      <c r="G396" s="272">
        <f t="shared" si="15"/>
        <v>0</v>
      </c>
      <c r="H396" s="54"/>
    </row>
    <row r="397" spans="2:8" ht="16.5" hidden="1" x14ac:dyDescent="0.3">
      <c r="B397" s="16">
        <v>3</v>
      </c>
      <c r="C397" s="896"/>
      <c r="D397" s="897"/>
      <c r="E397" s="224"/>
      <c r="F397" s="226">
        <v>0</v>
      </c>
      <c r="G397" s="272">
        <f t="shared" si="15"/>
        <v>0</v>
      </c>
      <c r="H397" s="54"/>
    </row>
    <row r="398" spans="2:8" ht="16.5" hidden="1" x14ac:dyDescent="0.3">
      <c r="B398" s="16">
        <v>4</v>
      </c>
      <c r="C398" s="896"/>
      <c r="D398" s="897"/>
      <c r="E398" s="74"/>
      <c r="F398" s="226">
        <v>0</v>
      </c>
      <c r="G398" s="272">
        <f t="shared" si="15"/>
        <v>0</v>
      </c>
      <c r="H398" s="54"/>
    </row>
    <row r="399" spans="2:8" ht="16.5" hidden="1" x14ac:dyDescent="0.3">
      <c r="B399" s="16">
        <v>5</v>
      </c>
      <c r="C399" s="896"/>
      <c r="D399" s="897"/>
      <c r="E399" s="74"/>
      <c r="F399" s="226">
        <v>0</v>
      </c>
      <c r="G399" s="272">
        <f t="shared" si="15"/>
        <v>0</v>
      </c>
      <c r="H399" s="54"/>
    </row>
    <row r="400" spans="2:8" ht="16.5" hidden="1" x14ac:dyDescent="0.3">
      <c r="B400" s="16">
        <v>6</v>
      </c>
      <c r="C400" s="896"/>
      <c r="D400" s="897"/>
      <c r="E400" s="74"/>
      <c r="F400" s="226">
        <v>0</v>
      </c>
      <c r="G400" s="272">
        <f t="shared" si="15"/>
        <v>0</v>
      </c>
      <c r="H400" s="54"/>
    </row>
    <row r="401" spans="2:8" ht="16.5" hidden="1" x14ac:dyDescent="0.3">
      <c r="B401" s="16">
        <v>7</v>
      </c>
      <c r="C401" s="896"/>
      <c r="D401" s="897"/>
      <c r="E401" s="74"/>
      <c r="F401" s="226">
        <v>0</v>
      </c>
      <c r="G401" s="272">
        <f t="shared" si="15"/>
        <v>0</v>
      </c>
      <c r="H401" s="54"/>
    </row>
    <row r="402" spans="2:8" ht="16.5" hidden="1" x14ac:dyDescent="0.3">
      <c r="B402" s="16">
        <v>8</v>
      </c>
      <c r="C402" s="896"/>
      <c r="D402" s="897"/>
      <c r="E402" s="74"/>
      <c r="F402" s="226">
        <v>0</v>
      </c>
      <c r="G402" s="272">
        <f t="shared" si="15"/>
        <v>0</v>
      </c>
      <c r="H402" s="54"/>
    </row>
    <row r="403" spans="2:8" ht="16.5" hidden="1" x14ac:dyDescent="0.3">
      <c r="B403" s="16">
        <v>9</v>
      </c>
      <c r="C403" s="896"/>
      <c r="D403" s="897"/>
      <c r="E403" s="74"/>
      <c r="F403" s="226">
        <v>0</v>
      </c>
      <c r="G403" s="272">
        <f t="shared" si="15"/>
        <v>0</v>
      </c>
      <c r="H403" s="54"/>
    </row>
    <row r="404" spans="2:8" ht="16.5" hidden="1" x14ac:dyDescent="0.3">
      <c r="B404" s="16">
        <v>10</v>
      </c>
      <c r="C404" s="896"/>
      <c r="D404" s="897"/>
      <c r="E404" s="74"/>
      <c r="F404" s="226">
        <v>0</v>
      </c>
      <c r="G404" s="272">
        <f t="shared" si="15"/>
        <v>0</v>
      </c>
      <c r="H404" s="54"/>
    </row>
    <row r="405" spans="2:8" ht="16.5" hidden="1" x14ac:dyDescent="0.3">
      <c r="B405" s="16">
        <v>11</v>
      </c>
      <c r="C405" s="896"/>
      <c r="D405" s="897"/>
      <c r="E405" s="74"/>
      <c r="F405" s="226">
        <v>0</v>
      </c>
      <c r="G405" s="272">
        <f t="shared" si="15"/>
        <v>0</v>
      </c>
      <c r="H405" s="54"/>
    </row>
    <row r="406" spans="2:8" ht="16.5" hidden="1" x14ac:dyDescent="0.3">
      <c r="B406" s="16">
        <v>12</v>
      </c>
      <c r="C406" s="896"/>
      <c r="D406" s="897"/>
      <c r="E406" s="74"/>
      <c r="F406" s="226">
        <v>0</v>
      </c>
      <c r="G406" s="272">
        <f t="shared" si="15"/>
        <v>0</v>
      </c>
      <c r="H406" s="54"/>
    </row>
    <row r="407" spans="2:8" ht="16.5" hidden="1" x14ac:dyDescent="0.3">
      <c r="B407" s="16">
        <v>13</v>
      </c>
      <c r="C407" s="896"/>
      <c r="D407" s="897"/>
      <c r="E407" s="74"/>
      <c r="F407" s="226">
        <v>0</v>
      </c>
      <c r="G407" s="272">
        <f t="shared" si="15"/>
        <v>0</v>
      </c>
      <c r="H407" s="54"/>
    </row>
    <row r="408" spans="2:8" ht="16.5" hidden="1" x14ac:dyDescent="0.3">
      <c r="B408" s="16">
        <v>14</v>
      </c>
      <c r="C408" s="896"/>
      <c r="D408" s="897"/>
      <c r="E408" s="74"/>
      <c r="F408" s="226">
        <v>0</v>
      </c>
      <c r="G408" s="272">
        <f t="shared" si="15"/>
        <v>0</v>
      </c>
      <c r="H408" s="54"/>
    </row>
    <row r="409" spans="2:8" ht="16.5" hidden="1" x14ac:dyDescent="0.3">
      <c r="B409" s="16">
        <v>15</v>
      </c>
      <c r="C409" s="896"/>
      <c r="D409" s="897"/>
      <c r="E409" s="74"/>
      <c r="F409" s="226">
        <v>0</v>
      </c>
      <c r="G409" s="272">
        <f t="shared" si="15"/>
        <v>0</v>
      </c>
      <c r="H409" s="54"/>
    </row>
    <row r="410" spans="2:8" ht="16.5" hidden="1" x14ac:dyDescent="0.3">
      <c r="B410" s="16">
        <v>16</v>
      </c>
      <c r="C410" s="896"/>
      <c r="D410" s="897"/>
      <c r="E410" s="74"/>
      <c r="F410" s="226">
        <v>0</v>
      </c>
      <c r="G410" s="272">
        <f t="shared" si="15"/>
        <v>0</v>
      </c>
      <c r="H410" s="54"/>
    </row>
    <row r="411" spans="2:8" ht="16.5" hidden="1" x14ac:dyDescent="0.3">
      <c r="B411" s="16">
        <v>17</v>
      </c>
      <c r="C411" s="896"/>
      <c r="D411" s="897"/>
      <c r="E411" s="74"/>
      <c r="F411" s="226">
        <v>0</v>
      </c>
      <c r="G411" s="272">
        <f t="shared" si="15"/>
        <v>0</v>
      </c>
      <c r="H411" s="54"/>
    </row>
    <row r="412" spans="2:8" ht="16.5" hidden="1" x14ac:dyDescent="0.3">
      <c r="B412" s="16">
        <v>18</v>
      </c>
      <c r="C412" s="896"/>
      <c r="D412" s="897"/>
      <c r="E412" s="74"/>
      <c r="F412" s="226">
        <v>0</v>
      </c>
      <c r="G412" s="272">
        <f t="shared" si="15"/>
        <v>0</v>
      </c>
      <c r="H412" s="54"/>
    </row>
    <row r="413" spans="2:8" ht="16.5" hidden="1" x14ac:dyDescent="0.3">
      <c r="B413" s="16">
        <v>19</v>
      </c>
      <c r="C413" s="896"/>
      <c r="D413" s="897"/>
      <c r="E413" s="74"/>
      <c r="F413" s="226">
        <v>0</v>
      </c>
      <c r="G413" s="272">
        <f t="shared" si="15"/>
        <v>0</v>
      </c>
      <c r="H413" s="54"/>
    </row>
    <row r="414" spans="2:8" ht="16.5" hidden="1" x14ac:dyDescent="0.3">
      <c r="B414" s="16">
        <v>20</v>
      </c>
      <c r="C414" s="233"/>
      <c r="D414" s="225"/>
      <c r="E414" s="74"/>
      <c r="F414" s="226">
        <v>0</v>
      </c>
      <c r="G414" s="272">
        <f t="shared" si="15"/>
        <v>0</v>
      </c>
      <c r="H414" s="54"/>
    </row>
    <row r="415" spans="2:8" ht="17.25" hidden="1" x14ac:dyDescent="0.3">
      <c r="C415" s="890" t="s">
        <v>566</v>
      </c>
      <c r="D415" s="891"/>
      <c r="E415" s="74"/>
      <c r="F415" s="226">
        <v>0</v>
      </c>
      <c r="G415" s="272">
        <f t="shared" si="15"/>
        <v>0</v>
      </c>
      <c r="H415" s="54"/>
    </row>
    <row r="416" spans="2:8" hidden="1" x14ac:dyDescent="0.25"/>
    <row r="417" spans="2:8" ht="16.5" hidden="1" x14ac:dyDescent="0.25">
      <c r="B417" s="763" t="s">
        <v>748</v>
      </c>
      <c r="C417" s="764"/>
      <c r="D417" s="764"/>
      <c r="E417" s="764"/>
      <c r="F417" s="764"/>
      <c r="G417" s="765"/>
      <c r="H417" s="236">
        <f>SUM(G420:G440)</f>
        <v>0</v>
      </c>
    </row>
    <row r="418" spans="2:8" ht="16.5" hidden="1" x14ac:dyDescent="0.3">
      <c r="B418" s="832" t="s">
        <v>35</v>
      </c>
      <c r="C418" s="892" t="s">
        <v>162</v>
      </c>
      <c r="D418" s="893"/>
      <c r="E418" s="837" t="s">
        <v>150</v>
      </c>
      <c r="F418" s="837" t="s">
        <v>51</v>
      </c>
      <c r="G418" s="876" t="s">
        <v>422</v>
      </c>
      <c r="H418" s="54"/>
    </row>
    <row r="419" spans="2:8" ht="16.5" hidden="1" x14ac:dyDescent="0.3">
      <c r="B419" s="832"/>
      <c r="C419" s="894"/>
      <c r="D419" s="895"/>
      <c r="E419" s="839"/>
      <c r="F419" s="839"/>
      <c r="G419" s="878"/>
      <c r="H419" s="54"/>
    </row>
    <row r="420" spans="2:8" ht="16.5" hidden="1" x14ac:dyDescent="0.3">
      <c r="B420" s="16">
        <v>1</v>
      </c>
      <c r="C420" s="896"/>
      <c r="D420" s="897"/>
      <c r="E420" s="224"/>
      <c r="F420" s="226">
        <v>0</v>
      </c>
      <c r="G420" s="272">
        <f t="shared" ref="G420:G440" si="16">E420*F420</f>
        <v>0</v>
      </c>
      <c r="H420" s="67"/>
    </row>
    <row r="421" spans="2:8" ht="16.5" hidden="1" x14ac:dyDescent="0.3">
      <c r="B421" s="16">
        <v>2</v>
      </c>
      <c r="C421" s="896"/>
      <c r="D421" s="897"/>
      <c r="E421" s="224"/>
      <c r="F421" s="226">
        <v>0</v>
      </c>
      <c r="G421" s="272">
        <f t="shared" si="16"/>
        <v>0</v>
      </c>
      <c r="H421" s="54"/>
    </row>
    <row r="422" spans="2:8" ht="16.5" hidden="1" x14ac:dyDescent="0.3">
      <c r="B422" s="16">
        <v>3</v>
      </c>
      <c r="C422" s="896"/>
      <c r="D422" s="897"/>
      <c r="E422" s="224"/>
      <c r="F422" s="226">
        <v>0</v>
      </c>
      <c r="G422" s="272">
        <f t="shared" si="16"/>
        <v>0</v>
      </c>
      <c r="H422" s="54"/>
    </row>
    <row r="423" spans="2:8" ht="16.5" hidden="1" x14ac:dyDescent="0.3">
      <c r="B423" s="16">
        <v>4</v>
      </c>
      <c r="C423" s="896"/>
      <c r="D423" s="897"/>
      <c r="E423" s="74"/>
      <c r="F423" s="226">
        <v>0</v>
      </c>
      <c r="G423" s="272">
        <f t="shared" si="16"/>
        <v>0</v>
      </c>
      <c r="H423" s="54"/>
    </row>
    <row r="424" spans="2:8" ht="16.5" hidden="1" x14ac:dyDescent="0.3">
      <c r="B424" s="16">
        <v>5</v>
      </c>
      <c r="C424" s="896"/>
      <c r="D424" s="897"/>
      <c r="E424" s="74"/>
      <c r="F424" s="226">
        <v>0</v>
      </c>
      <c r="G424" s="272">
        <f t="shared" si="16"/>
        <v>0</v>
      </c>
      <c r="H424" s="54"/>
    </row>
    <row r="425" spans="2:8" ht="16.5" hidden="1" x14ac:dyDescent="0.3">
      <c r="B425" s="16">
        <v>6</v>
      </c>
      <c r="C425" s="896"/>
      <c r="D425" s="897"/>
      <c r="E425" s="74"/>
      <c r="F425" s="226">
        <v>0</v>
      </c>
      <c r="G425" s="272">
        <f t="shared" si="16"/>
        <v>0</v>
      </c>
      <c r="H425" s="54"/>
    </row>
    <row r="426" spans="2:8" ht="16.5" hidden="1" x14ac:dyDescent="0.3">
      <c r="B426" s="16">
        <v>7</v>
      </c>
      <c r="C426" s="896"/>
      <c r="D426" s="897"/>
      <c r="E426" s="74"/>
      <c r="F426" s="226">
        <v>0</v>
      </c>
      <c r="G426" s="272">
        <f t="shared" si="16"/>
        <v>0</v>
      </c>
      <c r="H426" s="54"/>
    </row>
    <row r="427" spans="2:8" ht="16.5" hidden="1" x14ac:dyDescent="0.3">
      <c r="B427" s="16">
        <v>8</v>
      </c>
      <c r="C427" s="896"/>
      <c r="D427" s="897"/>
      <c r="E427" s="74"/>
      <c r="F427" s="226">
        <v>0</v>
      </c>
      <c r="G427" s="272">
        <f t="shared" si="16"/>
        <v>0</v>
      </c>
      <c r="H427" s="54"/>
    </row>
    <row r="428" spans="2:8" ht="16.5" hidden="1" x14ac:dyDescent="0.3">
      <c r="B428" s="16">
        <v>9</v>
      </c>
      <c r="C428" s="896"/>
      <c r="D428" s="897"/>
      <c r="E428" s="74"/>
      <c r="F428" s="226">
        <v>0</v>
      </c>
      <c r="G428" s="272">
        <f t="shared" si="16"/>
        <v>0</v>
      </c>
      <c r="H428" s="54"/>
    </row>
    <row r="429" spans="2:8" ht="16.5" hidden="1" x14ac:dyDescent="0.3">
      <c r="B429" s="16">
        <v>10</v>
      </c>
      <c r="C429" s="896"/>
      <c r="D429" s="897"/>
      <c r="E429" s="74"/>
      <c r="F429" s="226">
        <v>0</v>
      </c>
      <c r="G429" s="272">
        <f t="shared" si="16"/>
        <v>0</v>
      </c>
      <c r="H429" s="54"/>
    </row>
    <row r="430" spans="2:8" ht="16.5" hidden="1" x14ac:dyDescent="0.3">
      <c r="B430" s="16">
        <v>11</v>
      </c>
      <c r="C430" s="896"/>
      <c r="D430" s="897"/>
      <c r="E430" s="74"/>
      <c r="F430" s="226">
        <v>0</v>
      </c>
      <c r="G430" s="272">
        <f t="shared" si="16"/>
        <v>0</v>
      </c>
      <c r="H430" s="54"/>
    </row>
    <row r="431" spans="2:8" ht="16.5" hidden="1" x14ac:dyDescent="0.3">
      <c r="B431" s="16">
        <v>12</v>
      </c>
      <c r="C431" s="896"/>
      <c r="D431" s="897"/>
      <c r="E431" s="74"/>
      <c r="F431" s="226">
        <v>0</v>
      </c>
      <c r="G431" s="272">
        <f t="shared" si="16"/>
        <v>0</v>
      </c>
      <c r="H431" s="54"/>
    </row>
    <row r="432" spans="2:8" ht="16.5" hidden="1" x14ac:dyDescent="0.3">
      <c r="B432" s="16">
        <v>13</v>
      </c>
      <c r="C432" s="896"/>
      <c r="D432" s="897"/>
      <c r="E432" s="74"/>
      <c r="F432" s="226">
        <v>0</v>
      </c>
      <c r="G432" s="272">
        <f t="shared" si="16"/>
        <v>0</v>
      </c>
      <c r="H432" s="54"/>
    </row>
    <row r="433" spans="2:9" ht="16.5" hidden="1" x14ac:dyDescent="0.3">
      <c r="B433" s="16">
        <v>14</v>
      </c>
      <c r="C433" s="896"/>
      <c r="D433" s="897"/>
      <c r="E433" s="74"/>
      <c r="F433" s="226">
        <v>0</v>
      </c>
      <c r="G433" s="272">
        <f t="shared" si="16"/>
        <v>0</v>
      </c>
      <c r="H433" s="54"/>
    </row>
    <row r="434" spans="2:9" ht="16.5" hidden="1" x14ac:dyDescent="0.3">
      <c r="B434" s="16">
        <v>15</v>
      </c>
      <c r="C434" s="896"/>
      <c r="D434" s="897"/>
      <c r="E434" s="74"/>
      <c r="F434" s="226">
        <v>0</v>
      </c>
      <c r="G434" s="272">
        <f t="shared" si="16"/>
        <v>0</v>
      </c>
      <c r="H434" s="54"/>
    </row>
    <row r="435" spans="2:9" ht="16.5" hidden="1" x14ac:dyDescent="0.3">
      <c r="B435" s="16">
        <v>16</v>
      </c>
      <c r="C435" s="896"/>
      <c r="D435" s="897"/>
      <c r="E435" s="74"/>
      <c r="F435" s="226">
        <v>0</v>
      </c>
      <c r="G435" s="272">
        <f t="shared" si="16"/>
        <v>0</v>
      </c>
      <c r="H435" s="54"/>
    </row>
    <row r="436" spans="2:9" ht="16.5" hidden="1" x14ac:dyDescent="0.3">
      <c r="B436" s="16">
        <v>17</v>
      </c>
      <c r="C436" s="896"/>
      <c r="D436" s="897"/>
      <c r="E436" s="74"/>
      <c r="F436" s="226">
        <v>0</v>
      </c>
      <c r="G436" s="272">
        <f t="shared" si="16"/>
        <v>0</v>
      </c>
      <c r="H436" s="54"/>
    </row>
    <row r="437" spans="2:9" ht="16.5" hidden="1" x14ac:dyDescent="0.3">
      <c r="B437" s="16">
        <v>18</v>
      </c>
      <c r="C437" s="896"/>
      <c r="D437" s="897"/>
      <c r="E437" s="74"/>
      <c r="F437" s="226">
        <v>0</v>
      </c>
      <c r="G437" s="272">
        <f t="shared" si="16"/>
        <v>0</v>
      </c>
      <c r="H437" s="54"/>
    </row>
    <row r="438" spans="2:9" ht="16.5" hidden="1" x14ac:dyDescent="0.3">
      <c r="B438" s="16">
        <v>19</v>
      </c>
      <c r="C438" s="896"/>
      <c r="D438" s="897"/>
      <c r="E438" s="74"/>
      <c r="F438" s="226">
        <v>0</v>
      </c>
      <c r="G438" s="272">
        <f t="shared" si="16"/>
        <v>0</v>
      </c>
      <c r="H438" s="54"/>
    </row>
    <row r="439" spans="2:9" ht="16.5" hidden="1" x14ac:dyDescent="0.3">
      <c r="B439" s="16">
        <v>20</v>
      </c>
      <c r="C439" s="233"/>
      <c r="D439" s="225"/>
      <c r="E439" s="74"/>
      <c r="F439" s="226">
        <v>0</v>
      </c>
      <c r="G439" s="272">
        <f t="shared" si="16"/>
        <v>0</v>
      </c>
      <c r="H439" s="54"/>
    </row>
    <row r="440" spans="2:9" ht="17.25" hidden="1" x14ac:dyDescent="0.3">
      <c r="C440" s="890" t="s">
        <v>566</v>
      </c>
      <c r="D440" s="891"/>
      <c r="E440" s="74"/>
      <c r="F440" s="226">
        <v>0</v>
      </c>
      <c r="G440" s="272">
        <f t="shared" si="16"/>
        <v>0</v>
      </c>
      <c r="H440" s="54"/>
    </row>
    <row r="447" spans="2:9" ht="37.5" x14ac:dyDescent="0.25">
      <c r="B447" s="883" t="s">
        <v>687</v>
      </c>
      <c r="C447" s="883"/>
      <c r="D447" s="883"/>
      <c r="E447" s="883"/>
      <c r="F447" s="883"/>
      <c r="G447" s="883"/>
      <c r="H447" s="883"/>
      <c r="I447" s="883"/>
    </row>
    <row r="448" spans="2:9" ht="17.25" x14ac:dyDescent="0.3">
      <c r="B448" s="884" t="s">
        <v>35</v>
      </c>
      <c r="C448" s="884" t="s">
        <v>688</v>
      </c>
      <c r="D448" s="884" t="s">
        <v>689</v>
      </c>
      <c r="E448" s="885" t="s">
        <v>690</v>
      </c>
      <c r="F448" s="885"/>
      <c r="G448" s="884" t="s">
        <v>691</v>
      </c>
      <c r="H448" s="886" t="s">
        <v>692</v>
      </c>
      <c r="I448" s="884" t="s">
        <v>693</v>
      </c>
    </row>
    <row r="449" spans="2:9" ht="16.5" x14ac:dyDescent="0.25">
      <c r="B449" s="884"/>
      <c r="C449" s="884"/>
      <c r="D449" s="884"/>
      <c r="E449" s="357" t="s">
        <v>172</v>
      </c>
      <c r="F449" s="357" t="s">
        <v>101</v>
      </c>
      <c r="G449" s="884"/>
      <c r="H449" s="886"/>
      <c r="I449" s="884"/>
    </row>
    <row r="450" spans="2:9" ht="138" x14ac:dyDescent="0.3">
      <c r="B450" s="358">
        <v>1</v>
      </c>
      <c r="C450" s="539" t="s">
        <v>887</v>
      </c>
      <c r="D450" s="358" t="s">
        <v>891</v>
      </c>
      <c r="E450" s="499">
        <v>6.9333499999999999</v>
      </c>
      <c r="F450" s="499">
        <v>8.0879539999999999</v>
      </c>
      <c r="G450" s="450" t="s">
        <v>926</v>
      </c>
      <c r="H450" s="641" t="s">
        <v>1814</v>
      </c>
      <c r="I450" s="544" t="s">
        <v>1784</v>
      </c>
    </row>
    <row r="451" spans="2:9" ht="138" x14ac:dyDescent="0.3">
      <c r="B451" s="358">
        <v>2</v>
      </c>
      <c r="C451" s="539" t="s">
        <v>886</v>
      </c>
      <c r="D451" s="358" t="s">
        <v>890</v>
      </c>
      <c r="E451" s="423">
        <v>7.7650240000000004</v>
      </c>
      <c r="F451" s="423">
        <v>7.8224989999999996</v>
      </c>
      <c r="G451" s="450" t="s">
        <v>926</v>
      </c>
      <c r="H451" s="641" t="s">
        <v>1814</v>
      </c>
      <c r="I451" s="544" t="s">
        <v>1784</v>
      </c>
    </row>
    <row r="452" spans="2:9" ht="138" x14ac:dyDescent="0.3">
      <c r="B452" s="358">
        <v>3</v>
      </c>
      <c r="C452" s="539" t="s">
        <v>928</v>
      </c>
      <c r="D452" s="358" t="s">
        <v>925</v>
      </c>
      <c r="E452" s="423">
        <v>7.0061109999999998</v>
      </c>
      <c r="F452" s="423">
        <v>9.0397219999999994</v>
      </c>
      <c r="G452" s="450" t="s">
        <v>926</v>
      </c>
      <c r="H452" s="641" t="s">
        <v>1814</v>
      </c>
      <c r="I452" s="544" t="s">
        <v>1784</v>
      </c>
    </row>
    <row r="453" spans="2:9" ht="138" x14ac:dyDescent="0.3">
      <c r="B453" s="358">
        <v>4</v>
      </c>
      <c r="C453" s="539" t="s">
        <v>927</v>
      </c>
      <c r="D453" s="494" t="s">
        <v>888</v>
      </c>
      <c r="E453" s="499">
        <v>7.3330000000000002</v>
      </c>
      <c r="F453" s="499">
        <v>8.5737299999999994</v>
      </c>
      <c r="G453" s="450" t="s">
        <v>926</v>
      </c>
      <c r="H453" s="641" t="s">
        <v>1814</v>
      </c>
      <c r="I453" s="544" t="s">
        <v>1784</v>
      </c>
    </row>
    <row r="454" spans="2:9" ht="138" x14ac:dyDescent="0.3">
      <c r="B454" s="358">
        <v>5</v>
      </c>
      <c r="C454" s="539" t="s">
        <v>930</v>
      </c>
      <c r="D454" s="358" t="s">
        <v>892</v>
      </c>
      <c r="E454" s="499">
        <v>7.2138400000000003</v>
      </c>
      <c r="F454" s="499">
        <v>9.0230999999999995</v>
      </c>
      <c r="G454" s="450" t="s">
        <v>926</v>
      </c>
      <c r="H454" s="641" t="s">
        <v>1814</v>
      </c>
      <c r="I454" s="544" t="s">
        <v>1784</v>
      </c>
    </row>
    <row r="455" spans="2:9" ht="138" x14ac:dyDescent="0.3">
      <c r="B455" s="358">
        <v>6</v>
      </c>
      <c r="C455" s="494" t="s">
        <v>894</v>
      </c>
      <c r="D455" s="358" t="s">
        <v>893</v>
      </c>
      <c r="E455" s="499">
        <v>8.0458099999999995</v>
      </c>
      <c r="F455" s="499">
        <v>8.7782199999999992</v>
      </c>
      <c r="G455" s="450" t="s">
        <v>926</v>
      </c>
      <c r="H455" s="641" t="s">
        <v>1814</v>
      </c>
      <c r="I455" s="544" t="s">
        <v>1784</v>
      </c>
    </row>
    <row r="456" spans="2:9" ht="138" x14ac:dyDescent="0.3">
      <c r="B456" s="358">
        <v>7</v>
      </c>
      <c r="C456" s="358" t="s">
        <v>898</v>
      </c>
      <c r="D456" s="540" t="s">
        <v>895</v>
      </c>
      <c r="E456" s="423">
        <v>7.5011729999999996</v>
      </c>
      <c r="F456" s="423">
        <v>8.4424430000000008</v>
      </c>
      <c r="G456" s="450" t="s">
        <v>926</v>
      </c>
      <c r="H456" s="641" t="s">
        <v>1814</v>
      </c>
      <c r="I456" s="544" t="s">
        <v>1784</v>
      </c>
    </row>
    <row r="457" spans="2:9" ht="138" x14ac:dyDescent="0.3">
      <c r="B457" s="358">
        <v>8</v>
      </c>
      <c r="C457" s="358" t="s">
        <v>897</v>
      </c>
      <c r="D457" s="540" t="s">
        <v>896</v>
      </c>
      <c r="E457" s="479">
        <v>7.5756100000000002</v>
      </c>
      <c r="F457" s="494">
        <v>8.1946999999999992</v>
      </c>
      <c r="G457" s="450" t="s">
        <v>926</v>
      </c>
      <c r="H457" s="641" t="s">
        <v>1814</v>
      </c>
      <c r="I457" s="544" t="s">
        <v>1784</v>
      </c>
    </row>
    <row r="458" spans="2:9" ht="138" x14ac:dyDescent="0.3">
      <c r="B458" s="358">
        <v>9</v>
      </c>
      <c r="C458" s="358" t="s">
        <v>901</v>
      </c>
      <c r="D458" s="358" t="s">
        <v>900</v>
      </c>
      <c r="E458" s="358">
        <v>7.3753000000000002</v>
      </c>
      <c r="F458" s="358">
        <v>9.9247999999999994</v>
      </c>
      <c r="G458" s="450" t="s">
        <v>926</v>
      </c>
      <c r="H458" s="641" t="s">
        <v>1814</v>
      </c>
      <c r="I458" s="544" t="s">
        <v>1784</v>
      </c>
    </row>
    <row r="459" spans="2:9" ht="138" x14ac:dyDescent="0.3">
      <c r="B459" s="358">
        <v>10</v>
      </c>
      <c r="C459" s="358" t="s">
        <v>902</v>
      </c>
      <c r="D459" s="540" t="s">
        <v>899</v>
      </c>
      <c r="E459" s="358">
        <v>7.0261110000000002</v>
      </c>
      <c r="F459" s="358">
        <v>8.6950000000000003</v>
      </c>
      <c r="G459" s="450" t="s">
        <v>926</v>
      </c>
      <c r="H459" s="641" t="s">
        <v>1814</v>
      </c>
      <c r="I459" s="544" t="s">
        <v>1784</v>
      </c>
    </row>
    <row r="460" spans="2:9" ht="138" x14ac:dyDescent="0.3">
      <c r="B460" s="358">
        <v>11</v>
      </c>
      <c r="C460" s="539" t="s">
        <v>903</v>
      </c>
      <c r="D460" s="358" t="s">
        <v>904</v>
      </c>
      <c r="E460" s="512">
        <v>6.8456900000000003</v>
      </c>
      <c r="F460" s="512">
        <v>9.2908600000000003</v>
      </c>
      <c r="G460" s="450" t="s">
        <v>926</v>
      </c>
      <c r="H460" s="641" t="s">
        <v>1814</v>
      </c>
      <c r="I460" s="544" t="s">
        <v>1784</v>
      </c>
    </row>
    <row r="461" spans="2:9" ht="138" x14ac:dyDescent="0.3">
      <c r="B461" s="358">
        <v>12</v>
      </c>
      <c r="C461" s="539" t="s">
        <v>905</v>
      </c>
      <c r="D461" s="358" t="s">
        <v>906</v>
      </c>
      <c r="E461" s="423">
        <v>7.6412469999999999</v>
      </c>
      <c r="F461" s="423">
        <v>9.4404649999999997</v>
      </c>
      <c r="G461" s="450" t="s">
        <v>926</v>
      </c>
      <c r="H461" s="641" t="s">
        <v>1814</v>
      </c>
      <c r="I461" s="544" t="s">
        <v>1784</v>
      </c>
    </row>
    <row r="462" spans="2:9" ht="138" x14ac:dyDescent="0.3">
      <c r="B462" s="358">
        <v>13</v>
      </c>
      <c r="C462" s="358" t="s">
        <v>908</v>
      </c>
      <c r="D462" s="540" t="s">
        <v>907</v>
      </c>
      <c r="E462" s="508">
        <v>7.7075760000000004</v>
      </c>
      <c r="F462" s="508">
        <v>8.532451</v>
      </c>
      <c r="G462" s="450" t="s">
        <v>926</v>
      </c>
      <c r="H462" s="641" t="s">
        <v>1814</v>
      </c>
      <c r="I462" s="544" t="s">
        <v>1784</v>
      </c>
    </row>
    <row r="463" spans="2:9" ht="138" x14ac:dyDescent="0.3">
      <c r="B463" s="358">
        <v>14</v>
      </c>
      <c r="C463" s="358" t="s">
        <v>912</v>
      </c>
      <c r="D463" s="358" t="s">
        <v>910</v>
      </c>
      <c r="E463" s="358">
        <v>7.9633330000000004</v>
      </c>
      <c r="F463" s="358">
        <v>8.3650000000000002</v>
      </c>
      <c r="G463" s="450" t="s">
        <v>926</v>
      </c>
      <c r="H463" s="641" t="s">
        <v>1814</v>
      </c>
      <c r="I463" s="544" t="s">
        <v>1784</v>
      </c>
    </row>
    <row r="464" spans="2:9" ht="138" x14ac:dyDescent="0.3">
      <c r="B464" s="358">
        <v>15</v>
      </c>
      <c r="C464" s="539" t="s">
        <v>909</v>
      </c>
      <c r="D464" s="358" t="s">
        <v>911</v>
      </c>
      <c r="E464" s="499">
        <v>6.5742900000000004</v>
      </c>
      <c r="F464" s="499">
        <v>7.34558</v>
      </c>
      <c r="G464" s="450" t="s">
        <v>926</v>
      </c>
      <c r="H464" s="641" t="s">
        <v>1814</v>
      </c>
      <c r="I464" s="544" t="s">
        <v>1784</v>
      </c>
    </row>
    <row r="465" spans="2:9" ht="138" x14ac:dyDescent="0.3">
      <c r="B465" s="358">
        <v>16</v>
      </c>
      <c r="C465" s="539" t="s">
        <v>913</v>
      </c>
      <c r="D465" s="358" t="s">
        <v>914</v>
      </c>
      <c r="E465" s="499">
        <v>7.2057000000000002</v>
      </c>
      <c r="F465" s="499">
        <v>7.4837699999999998</v>
      </c>
      <c r="G465" s="450" t="s">
        <v>926</v>
      </c>
      <c r="H465" s="641" t="s">
        <v>1814</v>
      </c>
      <c r="I465" s="544" t="s">
        <v>1784</v>
      </c>
    </row>
    <row r="466" spans="2:9" ht="138" x14ac:dyDescent="0.3">
      <c r="B466" s="358">
        <v>17</v>
      </c>
      <c r="C466" s="539" t="s">
        <v>915</v>
      </c>
      <c r="D466" s="539" t="s">
        <v>916</v>
      </c>
      <c r="E466" s="512">
        <v>6.8319799999999997</v>
      </c>
      <c r="F466" s="512">
        <v>8.3917400000000004</v>
      </c>
      <c r="G466" s="450" t="s">
        <v>926</v>
      </c>
      <c r="H466" s="641" t="s">
        <v>1814</v>
      </c>
      <c r="I466" s="544" t="s">
        <v>1784</v>
      </c>
    </row>
    <row r="467" spans="2:9" ht="138" x14ac:dyDescent="0.3">
      <c r="B467" s="358">
        <v>18</v>
      </c>
      <c r="C467" s="539" t="s">
        <v>931</v>
      </c>
      <c r="D467" s="494" t="s">
        <v>925</v>
      </c>
      <c r="E467" s="541">
        <v>6.9416669999999998</v>
      </c>
      <c r="F467" s="542">
        <v>9.0613889000000007</v>
      </c>
      <c r="G467" s="450" t="s">
        <v>926</v>
      </c>
      <c r="H467" s="641" t="s">
        <v>1814</v>
      </c>
      <c r="I467" s="544" t="s">
        <v>1784</v>
      </c>
    </row>
    <row r="468" spans="2:9" ht="138" x14ac:dyDescent="0.3">
      <c r="B468" s="358">
        <v>19</v>
      </c>
      <c r="C468" s="358" t="s">
        <v>917</v>
      </c>
      <c r="D468" s="358" t="s">
        <v>918</v>
      </c>
      <c r="E468" s="358">
        <v>7.1992000000000003</v>
      </c>
      <c r="F468" s="358">
        <v>8.1292000000000009</v>
      </c>
      <c r="G468" s="450" t="s">
        <v>926</v>
      </c>
      <c r="H468" s="641" t="s">
        <v>1814</v>
      </c>
      <c r="I468" s="544" t="s">
        <v>1784</v>
      </c>
    </row>
    <row r="469" spans="2:9" ht="138" x14ac:dyDescent="0.3">
      <c r="B469" s="358">
        <v>20</v>
      </c>
      <c r="C469" s="539" t="s">
        <v>919</v>
      </c>
      <c r="D469" s="358" t="s">
        <v>920</v>
      </c>
      <c r="E469" s="423">
        <v>7.6572810000000002</v>
      </c>
      <c r="F469" s="423">
        <v>8.8684820000000002</v>
      </c>
      <c r="G469" s="450" t="s">
        <v>926</v>
      </c>
      <c r="H469" s="641" t="s">
        <v>1814</v>
      </c>
      <c r="I469" s="544" t="s">
        <v>1784</v>
      </c>
    </row>
    <row r="470" spans="2:9" ht="138" x14ac:dyDescent="0.3">
      <c r="B470" s="358">
        <v>21</v>
      </c>
      <c r="C470" s="539" t="s">
        <v>922</v>
      </c>
      <c r="D470" s="358" t="s">
        <v>921</v>
      </c>
      <c r="E470" s="423">
        <v>7.4987500000000002</v>
      </c>
      <c r="F470" s="423">
        <v>9.6113769999999992</v>
      </c>
      <c r="G470" s="450" t="s">
        <v>926</v>
      </c>
      <c r="H470" s="641" t="s">
        <v>1814</v>
      </c>
      <c r="I470" s="544" t="s">
        <v>1784</v>
      </c>
    </row>
    <row r="471" spans="2:9" ht="138" x14ac:dyDescent="0.3">
      <c r="B471" s="358">
        <v>22</v>
      </c>
      <c r="C471" s="358" t="s">
        <v>929</v>
      </c>
      <c r="D471" s="540" t="s">
        <v>923</v>
      </c>
      <c r="E471" s="543">
        <v>7.0383079999999998</v>
      </c>
      <c r="F471" s="543">
        <v>9.0375979999999991</v>
      </c>
      <c r="G471" s="450" t="s">
        <v>926</v>
      </c>
      <c r="H471" s="641" t="s">
        <v>1814</v>
      </c>
      <c r="I471" s="544" t="s">
        <v>1784</v>
      </c>
    </row>
    <row r="472" spans="2:9" ht="138" x14ac:dyDescent="0.3">
      <c r="B472" s="358">
        <v>23</v>
      </c>
      <c r="C472" s="358" t="s">
        <v>924</v>
      </c>
      <c r="D472" s="358" t="s">
        <v>925</v>
      </c>
      <c r="E472" s="541">
        <v>6.8022200000000002</v>
      </c>
      <c r="F472" s="542">
        <v>9.0302769999999999</v>
      </c>
      <c r="G472" s="450" t="s">
        <v>926</v>
      </c>
      <c r="H472" s="641" t="s">
        <v>1814</v>
      </c>
      <c r="I472" s="544" t="s">
        <v>1784</v>
      </c>
    </row>
    <row r="473" spans="2:9" ht="17.25" hidden="1" x14ac:dyDescent="0.3">
      <c r="B473" s="358">
        <v>24</v>
      </c>
      <c r="C473" s="358"/>
      <c r="D473" s="358"/>
      <c r="E473" s="358"/>
      <c r="F473" s="358"/>
      <c r="G473" s="358"/>
      <c r="H473" s="358"/>
      <c r="I473" s="358"/>
    </row>
    <row r="474" spans="2:9" ht="17.25" hidden="1" x14ac:dyDescent="0.3">
      <c r="B474" s="358">
        <v>25</v>
      </c>
      <c r="C474" s="358"/>
      <c r="D474" s="358"/>
      <c r="E474" s="358"/>
      <c r="F474" s="358"/>
      <c r="G474" s="358"/>
      <c r="H474" s="358"/>
      <c r="I474" s="358"/>
    </row>
    <row r="475" spans="2:9" ht="17.25" hidden="1" x14ac:dyDescent="0.3">
      <c r="B475" s="358">
        <v>26</v>
      </c>
      <c r="C475" s="358"/>
      <c r="D475" s="358"/>
      <c r="E475" s="358"/>
      <c r="F475" s="358"/>
      <c r="G475" s="358"/>
      <c r="H475" s="358"/>
      <c r="I475" s="358"/>
    </row>
    <row r="476" spans="2:9" ht="17.25" hidden="1" x14ac:dyDescent="0.3">
      <c r="B476" s="358">
        <v>27</v>
      </c>
      <c r="C476" s="358"/>
      <c r="D476" s="358"/>
      <c r="E476" s="358"/>
      <c r="F476" s="358"/>
      <c r="G476" s="358"/>
      <c r="H476" s="358"/>
      <c r="I476" s="358"/>
    </row>
    <row r="477" spans="2:9" ht="17.25" hidden="1" x14ac:dyDescent="0.3">
      <c r="B477" s="358">
        <v>28</v>
      </c>
      <c r="C477" s="358"/>
      <c r="D477" s="358"/>
      <c r="E477" s="358"/>
      <c r="F477" s="358"/>
      <c r="G477" s="358"/>
      <c r="H477" s="358"/>
      <c r="I477" s="358"/>
    </row>
    <row r="478" spans="2:9" ht="17.25" hidden="1" x14ac:dyDescent="0.3">
      <c r="B478" s="358">
        <v>29</v>
      </c>
      <c r="C478" s="358"/>
      <c r="D478" s="358"/>
      <c r="E478" s="358"/>
      <c r="F478" s="358"/>
      <c r="G478" s="358"/>
      <c r="H478" s="358"/>
      <c r="I478" s="358"/>
    </row>
    <row r="479" spans="2:9" ht="17.25" hidden="1" x14ac:dyDescent="0.3">
      <c r="B479" s="358">
        <v>30</v>
      </c>
      <c r="C479" s="358"/>
      <c r="D479" s="358"/>
      <c r="E479" s="358"/>
      <c r="F479" s="358"/>
      <c r="G479" s="358"/>
      <c r="H479" s="358"/>
      <c r="I479" s="358"/>
    </row>
    <row r="480" spans="2:9" ht="17.25" hidden="1" x14ac:dyDescent="0.3">
      <c r="B480" s="358">
        <v>31</v>
      </c>
      <c r="C480" s="358"/>
      <c r="D480" s="358"/>
      <c r="E480" s="358"/>
      <c r="F480" s="358"/>
      <c r="G480" s="358"/>
      <c r="H480" s="358"/>
      <c r="I480" s="358"/>
    </row>
    <row r="481" spans="2:9" ht="17.25" hidden="1" x14ac:dyDescent="0.3">
      <c r="B481" s="358">
        <v>32</v>
      </c>
      <c r="C481" s="358"/>
      <c r="D481" s="358"/>
      <c r="E481" s="358"/>
      <c r="F481" s="358"/>
      <c r="G481" s="358"/>
      <c r="H481" s="358"/>
      <c r="I481" s="358"/>
    </row>
    <row r="482" spans="2:9" ht="17.25" hidden="1" x14ac:dyDescent="0.3">
      <c r="B482" s="358">
        <v>33</v>
      </c>
      <c r="C482" s="358"/>
      <c r="D482" s="358"/>
      <c r="E482" s="358"/>
      <c r="F482" s="358"/>
      <c r="G482" s="358"/>
      <c r="H482" s="358"/>
      <c r="I482" s="358"/>
    </row>
    <row r="483" spans="2:9" ht="17.25" hidden="1" x14ac:dyDescent="0.3">
      <c r="B483" s="358">
        <v>34</v>
      </c>
      <c r="C483" s="358"/>
      <c r="D483" s="358"/>
      <c r="E483" s="358"/>
      <c r="F483" s="358"/>
      <c r="G483" s="358"/>
      <c r="H483" s="358"/>
      <c r="I483" s="358"/>
    </row>
    <row r="484" spans="2:9" ht="17.25" hidden="1" x14ac:dyDescent="0.3">
      <c r="B484" s="358">
        <v>35</v>
      </c>
      <c r="C484" s="358"/>
      <c r="D484" s="358"/>
      <c r="E484" s="358"/>
      <c r="F484" s="358"/>
      <c r="G484" s="358"/>
      <c r="H484" s="358"/>
      <c r="I484" s="358"/>
    </row>
    <row r="485" spans="2:9" ht="17.25" hidden="1" x14ac:dyDescent="0.3">
      <c r="B485" s="358">
        <v>36</v>
      </c>
      <c r="C485" s="358"/>
      <c r="D485" s="358"/>
      <c r="E485" s="358"/>
      <c r="F485" s="358"/>
      <c r="G485" s="358"/>
      <c r="H485" s="358"/>
      <c r="I485" s="358"/>
    </row>
    <row r="486" spans="2:9" ht="17.25" hidden="1" x14ac:dyDescent="0.3">
      <c r="B486" s="358">
        <v>37</v>
      </c>
      <c r="C486" s="358"/>
      <c r="D486" s="358"/>
      <c r="E486" s="358"/>
      <c r="F486" s="358"/>
      <c r="G486" s="358"/>
      <c r="H486" s="358"/>
      <c r="I486" s="358"/>
    </row>
    <row r="487" spans="2:9" ht="17.25" hidden="1" x14ac:dyDescent="0.3">
      <c r="B487" s="358">
        <v>38</v>
      </c>
      <c r="C487" s="358"/>
      <c r="D487" s="358"/>
      <c r="E487" s="358"/>
      <c r="F487" s="358"/>
      <c r="G487" s="358"/>
      <c r="H487" s="358"/>
      <c r="I487" s="358"/>
    </row>
    <row r="488" spans="2:9" ht="17.25" hidden="1" x14ac:dyDescent="0.3">
      <c r="B488" s="358">
        <v>39</v>
      </c>
      <c r="C488" s="358"/>
      <c r="D488" s="358"/>
      <c r="E488" s="358"/>
      <c r="F488" s="358"/>
      <c r="G488" s="358"/>
      <c r="H488" s="358"/>
      <c r="I488" s="358"/>
    </row>
    <row r="489" spans="2:9" ht="17.25" hidden="1" x14ac:dyDescent="0.3">
      <c r="B489" s="358">
        <v>40</v>
      </c>
      <c r="C489" s="358"/>
      <c r="D489" s="358"/>
      <c r="E489" s="358"/>
      <c r="F489" s="358"/>
      <c r="G489" s="358"/>
      <c r="H489" s="358"/>
      <c r="I489" s="358"/>
    </row>
    <row r="490" spans="2:9" ht="17.25" hidden="1" x14ac:dyDescent="0.3">
      <c r="B490" s="358">
        <v>41</v>
      </c>
      <c r="C490" s="358"/>
      <c r="D490" s="358"/>
      <c r="E490" s="358"/>
      <c r="F490" s="358"/>
      <c r="G490" s="358"/>
      <c r="H490" s="358"/>
      <c r="I490" s="358"/>
    </row>
    <row r="491" spans="2:9" ht="17.25" hidden="1" x14ac:dyDescent="0.3">
      <c r="B491" s="358">
        <v>42</v>
      </c>
      <c r="C491" s="358"/>
      <c r="D491" s="358"/>
      <c r="E491" s="358"/>
      <c r="F491" s="358"/>
      <c r="G491" s="358"/>
      <c r="H491" s="358"/>
      <c r="I491" s="358"/>
    </row>
    <row r="492" spans="2:9" ht="17.25" hidden="1" x14ac:dyDescent="0.3">
      <c r="B492" s="358">
        <v>43</v>
      </c>
      <c r="C492" s="358"/>
      <c r="D492" s="358"/>
      <c r="E492" s="358"/>
      <c r="F492" s="358"/>
      <c r="G492" s="358"/>
      <c r="H492" s="358"/>
      <c r="I492" s="358"/>
    </row>
    <row r="493" spans="2:9" ht="17.25" hidden="1" x14ac:dyDescent="0.3">
      <c r="B493" s="358">
        <v>44</v>
      </c>
      <c r="C493" s="358"/>
      <c r="D493" s="358"/>
      <c r="E493" s="358"/>
      <c r="F493" s="358"/>
      <c r="G493" s="358"/>
      <c r="H493" s="358"/>
      <c r="I493" s="358"/>
    </row>
    <row r="494" spans="2:9" ht="17.25" hidden="1" x14ac:dyDescent="0.3">
      <c r="B494" s="358">
        <v>45</v>
      </c>
      <c r="C494" s="358"/>
      <c r="D494" s="358"/>
      <c r="E494" s="358"/>
      <c r="F494" s="358"/>
      <c r="G494" s="358"/>
      <c r="H494" s="358"/>
      <c r="I494" s="358"/>
    </row>
    <row r="495" spans="2:9" ht="17.25" hidden="1" x14ac:dyDescent="0.3">
      <c r="B495" s="358">
        <v>46</v>
      </c>
      <c r="C495" s="358"/>
      <c r="D495" s="358"/>
      <c r="E495" s="358"/>
      <c r="F495" s="358"/>
      <c r="G495" s="358"/>
      <c r="H495" s="358"/>
      <c r="I495" s="358"/>
    </row>
    <row r="496" spans="2:9" ht="17.25" hidden="1" x14ac:dyDescent="0.3">
      <c r="B496" s="358">
        <v>47</v>
      </c>
      <c r="C496" s="358"/>
      <c r="D496" s="358"/>
      <c r="E496" s="358"/>
      <c r="F496" s="358"/>
      <c r="G496" s="358"/>
      <c r="H496" s="358"/>
      <c r="I496" s="358"/>
    </row>
    <row r="497" spans="2:9" ht="17.25" hidden="1" x14ac:dyDescent="0.3">
      <c r="B497" s="358">
        <v>48</v>
      </c>
      <c r="C497" s="358"/>
      <c r="D497" s="358"/>
      <c r="E497" s="358"/>
      <c r="F497" s="358"/>
      <c r="G497" s="358"/>
      <c r="H497" s="358"/>
      <c r="I497" s="358"/>
    </row>
    <row r="498" spans="2:9" ht="17.25" hidden="1" x14ac:dyDescent="0.3">
      <c r="B498" s="358">
        <v>49</v>
      </c>
      <c r="C498" s="358"/>
      <c r="D498" s="358"/>
      <c r="E498" s="358"/>
      <c r="F498" s="358"/>
      <c r="G498" s="358"/>
      <c r="H498" s="358"/>
      <c r="I498" s="358"/>
    </row>
    <row r="499" spans="2:9" ht="17.25" hidden="1" x14ac:dyDescent="0.3">
      <c r="B499" s="358">
        <v>50</v>
      </c>
      <c r="C499" s="358"/>
      <c r="D499" s="358"/>
      <c r="E499" s="358"/>
      <c r="F499" s="358"/>
      <c r="G499" s="358"/>
      <c r="H499" s="358"/>
      <c r="I499" s="358"/>
    </row>
    <row r="500" spans="2:9" ht="17.25" hidden="1" x14ac:dyDescent="0.3">
      <c r="B500" s="358">
        <v>51</v>
      </c>
      <c r="C500" s="358"/>
      <c r="D500" s="358"/>
      <c r="E500" s="358"/>
      <c r="F500" s="358"/>
      <c r="G500" s="358"/>
      <c r="H500" s="358"/>
      <c r="I500" s="358"/>
    </row>
    <row r="501" spans="2:9" ht="17.25" hidden="1" x14ac:dyDescent="0.3">
      <c r="B501" s="358">
        <v>52</v>
      </c>
      <c r="C501" s="358"/>
      <c r="D501" s="358"/>
      <c r="E501" s="358"/>
      <c r="F501" s="358"/>
      <c r="G501" s="358"/>
      <c r="H501" s="358"/>
      <c r="I501" s="358"/>
    </row>
    <row r="502" spans="2:9" ht="17.25" hidden="1" x14ac:dyDescent="0.3">
      <c r="B502" s="358">
        <v>53</v>
      </c>
      <c r="C502" s="358"/>
      <c r="D502" s="358"/>
      <c r="E502" s="358"/>
      <c r="F502" s="358"/>
      <c r="G502" s="358"/>
      <c r="H502" s="358"/>
      <c r="I502" s="358"/>
    </row>
    <row r="503" spans="2:9" ht="17.25" hidden="1" x14ac:dyDescent="0.3">
      <c r="B503" s="358">
        <v>54</v>
      </c>
      <c r="C503" s="358"/>
      <c r="D503" s="358"/>
      <c r="E503" s="358"/>
      <c r="F503" s="358"/>
      <c r="G503" s="358"/>
      <c r="H503" s="358"/>
      <c r="I503" s="358"/>
    </row>
    <row r="504" spans="2:9" ht="17.25" hidden="1" x14ac:dyDescent="0.3">
      <c r="B504" s="358">
        <v>55</v>
      </c>
      <c r="C504" s="358"/>
      <c r="D504" s="358"/>
      <c r="E504" s="358"/>
      <c r="F504" s="358"/>
      <c r="G504" s="358"/>
      <c r="H504" s="358"/>
      <c r="I504" s="358"/>
    </row>
    <row r="505" spans="2:9" ht="17.25" hidden="1" x14ac:dyDescent="0.3">
      <c r="B505" s="358">
        <v>56</v>
      </c>
      <c r="C505" s="358"/>
      <c r="D505" s="358"/>
      <c r="E505" s="358"/>
      <c r="F505" s="358"/>
      <c r="G505" s="358"/>
      <c r="H505" s="358"/>
      <c r="I505" s="358"/>
    </row>
    <row r="506" spans="2:9" ht="17.25" hidden="1" x14ac:dyDescent="0.3">
      <c r="B506" s="358">
        <v>57</v>
      </c>
      <c r="C506" s="358"/>
      <c r="D506" s="358"/>
      <c r="E506" s="358"/>
      <c r="F506" s="358"/>
      <c r="G506" s="358"/>
      <c r="H506" s="358"/>
      <c r="I506" s="358"/>
    </row>
    <row r="507" spans="2:9" ht="17.25" hidden="1" x14ac:dyDescent="0.3">
      <c r="B507" s="358">
        <v>58</v>
      </c>
      <c r="C507" s="358"/>
      <c r="D507" s="358"/>
      <c r="E507" s="358"/>
      <c r="F507" s="358"/>
      <c r="G507" s="358"/>
      <c r="H507" s="358"/>
      <c r="I507" s="358"/>
    </row>
    <row r="508" spans="2:9" ht="17.25" hidden="1" x14ac:dyDescent="0.3">
      <c r="B508" s="358">
        <v>59</v>
      </c>
      <c r="C508" s="358"/>
      <c r="D508" s="358"/>
      <c r="E508" s="358"/>
      <c r="F508" s="358"/>
      <c r="G508" s="358"/>
      <c r="H508" s="358"/>
      <c r="I508" s="358"/>
    </row>
    <row r="509" spans="2:9" ht="17.25" hidden="1" x14ac:dyDescent="0.3">
      <c r="B509" s="358">
        <v>60</v>
      </c>
      <c r="C509" s="358"/>
      <c r="D509" s="358"/>
      <c r="E509" s="358"/>
      <c r="F509" s="358"/>
      <c r="G509" s="358"/>
      <c r="H509" s="358"/>
      <c r="I509" s="358"/>
    </row>
    <row r="510" spans="2:9" ht="17.25" hidden="1" x14ac:dyDescent="0.3">
      <c r="B510" s="358">
        <v>61</v>
      </c>
      <c r="C510" s="358"/>
      <c r="D510" s="358"/>
      <c r="E510" s="358"/>
      <c r="F510" s="358"/>
      <c r="G510" s="358"/>
      <c r="H510" s="358"/>
      <c r="I510" s="358"/>
    </row>
    <row r="511" spans="2:9" ht="17.25" hidden="1" x14ac:dyDescent="0.3">
      <c r="B511" s="358">
        <v>62</v>
      </c>
      <c r="C511" s="358"/>
      <c r="D511" s="358"/>
      <c r="E511" s="358"/>
      <c r="F511" s="358"/>
      <c r="G511" s="358"/>
      <c r="H511" s="358"/>
      <c r="I511" s="358"/>
    </row>
    <row r="512" spans="2:9" ht="17.25" hidden="1" x14ac:dyDescent="0.3">
      <c r="B512" s="358">
        <v>63</v>
      </c>
      <c r="C512" s="358"/>
      <c r="D512" s="358"/>
      <c r="E512" s="358"/>
      <c r="F512" s="358"/>
      <c r="G512" s="358"/>
      <c r="H512" s="358"/>
      <c r="I512" s="358"/>
    </row>
    <row r="513" spans="2:9" ht="17.25" hidden="1" x14ac:dyDescent="0.3">
      <c r="B513" s="358">
        <v>64</v>
      </c>
      <c r="C513" s="358"/>
      <c r="D513" s="358"/>
      <c r="E513" s="358"/>
      <c r="F513" s="358"/>
      <c r="G513" s="358"/>
      <c r="H513" s="358"/>
      <c r="I513" s="358"/>
    </row>
    <row r="514" spans="2:9" ht="17.25" hidden="1" x14ac:dyDescent="0.3">
      <c r="B514" s="358">
        <v>65</v>
      </c>
      <c r="C514" s="358"/>
      <c r="D514" s="358"/>
      <c r="E514" s="358"/>
      <c r="F514" s="358"/>
      <c r="G514" s="358"/>
      <c r="H514" s="358"/>
      <c r="I514" s="358"/>
    </row>
    <row r="515" spans="2:9" ht="17.25" hidden="1" x14ac:dyDescent="0.3">
      <c r="B515" s="358">
        <v>66</v>
      </c>
      <c r="C515" s="358"/>
      <c r="D515" s="358"/>
      <c r="E515" s="358"/>
      <c r="F515" s="358"/>
      <c r="G515" s="358"/>
      <c r="H515" s="358"/>
      <c r="I515" s="358"/>
    </row>
    <row r="516" spans="2:9" ht="17.25" hidden="1" x14ac:dyDescent="0.3">
      <c r="B516" s="358">
        <v>67</v>
      </c>
      <c r="C516" s="358"/>
      <c r="D516" s="358"/>
      <c r="E516" s="358"/>
      <c r="F516" s="358"/>
      <c r="G516" s="358"/>
      <c r="H516" s="358"/>
      <c r="I516" s="358"/>
    </row>
    <row r="517" spans="2:9" ht="17.25" hidden="1" x14ac:dyDescent="0.3">
      <c r="B517" s="358">
        <v>68</v>
      </c>
      <c r="C517" s="358"/>
      <c r="D517" s="358"/>
      <c r="E517" s="358"/>
      <c r="F517" s="358"/>
      <c r="G517" s="358"/>
      <c r="H517" s="358"/>
      <c r="I517" s="358"/>
    </row>
    <row r="518" spans="2:9" ht="17.25" hidden="1" x14ac:dyDescent="0.3">
      <c r="B518" s="358">
        <v>69</v>
      </c>
      <c r="C518" s="358"/>
      <c r="D518" s="358"/>
      <c r="E518" s="358"/>
      <c r="F518" s="358"/>
      <c r="G518" s="358"/>
      <c r="H518" s="358"/>
      <c r="I518" s="358"/>
    </row>
    <row r="519" spans="2:9" ht="17.25" hidden="1" x14ac:dyDescent="0.3">
      <c r="B519" s="358">
        <v>70</v>
      </c>
      <c r="C519" s="358"/>
      <c r="D519" s="358"/>
      <c r="E519" s="358"/>
      <c r="F519" s="358"/>
      <c r="G519" s="358"/>
      <c r="H519" s="358"/>
      <c r="I519" s="358"/>
    </row>
    <row r="520" spans="2:9" ht="17.25" hidden="1" x14ac:dyDescent="0.3">
      <c r="B520" s="358">
        <v>71</v>
      </c>
      <c r="C520" s="358"/>
      <c r="D520" s="358"/>
      <c r="E520" s="358"/>
      <c r="F520" s="358"/>
      <c r="G520" s="358"/>
      <c r="H520" s="358"/>
      <c r="I520" s="358"/>
    </row>
    <row r="521" spans="2:9" ht="17.25" hidden="1" x14ac:dyDescent="0.3">
      <c r="B521" s="358">
        <v>72</v>
      </c>
      <c r="C521" s="358"/>
      <c r="D521" s="358"/>
      <c r="E521" s="358"/>
      <c r="F521" s="358"/>
      <c r="G521" s="358"/>
      <c r="H521" s="358"/>
      <c r="I521" s="358"/>
    </row>
    <row r="522" spans="2:9" ht="17.25" hidden="1" x14ac:dyDescent="0.3">
      <c r="B522" s="358">
        <v>73</v>
      </c>
      <c r="C522" s="358"/>
      <c r="D522" s="358"/>
      <c r="E522" s="358"/>
      <c r="F522" s="358"/>
      <c r="G522" s="358"/>
      <c r="H522" s="358"/>
      <c r="I522" s="358"/>
    </row>
    <row r="523" spans="2:9" ht="17.25" hidden="1" x14ac:dyDescent="0.3">
      <c r="B523" s="358">
        <v>74</v>
      </c>
      <c r="C523" s="358"/>
      <c r="D523" s="358"/>
      <c r="E523" s="358"/>
      <c r="F523" s="358"/>
      <c r="G523" s="358"/>
      <c r="H523" s="358"/>
      <c r="I523" s="358"/>
    </row>
    <row r="524" spans="2:9" ht="17.25" hidden="1" x14ac:dyDescent="0.3">
      <c r="B524" s="358">
        <v>75</v>
      </c>
      <c r="C524" s="358"/>
      <c r="D524" s="358"/>
      <c r="E524" s="358"/>
      <c r="F524" s="358"/>
      <c r="G524" s="358"/>
      <c r="H524" s="358"/>
      <c r="I524" s="358"/>
    </row>
    <row r="525" spans="2:9" ht="17.25" hidden="1" x14ac:dyDescent="0.3">
      <c r="B525" s="358">
        <v>76</v>
      </c>
      <c r="C525" s="358"/>
      <c r="D525" s="358"/>
      <c r="E525" s="358"/>
      <c r="F525" s="358"/>
      <c r="G525" s="358"/>
      <c r="H525" s="358"/>
      <c r="I525" s="358"/>
    </row>
    <row r="526" spans="2:9" ht="17.25" hidden="1" x14ac:dyDescent="0.3">
      <c r="B526" s="358">
        <v>77</v>
      </c>
      <c r="C526" s="358"/>
      <c r="D526" s="358"/>
      <c r="E526" s="358"/>
      <c r="F526" s="358"/>
      <c r="G526" s="358"/>
      <c r="H526" s="358"/>
      <c r="I526" s="358"/>
    </row>
    <row r="527" spans="2:9" ht="17.25" hidden="1" x14ac:dyDescent="0.3">
      <c r="B527" s="358">
        <v>78</v>
      </c>
      <c r="C527" s="358"/>
      <c r="D527" s="358"/>
      <c r="E527" s="358"/>
      <c r="F527" s="358"/>
      <c r="G527" s="358"/>
      <c r="H527" s="358"/>
      <c r="I527" s="358"/>
    </row>
    <row r="528" spans="2:9" ht="17.25" hidden="1" x14ac:dyDescent="0.3">
      <c r="B528" s="358">
        <v>79</v>
      </c>
      <c r="C528" s="358"/>
      <c r="D528" s="358"/>
      <c r="E528" s="358"/>
      <c r="F528" s="358"/>
      <c r="G528" s="358"/>
      <c r="H528" s="358"/>
      <c r="I528" s="358"/>
    </row>
    <row r="529" spans="2:9" ht="17.25" hidden="1" x14ac:dyDescent="0.3">
      <c r="B529" s="358">
        <v>80</v>
      </c>
      <c r="C529" s="358"/>
      <c r="D529" s="358"/>
      <c r="E529" s="358"/>
      <c r="F529" s="358"/>
      <c r="G529" s="358"/>
      <c r="H529" s="358"/>
      <c r="I529" s="358"/>
    </row>
    <row r="530" spans="2:9" ht="17.25" hidden="1" x14ac:dyDescent="0.3">
      <c r="B530" s="358">
        <v>81</v>
      </c>
      <c r="C530" s="358"/>
      <c r="D530" s="358"/>
      <c r="E530" s="358"/>
      <c r="F530" s="358"/>
      <c r="G530" s="358"/>
      <c r="H530" s="358"/>
      <c r="I530" s="358"/>
    </row>
    <row r="531" spans="2:9" ht="17.25" hidden="1" x14ac:dyDescent="0.3">
      <c r="B531" s="358">
        <v>82</v>
      </c>
      <c r="C531" s="358"/>
      <c r="D531" s="358"/>
      <c r="E531" s="358"/>
      <c r="F531" s="358"/>
      <c r="G531" s="358"/>
      <c r="H531" s="358"/>
      <c r="I531" s="358"/>
    </row>
    <row r="532" spans="2:9" ht="17.25" hidden="1" x14ac:dyDescent="0.3">
      <c r="B532" s="358">
        <v>83</v>
      </c>
      <c r="C532" s="358"/>
      <c r="D532" s="358"/>
      <c r="E532" s="358"/>
      <c r="F532" s="358"/>
      <c r="G532" s="358"/>
      <c r="H532" s="358"/>
      <c r="I532" s="358"/>
    </row>
    <row r="533" spans="2:9" ht="17.25" hidden="1" x14ac:dyDescent="0.3">
      <c r="B533" s="358">
        <v>84</v>
      </c>
      <c r="C533" s="358"/>
      <c r="D533" s="358"/>
      <c r="E533" s="358"/>
      <c r="F533" s="358"/>
      <c r="G533" s="358"/>
      <c r="H533" s="358"/>
      <c r="I533" s="358"/>
    </row>
    <row r="534" spans="2:9" ht="17.25" hidden="1" x14ac:dyDescent="0.3">
      <c r="B534" s="358">
        <v>85</v>
      </c>
      <c r="C534" s="358"/>
      <c r="D534" s="358"/>
      <c r="E534" s="358"/>
      <c r="F534" s="358"/>
      <c r="G534" s="358"/>
      <c r="H534" s="358"/>
      <c r="I534" s="358"/>
    </row>
    <row r="535" spans="2:9" ht="17.25" hidden="1" x14ac:dyDescent="0.3">
      <c r="B535" s="358">
        <v>86</v>
      </c>
      <c r="C535" s="358"/>
      <c r="D535" s="358"/>
      <c r="E535" s="358"/>
      <c r="F535" s="358"/>
      <c r="G535" s="358"/>
      <c r="H535" s="358"/>
      <c r="I535" s="358"/>
    </row>
    <row r="536" spans="2:9" ht="17.25" hidden="1" x14ac:dyDescent="0.3">
      <c r="B536" s="358">
        <v>87</v>
      </c>
      <c r="C536" s="358"/>
      <c r="D536" s="358"/>
      <c r="E536" s="358"/>
      <c r="F536" s="358"/>
      <c r="G536" s="358"/>
      <c r="H536" s="358"/>
      <c r="I536" s="358"/>
    </row>
    <row r="537" spans="2:9" ht="17.25" hidden="1" x14ac:dyDescent="0.3">
      <c r="B537" s="358">
        <v>88</v>
      </c>
      <c r="C537" s="358"/>
      <c r="D537" s="358"/>
      <c r="E537" s="358"/>
      <c r="F537" s="358"/>
      <c r="G537" s="358"/>
      <c r="H537" s="358"/>
      <c r="I537" s="358"/>
    </row>
    <row r="538" spans="2:9" ht="17.25" hidden="1" x14ac:dyDescent="0.3">
      <c r="B538" s="358">
        <v>89</v>
      </c>
      <c r="C538" s="358"/>
      <c r="D538" s="358"/>
      <c r="E538" s="358"/>
      <c r="F538" s="358"/>
      <c r="G538" s="358"/>
      <c r="H538" s="358"/>
      <c r="I538" s="358"/>
    </row>
    <row r="539" spans="2:9" ht="17.25" hidden="1" x14ac:dyDescent="0.3">
      <c r="B539" s="358">
        <v>90</v>
      </c>
      <c r="C539" s="358"/>
      <c r="D539" s="358"/>
      <c r="E539" s="358"/>
      <c r="F539" s="358"/>
      <c r="G539" s="358"/>
      <c r="H539" s="358"/>
      <c r="I539" s="358"/>
    </row>
    <row r="540" spans="2:9" ht="17.25" hidden="1" x14ac:dyDescent="0.3">
      <c r="B540" s="358">
        <v>91</v>
      </c>
      <c r="C540" s="358"/>
      <c r="D540" s="358"/>
      <c r="E540" s="358"/>
      <c r="F540" s="358"/>
      <c r="G540" s="358"/>
      <c r="H540" s="358"/>
      <c r="I540" s="358"/>
    </row>
    <row r="541" spans="2:9" ht="17.25" hidden="1" x14ac:dyDescent="0.3">
      <c r="B541" s="358">
        <v>92</v>
      </c>
      <c r="C541" s="358"/>
      <c r="D541" s="358"/>
      <c r="E541" s="358"/>
      <c r="F541" s="358"/>
      <c r="G541" s="358"/>
      <c r="H541" s="358"/>
      <c r="I541" s="358"/>
    </row>
    <row r="542" spans="2:9" ht="17.25" hidden="1" x14ac:dyDescent="0.3">
      <c r="B542" s="358">
        <v>93</v>
      </c>
      <c r="C542" s="358"/>
      <c r="D542" s="358"/>
      <c r="E542" s="358"/>
      <c r="F542" s="358"/>
      <c r="G542" s="358"/>
      <c r="H542" s="358"/>
      <c r="I542" s="358"/>
    </row>
    <row r="543" spans="2:9" ht="17.25" hidden="1" x14ac:dyDescent="0.3">
      <c r="B543" s="358">
        <v>94</v>
      </c>
      <c r="C543" s="358"/>
      <c r="D543" s="358"/>
      <c r="E543" s="358"/>
      <c r="F543" s="358"/>
      <c r="G543" s="358"/>
      <c r="H543" s="358"/>
      <c r="I543" s="358"/>
    </row>
    <row r="544" spans="2:9" ht="17.25" hidden="1" x14ac:dyDescent="0.3">
      <c r="B544" s="358">
        <v>95</v>
      </c>
      <c r="C544" s="358"/>
      <c r="D544" s="358"/>
      <c r="E544" s="358"/>
      <c r="F544" s="358"/>
      <c r="G544" s="358"/>
      <c r="H544" s="358"/>
      <c r="I544" s="358"/>
    </row>
    <row r="545" spans="2:9" ht="17.25" hidden="1" x14ac:dyDescent="0.3">
      <c r="B545" s="358">
        <v>96</v>
      </c>
      <c r="C545" s="358"/>
      <c r="D545" s="358"/>
      <c r="E545" s="358"/>
      <c r="F545" s="358"/>
      <c r="G545" s="358"/>
      <c r="H545" s="358"/>
      <c r="I545" s="358"/>
    </row>
    <row r="546" spans="2:9" ht="17.25" hidden="1" x14ac:dyDescent="0.3">
      <c r="B546" s="358">
        <v>97</v>
      </c>
      <c r="C546" s="358"/>
      <c r="D546" s="358"/>
      <c r="E546" s="358"/>
      <c r="F546" s="358"/>
      <c r="G546" s="358"/>
      <c r="H546" s="358"/>
      <c r="I546" s="358"/>
    </row>
  </sheetData>
  <sheetProtection algorithmName="SHA-512" hashValue="dQDqG9hQkvM0PlszNO6xQdVfu3NqSwphTx646n8QqpMXrPicvo1IZgi367Nt0Sc03DcsMGYpEmys+OEeMCbvIw==" saltValue="0jjrwwgd2BBMnGzL98/itA==" spinCount="100000" sheet="1" formatCells="0" formatColumns="0" formatRows="0" insertColumns="0" insertRows="0"/>
  <mergeCells count="364">
    <mergeCell ref="E139:E140"/>
    <mergeCell ref="F139:F140"/>
    <mergeCell ref="B112:B113"/>
    <mergeCell ref="E112:E113"/>
    <mergeCell ref="F112:F113"/>
    <mergeCell ref="B87:B88"/>
    <mergeCell ref="E87:E88"/>
    <mergeCell ref="F87:F88"/>
    <mergeCell ref="B62:B63"/>
    <mergeCell ref="E62:E63"/>
    <mergeCell ref="F62:F63"/>
    <mergeCell ref="B138:G138"/>
    <mergeCell ref="B139:B140"/>
    <mergeCell ref="G139:G140"/>
    <mergeCell ref="C139:D140"/>
    <mergeCell ref="G62:G63"/>
    <mergeCell ref="C158:D158"/>
    <mergeCell ref="C153:D153"/>
    <mergeCell ref="C154:D154"/>
    <mergeCell ref="C152:D152"/>
    <mergeCell ref="C147:D147"/>
    <mergeCell ref="C148:D148"/>
    <mergeCell ref="C146:D146"/>
    <mergeCell ref="C141:D141"/>
    <mergeCell ref="C142:D142"/>
    <mergeCell ref="D37:D38"/>
    <mergeCell ref="G37:G38"/>
    <mergeCell ref="B11:C11"/>
    <mergeCell ref="D11:G11"/>
    <mergeCell ref="C12:C13"/>
    <mergeCell ref="D12:D13"/>
    <mergeCell ref="G12:G13"/>
    <mergeCell ref="B12:B13"/>
    <mergeCell ref="E12:E13"/>
    <mergeCell ref="F12:F13"/>
    <mergeCell ref="B37:B38"/>
    <mergeCell ref="E37:E38"/>
    <mergeCell ref="F37:F38"/>
    <mergeCell ref="G9:H9"/>
    <mergeCell ref="B3:H3"/>
    <mergeCell ref="B4:H4"/>
    <mergeCell ref="G136:H136"/>
    <mergeCell ref="C155:D155"/>
    <mergeCell ref="C156:D156"/>
    <mergeCell ref="C157:D157"/>
    <mergeCell ref="C149:D149"/>
    <mergeCell ref="C150:D150"/>
    <mergeCell ref="C151:D151"/>
    <mergeCell ref="C143:D143"/>
    <mergeCell ref="B111:G111"/>
    <mergeCell ref="C112:C113"/>
    <mergeCell ref="D112:D113"/>
    <mergeCell ref="G112:G113"/>
    <mergeCell ref="B86:G86"/>
    <mergeCell ref="C87:C88"/>
    <mergeCell ref="D87:D88"/>
    <mergeCell ref="G87:G88"/>
    <mergeCell ref="B61:G61"/>
    <mergeCell ref="C62:C63"/>
    <mergeCell ref="D62:D63"/>
    <mergeCell ref="B36:G36"/>
    <mergeCell ref="C37:C38"/>
    <mergeCell ref="C159:D159"/>
    <mergeCell ref="C161:D161"/>
    <mergeCell ref="C175:D175"/>
    <mergeCell ref="C176:D176"/>
    <mergeCell ref="C177:D177"/>
    <mergeCell ref="C178:D178"/>
    <mergeCell ref="C179:D179"/>
    <mergeCell ref="C180:D180"/>
    <mergeCell ref="C169:D169"/>
    <mergeCell ref="C170:D170"/>
    <mergeCell ref="C171:D171"/>
    <mergeCell ref="C172:D172"/>
    <mergeCell ref="C173:D173"/>
    <mergeCell ref="C174:D174"/>
    <mergeCell ref="B163:G163"/>
    <mergeCell ref="C164:D165"/>
    <mergeCell ref="C166:D166"/>
    <mergeCell ref="C167:D167"/>
    <mergeCell ref="C168:D168"/>
    <mergeCell ref="B164:B165"/>
    <mergeCell ref="E164:E165"/>
    <mergeCell ref="F164:F165"/>
    <mergeCell ref="G164:G165"/>
    <mergeCell ref="C181:D181"/>
    <mergeCell ref="C182:D182"/>
    <mergeCell ref="C183:D183"/>
    <mergeCell ref="C184:D184"/>
    <mergeCell ref="C186:D186"/>
    <mergeCell ref="B188:G188"/>
    <mergeCell ref="C203:D203"/>
    <mergeCell ref="C204:D204"/>
    <mergeCell ref="C205:D205"/>
    <mergeCell ref="B189:B190"/>
    <mergeCell ref="E189:E190"/>
    <mergeCell ref="F189:F190"/>
    <mergeCell ref="G189:G190"/>
    <mergeCell ref="C189:D190"/>
    <mergeCell ref="C191:D191"/>
    <mergeCell ref="C192:D192"/>
    <mergeCell ref="C193:D193"/>
    <mergeCell ref="C194:D194"/>
    <mergeCell ref="C195:D195"/>
    <mergeCell ref="C196:D196"/>
    <mergeCell ref="C206:D206"/>
    <mergeCell ref="C207:D207"/>
    <mergeCell ref="C208:D208"/>
    <mergeCell ref="C197:D197"/>
    <mergeCell ref="C198:D198"/>
    <mergeCell ref="C199:D199"/>
    <mergeCell ref="C200:D200"/>
    <mergeCell ref="C201:D201"/>
    <mergeCell ref="C202:D202"/>
    <mergeCell ref="C218:D218"/>
    <mergeCell ref="C219:D219"/>
    <mergeCell ref="C220:D220"/>
    <mergeCell ref="C221:D221"/>
    <mergeCell ref="C222:D222"/>
    <mergeCell ref="C223:D223"/>
    <mergeCell ref="C209:D209"/>
    <mergeCell ref="C211:D211"/>
    <mergeCell ref="B213:G213"/>
    <mergeCell ref="C214:D215"/>
    <mergeCell ref="C216:D216"/>
    <mergeCell ref="C217:D217"/>
    <mergeCell ref="B214:B215"/>
    <mergeCell ref="E214:E215"/>
    <mergeCell ref="F214:F215"/>
    <mergeCell ref="G214:G215"/>
    <mergeCell ref="C230:D230"/>
    <mergeCell ref="C231:D231"/>
    <mergeCell ref="C232:D232"/>
    <mergeCell ref="C233:D233"/>
    <mergeCell ref="C234:D234"/>
    <mergeCell ref="C236:D236"/>
    <mergeCell ref="C224:D224"/>
    <mergeCell ref="C225:D225"/>
    <mergeCell ref="C226:D226"/>
    <mergeCell ref="C227:D227"/>
    <mergeCell ref="C228:D228"/>
    <mergeCell ref="C229:D229"/>
    <mergeCell ref="C243:D243"/>
    <mergeCell ref="C244:D244"/>
    <mergeCell ref="C245:D245"/>
    <mergeCell ref="C246:D246"/>
    <mergeCell ref="C247:D247"/>
    <mergeCell ref="C248:D248"/>
    <mergeCell ref="G238:H238"/>
    <mergeCell ref="B240:G240"/>
    <mergeCell ref="B241:B242"/>
    <mergeCell ref="C241:D242"/>
    <mergeCell ref="E241:E242"/>
    <mergeCell ref="F241:F242"/>
    <mergeCell ref="G241:G242"/>
    <mergeCell ref="C255:D255"/>
    <mergeCell ref="C256:D256"/>
    <mergeCell ref="C257:D257"/>
    <mergeCell ref="C258:D258"/>
    <mergeCell ref="C259:D259"/>
    <mergeCell ref="C260:D260"/>
    <mergeCell ref="C249:D249"/>
    <mergeCell ref="C250:D250"/>
    <mergeCell ref="C251:D251"/>
    <mergeCell ref="C252:D252"/>
    <mergeCell ref="C253:D253"/>
    <mergeCell ref="C254:D254"/>
    <mergeCell ref="C268:D268"/>
    <mergeCell ref="C269:D269"/>
    <mergeCell ref="C270:D270"/>
    <mergeCell ref="C271:D271"/>
    <mergeCell ref="C272:D272"/>
    <mergeCell ref="C273:D273"/>
    <mergeCell ref="C261:D261"/>
    <mergeCell ref="C263:D263"/>
    <mergeCell ref="B265:G265"/>
    <mergeCell ref="B266:B267"/>
    <mergeCell ref="C266:D267"/>
    <mergeCell ref="E266:E267"/>
    <mergeCell ref="F266:F267"/>
    <mergeCell ref="G266:G267"/>
    <mergeCell ref="C280:D280"/>
    <mergeCell ref="C281:D281"/>
    <mergeCell ref="C282:D282"/>
    <mergeCell ref="C283:D283"/>
    <mergeCell ref="C284:D284"/>
    <mergeCell ref="C285:D285"/>
    <mergeCell ref="C274:D274"/>
    <mergeCell ref="C275:D275"/>
    <mergeCell ref="C276:D276"/>
    <mergeCell ref="C277:D277"/>
    <mergeCell ref="C278:D278"/>
    <mergeCell ref="C279:D279"/>
    <mergeCell ref="C293:D293"/>
    <mergeCell ref="C294:D294"/>
    <mergeCell ref="C295:D295"/>
    <mergeCell ref="C296:D296"/>
    <mergeCell ref="C297:D297"/>
    <mergeCell ref="C298:D298"/>
    <mergeCell ref="C286:D286"/>
    <mergeCell ref="C288:D288"/>
    <mergeCell ref="B290:G290"/>
    <mergeCell ref="B291:B292"/>
    <mergeCell ref="C291:D292"/>
    <mergeCell ref="E291:E292"/>
    <mergeCell ref="F291:F292"/>
    <mergeCell ref="G291:G292"/>
    <mergeCell ref="C305:D305"/>
    <mergeCell ref="C306:D306"/>
    <mergeCell ref="C307:D307"/>
    <mergeCell ref="C308:D308"/>
    <mergeCell ref="C309:D309"/>
    <mergeCell ref="C310:D310"/>
    <mergeCell ref="C299:D299"/>
    <mergeCell ref="C300:D300"/>
    <mergeCell ref="C301:D301"/>
    <mergeCell ref="C302:D302"/>
    <mergeCell ref="C303:D303"/>
    <mergeCell ref="C304:D304"/>
    <mergeCell ref="C318:D318"/>
    <mergeCell ref="C319:D319"/>
    <mergeCell ref="C320:D320"/>
    <mergeCell ref="C321:D321"/>
    <mergeCell ref="C322:D322"/>
    <mergeCell ref="C323:D323"/>
    <mergeCell ref="C311:D311"/>
    <mergeCell ref="C313:D313"/>
    <mergeCell ref="B315:G315"/>
    <mergeCell ref="B316:B317"/>
    <mergeCell ref="C316:D317"/>
    <mergeCell ref="E316:E317"/>
    <mergeCell ref="F316:F317"/>
    <mergeCell ref="G316:G317"/>
    <mergeCell ref="C330:D330"/>
    <mergeCell ref="C331:D331"/>
    <mergeCell ref="C332:D332"/>
    <mergeCell ref="C333:D333"/>
    <mergeCell ref="C334:D334"/>
    <mergeCell ref="C335:D335"/>
    <mergeCell ref="C324:D324"/>
    <mergeCell ref="C325:D325"/>
    <mergeCell ref="C326:D326"/>
    <mergeCell ref="C327:D327"/>
    <mergeCell ref="C328:D328"/>
    <mergeCell ref="C329:D329"/>
    <mergeCell ref="C336:D336"/>
    <mergeCell ref="C338:D338"/>
    <mergeCell ref="G340:H340"/>
    <mergeCell ref="B342:G342"/>
    <mergeCell ref="B343:B344"/>
    <mergeCell ref="C343:D344"/>
    <mergeCell ref="E343:E344"/>
    <mergeCell ref="F343:F344"/>
    <mergeCell ref="G343:G344"/>
    <mergeCell ref="C351:D351"/>
    <mergeCell ref="C352:D352"/>
    <mergeCell ref="C353:D353"/>
    <mergeCell ref="C354:D354"/>
    <mergeCell ref="C355:D355"/>
    <mergeCell ref="C356:D356"/>
    <mergeCell ref="C345:D345"/>
    <mergeCell ref="C346:D346"/>
    <mergeCell ref="C347:D347"/>
    <mergeCell ref="C348:D348"/>
    <mergeCell ref="C349:D349"/>
    <mergeCell ref="C350:D350"/>
    <mergeCell ref="C363:D363"/>
    <mergeCell ref="C365:D365"/>
    <mergeCell ref="B367:G367"/>
    <mergeCell ref="B368:B369"/>
    <mergeCell ref="C368:D369"/>
    <mergeCell ref="E368:E369"/>
    <mergeCell ref="F368:F369"/>
    <mergeCell ref="G368:G369"/>
    <mergeCell ref="C357:D357"/>
    <mergeCell ref="C358:D358"/>
    <mergeCell ref="C359:D359"/>
    <mergeCell ref="C360:D360"/>
    <mergeCell ref="C361:D361"/>
    <mergeCell ref="C362:D362"/>
    <mergeCell ref="C376:D376"/>
    <mergeCell ref="C377:D377"/>
    <mergeCell ref="C378:D378"/>
    <mergeCell ref="C379:D379"/>
    <mergeCell ref="C380:D380"/>
    <mergeCell ref="C381:D381"/>
    <mergeCell ref="C370:D370"/>
    <mergeCell ref="C371:D371"/>
    <mergeCell ref="C372:D372"/>
    <mergeCell ref="C373:D373"/>
    <mergeCell ref="C374:D374"/>
    <mergeCell ref="C375:D375"/>
    <mergeCell ref="C388:D388"/>
    <mergeCell ref="C390:D390"/>
    <mergeCell ref="B392:G392"/>
    <mergeCell ref="B393:B394"/>
    <mergeCell ref="C393:D394"/>
    <mergeCell ref="E393:E394"/>
    <mergeCell ref="F393:F394"/>
    <mergeCell ref="G393:G394"/>
    <mergeCell ref="C382:D382"/>
    <mergeCell ref="C383:D383"/>
    <mergeCell ref="C384:D384"/>
    <mergeCell ref="C385:D385"/>
    <mergeCell ref="C386:D386"/>
    <mergeCell ref="C387:D387"/>
    <mergeCell ref="C403:D403"/>
    <mergeCell ref="C404:D404"/>
    <mergeCell ref="C405:D405"/>
    <mergeCell ref="C406:D406"/>
    <mergeCell ref="C395:D395"/>
    <mergeCell ref="C396:D396"/>
    <mergeCell ref="C397:D397"/>
    <mergeCell ref="C398:D398"/>
    <mergeCell ref="C399:D399"/>
    <mergeCell ref="C400:D400"/>
    <mergeCell ref="B2:H2"/>
    <mergeCell ref="C438:D438"/>
    <mergeCell ref="C440:D440"/>
    <mergeCell ref="B5:H5"/>
    <mergeCell ref="B6:H6"/>
    <mergeCell ref="C432:D432"/>
    <mergeCell ref="C433:D433"/>
    <mergeCell ref="C434:D434"/>
    <mergeCell ref="C435:D435"/>
    <mergeCell ref="C436:D436"/>
    <mergeCell ref="C437:D437"/>
    <mergeCell ref="C426:D426"/>
    <mergeCell ref="C427:D427"/>
    <mergeCell ref="C428:D428"/>
    <mergeCell ref="C429:D429"/>
    <mergeCell ref="C430:D430"/>
    <mergeCell ref="C431:D431"/>
    <mergeCell ref="C420:D420"/>
    <mergeCell ref="C421:D421"/>
    <mergeCell ref="C422:D422"/>
    <mergeCell ref="C423:D423"/>
    <mergeCell ref="C424:D424"/>
    <mergeCell ref="C425:D425"/>
    <mergeCell ref="C413:D413"/>
    <mergeCell ref="B447:I447"/>
    <mergeCell ref="B448:B449"/>
    <mergeCell ref="C448:C449"/>
    <mergeCell ref="D448:D449"/>
    <mergeCell ref="E448:F448"/>
    <mergeCell ref="G448:G449"/>
    <mergeCell ref="H448:H449"/>
    <mergeCell ref="I448:I449"/>
    <mergeCell ref="B7:H7"/>
    <mergeCell ref="C415:D415"/>
    <mergeCell ref="B417:G417"/>
    <mergeCell ref="B418:B419"/>
    <mergeCell ref="C418:D419"/>
    <mergeCell ref="E418:E419"/>
    <mergeCell ref="F418:F419"/>
    <mergeCell ref="G418:G419"/>
    <mergeCell ref="C407:D407"/>
    <mergeCell ref="C408:D408"/>
    <mergeCell ref="C409:D409"/>
    <mergeCell ref="C410:D410"/>
    <mergeCell ref="C411:D411"/>
    <mergeCell ref="C412:D412"/>
    <mergeCell ref="C401:D401"/>
    <mergeCell ref="C402:D402"/>
  </mergeCells>
  <hyperlinks>
    <hyperlink ref="B3:H3" location="'Sports Development'!B10" display="Procurement of sports equipments" xr:uid="{2C69BC3E-B9B6-43CF-8806-BF5758869201}"/>
    <hyperlink ref="B4:H4" location="'Sports Development'!B137" display="Sports Competitions" xr:uid="{61B2493B-4718-4FE3-B34F-16831FC7E4CE}"/>
    <hyperlink ref="B5:H5" location="'Sports Development'!B239" display="Publicity and Administrations" xr:uid="{6CB963EA-15F0-4E44-90C7-4F90EDD660F0}"/>
    <hyperlink ref="B6:H6" location="'Sports Development'!B341" display="Supervision, Assessment and Verification" xr:uid="{FF55BB58-FC6D-43FA-855D-47096A445235}"/>
    <hyperlink ref="B7:H7" location="'Sports Development'!B447" display="Annex: List of beneficiary schools for Sport equipments" xr:uid="{AB5EEED0-A6CD-400F-901D-A8C23FA207E6}"/>
  </hyperlinks>
  <pageMargins left="0" right="0" top="0" bottom="0" header="0.31496062992125984" footer="0.31496062992125984"/>
  <pageSetup paperSize="8" scale="80" orientation="landscape" horizontalDpi="4294967295" verticalDpi="4294967295"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29C20-A668-49EE-99B5-01FE3CB3212A}">
  <sheetPr codeName="Sheet6">
    <tabColor theme="5" tint="-0.249977111117893"/>
  </sheetPr>
  <dimension ref="B1:Q1733"/>
  <sheetViews>
    <sheetView showGridLines="0" view="pageBreakPreview" topLeftCell="A378" zoomScale="66" zoomScaleNormal="86" workbookViewId="0">
      <selection activeCell="L114" sqref="L114"/>
    </sheetView>
  </sheetViews>
  <sheetFormatPr defaultColWidth="8.7109375" defaultRowHeight="16.5" x14ac:dyDescent="0.3"/>
  <cols>
    <col min="1" max="1" width="4.28515625" style="54" customWidth="1"/>
    <col min="2" max="2" width="5.7109375" style="54" customWidth="1"/>
    <col min="3" max="3" width="98.5703125" style="17" customWidth="1"/>
    <col min="4" max="4" width="22.85546875" style="54" customWidth="1"/>
    <col min="5" max="6" width="34" style="218" customWidth="1"/>
    <col min="7" max="7" width="23.140625" style="55" customWidth="1"/>
    <col min="8" max="8" width="34.42578125" style="54" customWidth="1"/>
    <col min="9" max="9" width="20.5703125" style="55" customWidth="1"/>
    <col min="10" max="10" width="25.140625" style="55" customWidth="1"/>
    <col min="11" max="11" width="28" style="54" customWidth="1"/>
    <col min="12" max="12" width="32.42578125" style="54" customWidth="1"/>
    <col min="13" max="13" width="30.42578125" style="54" customWidth="1"/>
    <col min="14" max="14" width="54.140625" style="54" customWidth="1"/>
    <col min="15" max="15" width="22.85546875" style="54" customWidth="1"/>
    <col min="16" max="16" width="52.140625" style="312" customWidth="1"/>
    <col min="17" max="17" width="45" style="54" customWidth="1"/>
    <col min="18" max="18" width="42.42578125" style="54" customWidth="1"/>
    <col min="19" max="19" width="35.5703125" style="54" customWidth="1"/>
    <col min="20" max="16384" width="8.7109375" style="54"/>
  </cols>
  <sheetData>
    <row r="1" spans="2:17" ht="5.0999999999999996" customHeight="1" x14ac:dyDescent="0.3">
      <c r="C1" s="54"/>
    </row>
    <row r="2" spans="2:17" ht="5.0999999999999996" customHeight="1" x14ac:dyDescent="0.3">
      <c r="C2" s="54"/>
    </row>
    <row r="3" spans="2:17" ht="45" customHeight="1" x14ac:dyDescent="0.3">
      <c r="B3" s="933" t="s">
        <v>751</v>
      </c>
      <c r="C3" s="934"/>
      <c r="D3" s="934"/>
      <c r="E3" s="934"/>
      <c r="F3" s="934"/>
      <c r="G3" s="935"/>
      <c r="H3" s="313"/>
      <c r="I3" s="313"/>
      <c r="J3" s="313"/>
      <c r="K3" s="313"/>
      <c r="L3" s="313"/>
    </row>
    <row r="4" spans="2:17" ht="17.25" x14ac:dyDescent="0.3">
      <c r="B4" s="932" t="s">
        <v>602</v>
      </c>
      <c r="C4" s="932"/>
      <c r="D4" s="932"/>
      <c r="E4" s="932"/>
      <c r="F4" s="932"/>
      <c r="G4" s="932"/>
      <c r="H4" s="314"/>
      <c r="I4" s="314"/>
      <c r="J4" s="314"/>
      <c r="K4" s="314"/>
      <c r="L4" s="314"/>
      <c r="M4" s="315"/>
    </row>
    <row r="5" spans="2:17" ht="17.25" x14ac:dyDescent="0.3">
      <c r="B5" s="932" t="s">
        <v>604</v>
      </c>
      <c r="C5" s="932"/>
      <c r="D5" s="932"/>
      <c r="E5" s="932"/>
      <c r="F5" s="932"/>
      <c r="G5" s="932"/>
      <c r="H5" s="316"/>
      <c r="I5" s="316"/>
      <c r="J5" s="316"/>
      <c r="K5" s="316"/>
      <c r="L5" s="316"/>
      <c r="M5" s="317"/>
    </row>
    <row r="6" spans="2:17" ht="17.25" x14ac:dyDescent="0.3">
      <c r="B6" s="932" t="s">
        <v>605</v>
      </c>
      <c r="C6" s="932"/>
      <c r="D6" s="932"/>
      <c r="E6" s="932"/>
      <c r="F6" s="932"/>
      <c r="G6" s="932"/>
      <c r="H6" s="316"/>
      <c r="I6" s="316"/>
      <c r="J6" s="316"/>
      <c r="K6" s="316"/>
      <c r="L6" s="316"/>
      <c r="M6" s="317"/>
    </row>
    <row r="7" spans="2:17" ht="17.25" x14ac:dyDescent="0.3">
      <c r="B7" s="932" t="s">
        <v>606</v>
      </c>
      <c r="C7" s="932"/>
      <c r="D7" s="932"/>
      <c r="E7" s="932"/>
      <c r="F7" s="932"/>
      <c r="G7" s="932"/>
      <c r="H7" s="314"/>
      <c r="I7" s="314"/>
      <c r="J7" s="314"/>
      <c r="K7" s="314"/>
      <c r="L7" s="314"/>
      <c r="M7" s="317"/>
    </row>
    <row r="8" spans="2:17" ht="17.25" x14ac:dyDescent="0.3">
      <c r="B8" s="932" t="s">
        <v>607</v>
      </c>
      <c r="C8" s="932"/>
      <c r="D8" s="932"/>
      <c r="E8" s="932"/>
      <c r="F8" s="932"/>
      <c r="G8" s="932"/>
      <c r="H8" s="316"/>
      <c r="I8" s="316"/>
      <c r="J8" s="316"/>
      <c r="K8" s="316"/>
      <c r="L8" s="316"/>
      <c r="M8" s="317"/>
    </row>
    <row r="9" spans="2:17" ht="17.25" x14ac:dyDescent="0.3">
      <c r="B9" s="932" t="s">
        <v>608</v>
      </c>
      <c r="C9" s="932"/>
      <c r="D9" s="932"/>
      <c r="E9" s="932"/>
      <c r="F9" s="932"/>
      <c r="G9" s="932"/>
      <c r="H9" s="314"/>
      <c r="I9" s="314"/>
      <c r="J9" s="314"/>
      <c r="K9" s="314"/>
      <c r="L9" s="314"/>
      <c r="M9" s="317"/>
    </row>
    <row r="10" spans="2:17" ht="32.1" customHeight="1" x14ac:dyDescent="0.3">
      <c r="B10" s="937" t="s">
        <v>757</v>
      </c>
      <c r="C10" s="938"/>
      <c r="D10" s="938"/>
      <c r="E10" s="938"/>
      <c r="F10" s="938"/>
      <c r="G10" s="939"/>
      <c r="H10" s="314"/>
      <c r="I10" s="314"/>
      <c r="J10" s="314"/>
      <c r="K10" s="314"/>
      <c r="L10" s="314"/>
      <c r="M10" s="317"/>
    </row>
    <row r="11" spans="2:17" ht="36.950000000000003" customHeight="1" x14ac:dyDescent="0.3">
      <c r="B11" s="937" t="s">
        <v>756</v>
      </c>
      <c r="C11" s="938"/>
      <c r="D11" s="938"/>
      <c r="E11" s="938"/>
      <c r="F11" s="938"/>
      <c r="G11" s="939"/>
      <c r="H11" s="314"/>
      <c r="I11" s="314"/>
      <c r="J11" s="314"/>
      <c r="K11" s="314"/>
      <c r="L11" s="314"/>
      <c r="M11" s="317"/>
    </row>
    <row r="12" spans="2:17" ht="39.75" customHeight="1" x14ac:dyDescent="0.3">
      <c r="B12" s="936" t="s">
        <v>766</v>
      </c>
      <c r="C12" s="936"/>
      <c r="D12" s="936"/>
      <c r="E12" s="936"/>
      <c r="F12" s="936"/>
      <c r="G12" s="936"/>
      <c r="H12" s="82"/>
      <c r="I12" s="86"/>
      <c r="J12" s="86"/>
      <c r="K12" s="82"/>
      <c r="L12" s="83"/>
      <c r="M12" s="87"/>
      <c r="P12" s="319" t="s">
        <v>752</v>
      </c>
      <c r="Q12" s="334">
        <f>SUM(P14,P62,P110,P158,P206,P254,P302,P373,P443)</f>
        <v>142185703.38</v>
      </c>
    </row>
    <row r="13" spans="2:17" ht="55.5" customHeight="1" x14ac:dyDescent="0.3">
      <c r="B13" s="82"/>
      <c r="C13" s="82"/>
      <c r="D13" s="82"/>
      <c r="E13" s="219"/>
      <c r="F13" s="219"/>
      <c r="G13" s="86"/>
      <c r="H13" s="82"/>
      <c r="I13" s="86"/>
      <c r="J13" s="86"/>
      <c r="K13" s="82"/>
      <c r="L13" s="82"/>
      <c r="P13" s="929" t="s">
        <v>603</v>
      </c>
      <c r="Q13" s="929"/>
    </row>
    <row r="14" spans="2:17" ht="25.5" customHeight="1" x14ac:dyDescent="0.3">
      <c r="B14" s="320" t="s">
        <v>602</v>
      </c>
      <c r="C14" s="321"/>
      <c r="D14" s="322"/>
      <c r="E14" s="322"/>
      <c r="F14" s="322"/>
      <c r="G14" s="322"/>
      <c r="H14" s="322"/>
      <c r="I14" s="322"/>
      <c r="J14" s="322"/>
      <c r="K14" s="322"/>
      <c r="L14" s="322"/>
      <c r="M14" s="322"/>
      <c r="N14" s="322"/>
      <c r="O14" s="322"/>
      <c r="P14" s="930">
        <f>SUM(P18:P58)</f>
        <v>29999295.999999981</v>
      </c>
      <c r="Q14" s="931"/>
    </row>
    <row r="15" spans="2:17" ht="17.45" customHeight="1" x14ac:dyDescent="0.3">
      <c r="B15" s="919" t="s">
        <v>182</v>
      </c>
      <c r="C15" s="920"/>
      <c r="D15" s="920"/>
      <c r="E15" s="920"/>
      <c r="F15" s="920"/>
      <c r="G15" s="920"/>
      <c r="H15" s="920"/>
      <c r="I15" s="920"/>
      <c r="J15" s="920"/>
      <c r="K15" s="920"/>
      <c r="L15" s="920"/>
      <c r="M15" s="920"/>
      <c r="N15" s="920"/>
      <c r="O15" s="920"/>
      <c r="P15" s="920"/>
      <c r="Q15" s="921"/>
    </row>
    <row r="16" spans="2:17" ht="16.5" customHeight="1" x14ac:dyDescent="0.3">
      <c r="B16" s="833" t="s">
        <v>35</v>
      </c>
      <c r="C16" s="844" t="s">
        <v>177</v>
      </c>
      <c r="D16" s="837" t="s">
        <v>466</v>
      </c>
      <c r="E16" s="844" t="s">
        <v>183</v>
      </c>
      <c r="F16" s="837" t="s">
        <v>100</v>
      </c>
      <c r="G16" s="837" t="s">
        <v>174</v>
      </c>
      <c r="H16" s="917" t="s">
        <v>171</v>
      </c>
      <c r="I16" s="918"/>
      <c r="J16" s="844" t="s">
        <v>173</v>
      </c>
      <c r="K16" s="837" t="s">
        <v>423</v>
      </c>
      <c r="L16" s="837" t="s">
        <v>465</v>
      </c>
      <c r="M16" s="837" t="s">
        <v>97</v>
      </c>
      <c r="N16" s="837" t="s">
        <v>168</v>
      </c>
      <c r="O16" s="837" t="s">
        <v>51</v>
      </c>
      <c r="P16" s="916" t="s">
        <v>422</v>
      </c>
      <c r="Q16" s="840" t="s">
        <v>169</v>
      </c>
    </row>
    <row r="17" spans="2:17" ht="33.950000000000003" customHeight="1" x14ac:dyDescent="0.3">
      <c r="B17" s="833"/>
      <c r="C17" s="844"/>
      <c r="D17" s="839"/>
      <c r="E17" s="844"/>
      <c r="F17" s="839"/>
      <c r="G17" s="839"/>
      <c r="H17" s="66" t="s">
        <v>172</v>
      </c>
      <c r="I17" s="287" t="s">
        <v>101</v>
      </c>
      <c r="J17" s="839"/>
      <c r="K17" s="839"/>
      <c r="L17" s="839"/>
      <c r="M17" s="839"/>
      <c r="N17" s="839"/>
      <c r="O17" s="839"/>
      <c r="P17" s="916"/>
      <c r="Q17" s="842"/>
    </row>
    <row r="18" spans="2:17" ht="34.5" x14ac:dyDescent="0.3">
      <c r="B18" s="122">
        <v>1</v>
      </c>
      <c r="C18" s="503" t="s">
        <v>984</v>
      </c>
      <c r="D18" s="498">
        <v>20</v>
      </c>
      <c r="E18" s="464" t="s">
        <v>805</v>
      </c>
      <c r="F18" s="464" t="s">
        <v>925</v>
      </c>
      <c r="G18" s="513" t="s">
        <v>782</v>
      </c>
      <c r="H18" s="503">
        <v>6.8137369999999997</v>
      </c>
      <c r="I18" s="503">
        <v>9.0431570000000008</v>
      </c>
      <c r="J18" s="445" t="s">
        <v>985</v>
      </c>
      <c r="K18" s="471" t="s">
        <v>867</v>
      </c>
      <c r="L18" s="504" t="s">
        <v>737</v>
      </c>
      <c r="M18" s="459" t="s">
        <v>986</v>
      </c>
      <c r="N18" s="457" t="s">
        <v>1801</v>
      </c>
      <c r="O18" s="484">
        <v>37499.120000000003</v>
      </c>
      <c r="P18" s="335">
        <f>D18*O18</f>
        <v>749982.4</v>
      </c>
      <c r="Q18" s="325"/>
    </row>
    <row r="19" spans="2:17" ht="34.5" x14ac:dyDescent="0.3">
      <c r="B19" s="122">
        <v>2</v>
      </c>
      <c r="C19" s="503" t="s">
        <v>984</v>
      </c>
      <c r="D19" s="498">
        <v>20</v>
      </c>
      <c r="E19" s="447" t="s">
        <v>796</v>
      </c>
      <c r="F19" s="514" t="s">
        <v>987</v>
      </c>
      <c r="G19" s="513" t="s">
        <v>797</v>
      </c>
      <c r="H19" s="516">
        <v>7.7075760000000004</v>
      </c>
      <c r="I19" s="516">
        <v>8.532451</v>
      </c>
      <c r="J19" s="445" t="s">
        <v>988</v>
      </c>
      <c r="K19" s="471" t="s">
        <v>867</v>
      </c>
      <c r="L19" s="504" t="s">
        <v>737</v>
      </c>
      <c r="M19" s="459" t="s">
        <v>986</v>
      </c>
      <c r="N19" s="645" t="s">
        <v>1801</v>
      </c>
      <c r="O19" s="484">
        <v>37499.120000000003</v>
      </c>
      <c r="P19" s="335">
        <f t="shared" ref="P19:P37" si="0">D19*O19</f>
        <v>749982.4</v>
      </c>
      <c r="Q19" s="17"/>
    </row>
    <row r="20" spans="2:17" ht="34.5" x14ac:dyDescent="0.3">
      <c r="B20" s="122">
        <v>3</v>
      </c>
      <c r="C20" s="503" t="s">
        <v>984</v>
      </c>
      <c r="D20" s="498">
        <v>20</v>
      </c>
      <c r="E20" s="447" t="s">
        <v>808</v>
      </c>
      <c r="F20" s="514" t="s">
        <v>925</v>
      </c>
      <c r="G20" s="513" t="s">
        <v>782</v>
      </c>
      <c r="H20" s="517">
        <v>6.7507200000000003</v>
      </c>
      <c r="I20" s="517">
        <v>9.2666699999999995</v>
      </c>
      <c r="J20" s="445" t="s">
        <v>989</v>
      </c>
      <c r="K20" s="471" t="s">
        <v>867</v>
      </c>
      <c r="L20" s="504" t="s">
        <v>737</v>
      </c>
      <c r="M20" s="459" t="s">
        <v>986</v>
      </c>
      <c r="N20" s="645" t="s">
        <v>1801</v>
      </c>
      <c r="O20" s="484">
        <v>37499.120000000003</v>
      </c>
      <c r="P20" s="335">
        <f>D20*O20</f>
        <v>749982.4</v>
      </c>
      <c r="Q20" s="17"/>
    </row>
    <row r="21" spans="2:17" ht="34.5" x14ac:dyDescent="0.3">
      <c r="B21" s="122">
        <v>4</v>
      </c>
      <c r="C21" s="503" t="s">
        <v>984</v>
      </c>
      <c r="D21" s="498">
        <v>20</v>
      </c>
      <c r="E21" s="611" t="s">
        <v>990</v>
      </c>
      <c r="F21" s="514" t="s">
        <v>892</v>
      </c>
      <c r="G21" s="513" t="s">
        <v>782</v>
      </c>
      <c r="H21" s="518">
        <v>7.324427</v>
      </c>
      <c r="I21" s="518">
        <v>8.7457949999999993</v>
      </c>
      <c r="J21" s="445" t="s">
        <v>991</v>
      </c>
      <c r="K21" s="471" t="s">
        <v>867</v>
      </c>
      <c r="L21" s="504" t="s">
        <v>737</v>
      </c>
      <c r="M21" s="459" t="s">
        <v>986</v>
      </c>
      <c r="N21" s="645" t="s">
        <v>1801</v>
      </c>
      <c r="O21" s="484">
        <v>37499.120000000003</v>
      </c>
      <c r="P21" s="335">
        <f t="shared" si="0"/>
        <v>749982.4</v>
      </c>
      <c r="Q21" s="17"/>
    </row>
    <row r="22" spans="2:17" ht="34.5" x14ac:dyDescent="0.3">
      <c r="B22" s="122">
        <v>5</v>
      </c>
      <c r="C22" s="503" t="s">
        <v>984</v>
      </c>
      <c r="D22" s="498">
        <v>20</v>
      </c>
      <c r="E22" s="449" t="s">
        <v>814</v>
      </c>
      <c r="F22" s="514" t="s">
        <v>925</v>
      </c>
      <c r="G22" s="513" t="s">
        <v>782</v>
      </c>
      <c r="H22" s="518">
        <v>6.8022200000000002</v>
      </c>
      <c r="I22" s="519">
        <v>9.0302769999999999</v>
      </c>
      <c r="J22" s="445" t="s">
        <v>992</v>
      </c>
      <c r="K22" s="471" t="s">
        <v>867</v>
      </c>
      <c r="L22" s="504" t="s">
        <v>737</v>
      </c>
      <c r="M22" s="459" t="s">
        <v>986</v>
      </c>
      <c r="N22" s="645" t="s">
        <v>1801</v>
      </c>
      <c r="O22" s="484">
        <v>37499.120000000003</v>
      </c>
      <c r="P22" s="335">
        <f t="shared" si="0"/>
        <v>749982.4</v>
      </c>
      <c r="Q22" s="17"/>
    </row>
    <row r="23" spans="2:17" ht="34.5" x14ac:dyDescent="0.3">
      <c r="B23" s="122">
        <v>6</v>
      </c>
      <c r="C23" s="503" t="s">
        <v>984</v>
      </c>
      <c r="D23" s="498">
        <v>20</v>
      </c>
      <c r="E23" s="447" t="s">
        <v>810</v>
      </c>
      <c r="F23" s="514" t="s">
        <v>811</v>
      </c>
      <c r="G23" s="513" t="s">
        <v>782</v>
      </c>
      <c r="H23" s="520">
        <v>6.9729229999999998</v>
      </c>
      <c r="I23" s="520">
        <v>7.9236810000000002</v>
      </c>
      <c r="J23" s="445" t="s">
        <v>993</v>
      </c>
      <c r="K23" s="471" t="s">
        <v>867</v>
      </c>
      <c r="L23" s="504" t="s">
        <v>737</v>
      </c>
      <c r="M23" s="459" t="s">
        <v>986</v>
      </c>
      <c r="N23" s="645" t="s">
        <v>1801</v>
      </c>
      <c r="O23" s="484">
        <v>37499.120000000003</v>
      </c>
      <c r="P23" s="335">
        <f t="shared" si="0"/>
        <v>749982.4</v>
      </c>
      <c r="Q23" s="17"/>
    </row>
    <row r="24" spans="2:17" ht="34.5" x14ac:dyDescent="0.3">
      <c r="B24" s="122">
        <v>7</v>
      </c>
      <c r="C24" s="503" t="s">
        <v>984</v>
      </c>
      <c r="D24" s="498">
        <v>20</v>
      </c>
      <c r="E24" s="611" t="s">
        <v>994</v>
      </c>
      <c r="F24" s="514" t="s">
        <v>995</v>
      </c>
      <c r="G24" s="513" t="s">
        <v>782</v>
      </c>
      <c r="H24" s="518">
        <v>7.5011729999999996</v>
      </c>
      <c r="I24" s="518">
        <v>8.4424430000000008</v>
      </c>
      <c r="J24" s="445" t="s">
        <v>996</v>
      </c>
      <c r="K24" s="471" t="s">
        <v>867</v>
      </c>
      <c r="L24" s="504" t="s">
        <v>737</v>
      </c>
      <c r="M24" s="459" t="s">
        <v>986</v>
      </c>
      <c r="N24" s="645" t="s">
        <v>1801</v>
      </c>
      <c r="O24" s="484">
        <v>37499.120000000003</v>
      </c>
      <c r="P24" s="335">
        <f t="shared" si="0"/>
        <v>749982.4</v>
      </c>
      <c r="Q24" s="17"/>
    </row>
    <row r="25" spans="2:17" ht="34.5" x14ac:dyDescent="0.3">
      <c r="B25" s="122">
        <v>8</v>
      </c>
      <c r="C25" s="503" t="s">
        <v>984</v>
      </c>
      <c r="D25" s="498">
        <v>20</v>
      </c>
      <c r="E25" s="611" t="s">
        <v>997</v>
      </c>
      <c r="F25" s="514" t="s">
        <v>998</v>
      </c>
      <c r="G25" s="513" t="s">
        <v>782</v>
      </c>
      <c r="H25" s="518">
        <v>7.5517130000000003</v>
      </c>
      <c r="I25" s="518">
        <v>8.1949461600000006</v>
      </c>
      <c r="J25" s="445" t="s">
        <v>999</v>
      </c>
      <c r="K25" s="471" t="s">
        <v>867</v>
      </c>
      <c r="L25" s="504" t="s">
        <v>737</v>
      </c>
      <c r="M25" s="459" t="s">
        <v>986</v>
      </c>
      <c r="N25" s="645" t="s">
        <v>1801</v>
      </c>
      <c r="O25" s="484">
        <v>37499.120000000003</v>
      </c>
      <c r="P25" s="335">
        <f t="shared" si="0"/>
        <v>749982.4</v>
      </c>
      <c r="Q25" s="17"/>
    </row>
    <row r="26" spans="2:17" ht="34.5" x14ac:dyDescent="0.3">
      <c r="B26" s="122">
        <v>9</v>
      </c>
      <c r="C26" s="503" t="s">
        <v>984</v>
      </c>
      <c r="D26" s="498">
        <v>20</v>
      </c>
      <c r="E26" s="611" t="s">
        <v>1000</v>
      </c>
      <c r="F26" s="514" t="s">
        <v>1001</v>
      </c>
      <c r="G26" s="513" t="s">
        <v>782</v>
      </c>
      <c r="H26" s="518">
        <v>7.2345100000000002</v>
      </c>
      <c r="I26" s="518">
        <v>9.6479300000000006</v>
      </c>
      <c r="J26" s="445" t="s">
        <v>1002</v>
      </c>
      <c r="K26" s="471" t="s">
        <v>867</v>
      </c>
      <c r="L26" s="504" t="s">
        <v>737</v>
      </c>
      <c r="M26" s="459" t="s">
        <v>986</v>
      </c>
      <c r="N26" s="645" t="s">
        <v>1801</v>
      </c>
      <c r="O26" s="484">
        <v>37499.120000000003</v>
      </c>
      <c r="P26" s="335">
        <f t="shared" si="0"/>
        <v>749982.4</v>
      </c>
      <c r="Q26" s="17"/>
    </row>
    <row r="27" spans="2:17" ht="34.5" x14ac:dyDescent="0.3">
      <c r="B27" s="122">
        <v>10</v>
      </c>
      <c r="C27" s="503" t="s">
        <v>984</v>
      </c>
      <c r="D27" s="498">
        <v>20</v>
      </c>
      <c r="E27" s="611" t="s">
        <v>1003</v>
      </c>
      <c r="F27" s="514" t="s">
        <v>998</v>
      </c>
      <c r="G27" s="513" t="s">
        <v>782</v>
      </c>
      <c r="H27" s="518">
        <v>7.4308800000000002</v>
      </c>
      <c r="I27" s="518">
        <v>8.1560600000000001</v>
      </c>
      <c r="J27" s="445" t="s">
        <v>1004</v>
      </c>
      <c r="K27" s="471" t="s">
        <v>867</v>
      </c>
      <c r="L27" s="504" t="s">
        <v>737</v>
      </c>
      <c r="M27" s="459" t="s">
        <v>986</v>
      </c>
      <c r="N27" s="645" t="s">
        <v>1801</v>
      </c>
      <c r="O27" s="484">
        <v>37499.120000000003</v>
      </c>
      <c r="P27" s="335">
        <f t="shared" si="0"/>
        <v>749982.4</v>
      </c>
      <c r="Q27" s="17"/>
    </row>
    <row r="28" spans="2:17" ht="34.5" x14ac:dyDescent="0.3">
      <c r="B28" s="122">
        <v>11</v>
      </c>
      <c r="C28" s="503" t="s">
        <v>984</v>
      </c>
      <c r="D28" s="498">
        <v>20</v>
      </c>
      <c r="E28" s="611" t="s">
        <v>1005</v>
      </c>
      <c r="F28" s="514" t="s">
        <v>1001</v>
      </c>
      <c r="G28" s="513" t="s">
        <v>782</v>
      </c>
      <c r="H28" s="518">
        <v>7.4596720000000003</v>
      </c>
      <c r="I28" s="518">
        <v>9.4476879999999994</v>
      </c>
      <c r="J28" s="445" t="s">
        <v>1006</v>
      </c>
      <c r="K28" s="471" t="s">
        <v>867</v>
      </c>
      <c r="L28" s="504" t="s">
        <v>737</v>
      </c>
      <c r="M28" s="459" t="s">
        <v>986</v>
      </c>
      <c r="N28" s="645" t="s">
        <v>1801</v>
      </c>
      <c r="O28" s="484">
        <v>37499.120000000003</v>
      </c>
      <c r="P28" s="335">
        <f t="shared" si="0"/>
        <v>749982.4</v>
      </c>
      <c r="Q28" s="17"/>
    </row>
    <row r="29" spans="2:17" ht="34.5" x14ac:dyDescent="0.3">
      <c r="B29" s="122">
        <v>12</v>
      </c>
      <c r="C29" s="503" t="s">
        <v>984</v>
      </c>
      <c r="D29" s="498">
        <v>20</v>
      </c>
      <c r="E29" s="611" t="s">
        <v>1007</v>
      </c>
      <c r="F29" s="514" t="s">
        <v>1008</v>
      </c>
      <c r="G29" s="513" t="s">
        <v>782</v>
      </c>
      <c r="H29" s="521">
        <v>6.5728799999999996</v>
      </c>
      <c r="I29" s="522">
        <v>8.4640599999999999</v>
      </c>
      <c r="J29" s="445" t="s">
        <v>1009</v>
      </c>
      <c r="K29" s="471" t="s">
        <v>867</v>
      </c>
      <c r="L29" s="504" t="s">
        <v>737</v>
      </c>
      <c r="M29" s="459" t="s">
        <v>986</v>
      </c>
      <c r="N29" s="645" t="s">
        <v>1801</v>
      </c>
      <c r="O29" s="484">
        <v>37499.120000000003</v>
      </c>
      <c r="P29" s="335">
        <f t="shared" si="0"/>
        <v>749982.4</v>
      </c>
      <c r="Q29" s="17"/>
    </row>
    <row r="30" spans="2:17" ht="34.5" x14ac:dyDescent="0.3">
      <c r="B30" s="122">
        <v>13</v>
      </c>
      <c r="C30" s="503" t="s">
        <v>984</v>
      </c>
      <c r="D30" s="498">
        <v>20</v>
      </c>
      <c r="E30" s="447" t="s">
        <v>784</v>
      </c>
      <c r="F30" s="514" t="s">
        <v>1010</v>
      </c>
      <c r="G30" s="513" t="s">
        <v>782</v>
      </c>
      <c r="H30" s="523">
        <v>7.18323</v>
      </c>
      <c r="I30" s="524">
        <v>9.4682200000000005</v>
      </c>
      <c r="J30" s="445" t="s">
        <v>1011</v>
      </c>
      <c r="K30" s="471" t="s">
        <v>867</v>
      </c>
      <c r="L30" s="504" t="s">
        <v>737</v>
      </c>
      <c r="M30" s="459" t="s">
        <v>986</v>
      </c>
      <c r="N30" s="645" t="s">
        <v>1801</v>
      </c>
      <c r="O30" s="484">
        <v>37499.120000000003</v>
      </c>
      <c r="P30" s="335">
        <f t="shared" si="0"/>
        <v>749982.4</v>
      </c>
      <c r="Q30" s="17"/>
    </row>
    <row r="31" spans="2:17" ht="34.5" x14ac:dyDescent="0.3">
      <c r="B31" s="122">
        <v>14</v>
      </c>
      <c r="C31" s="503" t="s">
        <v>984</v>
      </c>
      <c r="D31" s="498">
        <v>20</v>
      </c>
      <c r="E31" s="611" t="s">
        <v>1012</v>
      </c>
      <c r="F31" s="514" t="s">
        <v>921</v>
      </c>
      <c r="G31" s="513" t="s">
        <v>782</v>
      </c>
      <c r="H31" s="525">
        <v>7.7540250999999998</v>
      </c>
      <c r="I31" s="525">
        <v>9.7590541999999996</v>
      </c>
      <c r="J31" s="445" t="s">
        <v>1013</v>
      </c>
      <c r="K31" s="471" t="s">
        <v>867</v>
      </c>
      <c r="L31" s="504" t="s">
        <v>737</v>
      </c>
      <c r="M31" s="459" t="s">
        <v>986</v>
      </c>
      <c r="N31" s="645" t="s">
        <v>1801</v>
      </c>
      <c r="O31" s="484">
        <v>37499.120000000003</v>
      </c>
      <c r="P31" s="335">
        <f t="shared" si="0"/>
        <v>749982.4</v>
      </c>
      <c r="Q31" s="17"/>
    </row>
    <row r="32" spans="2:17" ht="34.5" x14ac:dyDescent="0.3">
      <c r="B32" s="122">
        <v>15</v>
      </c>
      <c r="C32" s="503" t="s">
        <v>984</v>
      </c>
      <c r="D32" s="498">
        <v>20</v>
      </c>
      <c r="E32" s="611" t="s">
        <v>1014</v>
      </c>
      <c r="F32" s="514" t="s">
        <v>987</v>
      </c>
      <c r="G32" s="513" t="s">
        <v>797</v>
      </c>
      <c r="H32" s="518">
        <v>7.6770880000000004</v>
      </c>
      <c r="I32" s="518">
        <v>8.5698849999999993</v>
      </c>
      <c r="J32" s="445" t="s">
        <v>1015</v>
      </c>
      <c r="K32" s="471" t="s">
        <v>867</v>
      </c>
      <c r="L32" s="504" t="s">
        <v>737</v>
      </c>
      <c r="M32" s="459" t="s">
        <v>986</v>
      </c>
      <c r="N32" s="645" t="s">
        <v>1801</v>
      </c>
      <c r="O32" s="484">
        <v>37499.120000000003</v>
      </c>
      <c r="P32" s="335">
        <f t="shared" si="0"/>
        <v>749982.4</v>
      </c>
      <c r="Q32" s="17"/>
    </row>
    <row r="33" spans="2:17" ht="34.5" x14ac:dyDescent="0.3">
      <c r="B33" s="122">
        <v>16</v>
      </c>
      <c r="C33" s="503" t="s">
        <v>984</v>
      </c>
      <c r="D33" s="498">
        <v>20</v>
      </c>
      <c r="E33" s="611" t="s">
        <v>1016</v>
      </c>
      <c r="F33" s="514" t="s">
        <v>987</v>
      </c>
      <c r="G33" s="513" t="s">
        <v>797</v>
      </c>
      <c r="H33" s="518">
        <v>7.7390600000000003</v>
      </c>
      <c r="I33" s="518">
        <v>8.5202799999999996</v>
      </c>
      <c r="J33" s="445" t="s">
        <v>1017</v>
      </c>
      <c r="K33" s="471" t="s">
        <v>867</v>
      </c>
      <c r="L33" s="504" t="s">
        <v>737</v>
      </c>
      <c r="M33" s="459" t="s">
        <v>986</v>
      </c>
      <c r="N33" s="645" t="s">
        <v>1801</v>
      </c>
      <c r="O33" s="484">
        <v>37499.120000000003</v>
      </c>
      <c r="P33" s="335">
        <f t="shared" si="0"/>
        <v>749982.4</v>
      </c>
      <c r="Q33" s="17"/>
    </row>
    <row r="34" spans="2:17" ht="34.5" x14ac:dyDescent="0.3">
      <c r="B34" s="16">
        <v>17</v>
      </c>
      <c r="C34" s="503" t="s">
        <v>984</v>
      </c>
      <c r="D34" s="498">
        <v>20</v>
      </c>
      <c r="E34" s="611" t="s">
        <v>1018</v>
      </c>
      <c r="F34" s="514" t="s">
        <v>921</v>
      </c>
      <c r="G34" s="513" t="s">
        <v>782</v>
      </c>
      <c r="H34" s="527">
        <v>7.7544125099999999</v>
      </c>
      <c r="I34" s="528">
        <v>9.7590523999999998</v>
      </c>
      <c r="J34" s="445" t="s">
        <v>1019</v>
      </c>
      <c r="K34" s="471" t="s">
        <v>867</v>
      </c>
      <c r="L34" s="504" t="s">
        <v>737</v>
      </c>
      <c r="M34" s="459" t="s">
        <v>986</v>
      </c>
      <c r="N34" s="645" t="s">
        <v>1801</v>
      </c>
      <c r="O34" s="484">
        <v>37499.120000000003</v>
      </c>
      <c r="P34" s="335">
        <f t="shared" si="0"/>
        <v>749982.4</v>
      </c>
      <c r="Q34" s="17"/>
    </row>
    <row r="35" spans="2:17" ht="34.5" x14ac:dyDescent="0.3">
      <c r="B35" s="16">
        <v>18</v>
      </c>
      <c r="C35" s="503" t="s">
        <v>984</v>
      </c>
      <c r="D35" s="498">
        <v>20</v>
      </c>
      <c r="E35" s="611" t="s">
        <v>1020</v>
      </c>
      <c r="F35" s="514" t="s">
        <v>911</v>
      </c>
      <c r="G35" s="513" t="s">
        <v>797</v>
      </c>
      <c r="H35" s="518">
        <v>6.9418480000000002</v>
      </c>
      <c r="I35" s="526">
        <v>7.6824349999999999</v>
      </c>
      <c r="J35" s="445" t="s">
        <v>1021</v>
      </c>
      <c r="K35" s="471" t="s">
        <v>867</v>
      </c>
      <c r="L35" s="504" t="s">
        <v>737</v>
      </c>
      <c r="M35" s="459" t="s">
        <v>986</v>
      </c>
      <c r="N35" s="645" t="s">
        <v>1801</v>
      </c>
      <c r="O35" s="484">
        <v>37499.120000000003</v>
      </c>
      <c r="P35" s="335">
        <f t="shared" si="0"/>
        <v>749982.4</v>
      </c>
      <c r="Q35" s="17"/>
    </row>
    <row r="36" spans="2:17" ht="34.5" x14ac:dyDescent="0.3">
      <c r="B36" s="16">
        <v>19</v>
      </c>
      <c r="C36" s="503" t="s">
        <v>984</v>
      </c>
      <c r="D36" s="498">
        <v>20</v>
      </c>
      <c r="E36" s="611" t="s">
        <v>1022</v>
      </c>
      <c r="F36" s="514" t="s">
        <v>914</v>
      </c>
      <c r="G36" s="513" t="s">
        <v>797</v>
      </c>
      <c r="H36" s="518">
        <v>7.1519000000000004</v>
      </c>
      <c r="I36" s="518">
        <v>7.4950999999999999</v>
      </c>
      <c r="J36" s="445" t="s">
        <v>1023</v>
      </c>
      <c r="K36" s="471" t="s">
        <v>867</v>
      </c>
      <c r="L36" s="504" t="s">
        <v>737</v>
      </c>
      <c r="M36" s="459" t="s">
        <v>986</v>
      </c>
      <c r="N36" s="645" t="s">
        <v>1801</v>
      </c>
      <c r="O36" s="484">
        <v>37499.120000000003</v>
      </c>
      <c r="P36" s="335">
        <f t="shared" si="0"/>
        <v>749982.4</v>
      </c>
      <c r="Q36" s="17"/>
    </row>
    <row r="37" spans="2:17" ht="34.5" x14ac:dyDescent="0.3">
      <c r="B37" s="16">
        <v>20</v>
      </c>
      <c r="C37" s="503" t="s">
        <v>984</v>
      </c>
      <c r="D37" s="498">
        <v>20</v>
      </c>
      <c r="E37" s="611" t="s">
        <v>1024</v>
      </c>
      <c r="F37" s="514" t="s">
        <v>916</v>
      </c>
      <c r="G37" s="513" t="s">
        <v>797</v>
      </c>
      <c r="H37" s="518">
        <v>6.7945399999999996</v>
      </c>
      <c r="I37" s="518">
        <v>8.5035000000000007</v>
      </c>
      <c r="J37" s="445" t="s">
        <v>1025</v>
      </c>
      <c r="K37" s="471" t="s">
        <v>867</v>
      </c>
      <c r="L37" s="504" t="s">
        <v>737</v>
      </c>
      <c r="M37" s="459" t="s">
        <v>986</v>
      </c>
      <c r="N37" s="645" t="s">
        <v>1801</v>
      </c>
      <c r="O37" s="484">
        <v>37499.120000000003</v>
      </c>
      <c r="P37" s="335">
        <f t="shared" si="0"/>
        <v>749982.4</v>
      </c>
      <c r="Q37" s="17"/>
    </row>
    <row r="38" spans="2:17" ht="34.5" x14ac:dyDescent="0.3">
      <c r="B38" s="16">
        <v>21</v>
      </c>
      <c r="C38" s="503" t="s">
        <v>984</v>
      </c>
      <c r="D38" s="498">
        <v>20</v>
      </c>
      <c r="E38" s="611" t="s">
        <v>1026</v>
      </c>
      <c r="F38" s="514" t="s">
        <v>811</v>
      </c>
      <c r="G38" s="513" t="s">
        <v>797</v>
      </c>
      <c r="H38" s="518">
        <v>7.0015650000000003</v>
      </c>
      <c r="I38" s="518">
        <v>7.7466400000000002</v>
      </c>
      <c r="J38" s="445" t="s">
        <v>1027</v>
      </c>
      <c r="K38" s="471" t="s">
        <v>867</v>
      </c>
      <c r="L38" s="504" t="s">
        <v>737</v>
      </c>
      <c r="M38" s="459" t="s">
        <v>986</v>
      </c>
      <c r="N38" s="645" t="s">
        <v>1801</v>
      </c>
      <c r="O38" s="484">
        <v>37499.120000000003</v>
      </c>
      <c r="P38" s="335">
        <f t="shared" ref="P38:P45" si="1">D38*O38</f>
        <v>749982.4</v>
      </c>
      <c r="Q38" s="17"/>
    </row>
    <row r="39" spans="2:17" ht="34.5" x14ac:dyDescent="0.3">
      <c r="B39" s="16">
        <v>22</v>
      </c>
      <c r="C39" s="503" t="s">
        <v>984</v>
      </c>
      <c r="D39" s="498">
        <v>20</v>
      </c>
      <c r="E39" s="611" t="s">
        <v>1251</v>
      </c>
      <c r="F39" s="514" t="s">
        <v>987</v>
      </c>
      <c r="G39" s="513" t="s">
        <v>797</v>
      </c>
      <c r="H39" s="518">
        <v>7.7670180000000002</v>
      </c>
      <c r="I39" s="518">
        <v>8.6591850000000008</v>
      </c>
      <c r="J39" s="445" t="s">
        <v>1029</v>
      </c>
      <c r="K39" s="471" t="s">
        <v>867</v>
      </c>
      <c r="L39" s="504" t="s">
        <v>737</v>
      </c>
      <c r="M39" s="459" t="s">
        <v>986</v>
      </c>
      <c r="N39" s="645" t="s">
        <v>1801</v>
      </c>
      <c r="O39" s="484">
        <v>37499.120000000003</v>
      </c>
      <c r="P39" s="335">
        <f t="shared" si="1"/>
        <v>749982.4</v>
      </c>
      <c r="Q39" s="17"/>
    </row>
    <row r="40" spans="2:17" ht="34.5" x14ac:dyDescent="0.3">
      <c r="B40" s="16">
        <v>23</v>
      </c>
      <c r="C40" s="503" t="s">
        <v>984</v>
      </c>
      <c r="D40" s="498">
        <v>20</v>
      </c>
      <c r="E40" s="611" t="s">
        <v>1030</v>
      </c>
      <c r="F40" s="514" t="s">
        <v>918</v>
      </c>
      <c r="G40" s="513" t="s">
        <v>797</v>
      </c>
      <c r="H40" s="518">
        <v>7.4467369999999997</v>
      </c>
      <c r="I40" s="518">
        <v>7.9839900000000004</v>
      </c>
      <c r="J40" s="445" t="s">
        <v>1031</v>
      </c>
      <c r="K40" s="471" t="s">
        <v>867</v>
      </c>
      <c r="L40" s="504" t="s">
        <v>737</v>
      </c>
      <c r="M40" s="459" t="s">
        <v>986</v>
      </c>
      <c r="N40" s="645" t="s">
        <v>1801</v>
      </c>
      <c r="O40" s="484">
        <v>37499.120000000003</v>
      </c>
      <c r="P40" s="335">
        <f t="shared" si="1"/>
        <v>749982.4</v>
      </c>
      <c r="Q40" s="17"/>
    </row>
    <row r="41" spans="2:17" ht="34.5" x14ac:dyDescent="0.3">
      <c r="B41" s="16">
        <v>24</v>
      </c>
      <c r="C41" s="503" t="s">
        <v>984</v>
      </c>
      <c r="D41" s="498">
        <v>20</v>
      </c>
      <c r="E41" s="611" t="s">
        <v>1032</v>
      </c>
      <c r="F41" s="514" t="s">
        <v>920</v>
      </c>
      <c r="G41" s="513" t="s">
        <v>797</v>
      </c>
      <c r="H41" s="518">
        <v>7.6572810000000002</v>
      </c>
      <c r="I41" s="518">
        <v>8.8684820000000002</v>
      </c>
      <c r="J41" s="445" t="s">
        <v>1033</v>
      </c>
      <c r="K41" s="471" t="s">
        <v>867</v>
      </c>
      <c r="L41" s="504" t="s">
        <v>737</v>
      </c>
      <c r="M41" s="459" t="s">
        <v>986</v>
      </c>
      <c r="N41" s="645" t="s">
        <v>1801</v>
      </c>
      <c r="O41" s="484">
        <v>37499.120000000003</v>
      </c>
      <c r="P41" s="335">
        <f t="shared" si="1"/>
        <v>749982.4</v>
      </c>
      <c r="Q41" s="17"/>
    </row>
    <row r="42" spans="2:17" ht="34.5" x14ac:dyDescent="0.3">
      <c r="B42" s="16">
        <v>25</v>
      </c>
      <c r="C42" s="503" t="s">
        <v>984</v>
      </c>
      <c r="D42" s="498">
        <v>20</v>
      </c>
      <c r="E42" s="611" t="s">
        <v>1034</v>
      </c>
      <c r="F42" s="514" t="s">
        <v>920</v>
      </c>
      <c r="G42" s="513" t="s">
        <v>782</v>
      </c>
      <c r="H42" s="518">
        <v>7.5621600000000004</v>
      </c>
      <c r="I42" s="518">
        <v>8.9313970000000005</v>
      </c>
      <c r="J42" s="445" t="s">
        <v>1035</v>
      </c>
      <c r="K42" s="471" t="s">
        <v>867</v>
      </c>
      <c r="L42" s="504" t="s">
        <v>737</v>
      </c>
      <c r="M42" s="459" t="s">
        <v>986</v>
      </c>
      <c r="N42" s="645" t="s">
        <v>1801</v>
      </c>
      <c r="O42" s="484">
        <v>37499.120000000003</v>
      </c>
      <c r="P42" s="335">
        <f t="shared" si="1"/>
        <v>749982.4</v>
      </c>
      <c r="Q42" s="17"/>
    </row>
    <row r="43" spans="2:17" ht="34.5" x14ac:dyDescent="0.3">
      <c r="B43" s="16">
        <v>26</v>
      </c>
      <c r="C43" s="503" t="s">
        <v>984</v>
      </c>
      <c r="D43" s="498">
        <v>20</v>
      </c>
      <c r="E43" s="611" t="s">
        <v>1036</v>
      </c>
      <c r="F43" s="514" t="s">
        <v>921</v>
      </c>
      <c r="G43" s="513" t="s">
        <v>782</v>
      </c>
      <c r="H43" s="518">
        <v>7.4987500000000002</v>
      </c>
      <c r="I43" s="518">
        <v>9.6113769999999992</v>
      </c>
      <c r="J43" s="445" t="s">
        <v>1037</v>
      </c>
      <c r="K43" s="471" t="s">
        <v>867</v>
      </c>
      <c r="L43" s="504" t="s">
        <v>737</v>
      </c>
      <c r="M43" s="459" t="s">
        <v>986</v>
      </c>
      <c r="N43" s="645" t="s">
        <v>1801</v>
      </c>
      <c r="O43" s="484">
        <v>37499.120000000003</v>
      </c>
      <c r="P43" s="335">
        <f t="shared" si="1"/>
        <v>749982.4</v>
      </c>
      <c r="Q43" s="17"/>
    </row>
    <row r="44" spans="2:17" ht="34.5" x14ac:dyDescent="0.3">
      <c r="B44" s="16">
        <v>27</v>
      </c>
      <c r="C44" s="503" t="s">
        <v>984</v>
      </c>
      <c r="D44" s="498">
        <v>20</v>
      </c>
      <c r="E44" s="611" t="s">
        <v>1038</v>
      </c>
      <c r="F44" s="514" t="s">
        <v>1039</v>
      </c>
      <c r="G44" s="513" t="s">
        <v>782</v>
      </c>
      <c r="H44" s="518">
        <v>7.1411759999999997</v>
      </c>
      <c r="I44" s="518">
        <v>9.0787669999999991</v>
      </c>
      <c r="J44" s="445" t="s">
        <v>1040</v>
      </c>
      <c r="K44" s="471" t="s">
        <v>867</v>
      </c>
      <c r="L44" s="504" t="s">
        <v>737</v>
      </c>
      <c r="M44" s="459" t="s">
        <v>986</v>
      </c>
      <c r="N44" s="645" t="s">
        <v>1801</v>
      </c>
      <c r="O44" s="484">
        <v>37499.120000000003</v>
      </c>
      <c r="P44" s="335">
        <f t="shared" si="1"/>
        <v>749982.4</v>
      </c>
      <c r="Q44" s="17"/>
    </row>
    <row r="45" spans="2:17" ht="34.5" x14ac:dyDescent="0.3">
      <c r="B45" s="16">
        <v>28</v>
      </c>
      <c r="C45" s="503" t="s">
        <v>984</v>
      </c>
      <c r="D45" s="498">
        <v>20</v>
      </c>
      <c r="E45" s="611" t="s">
        <v>1041</v>
      </c>
      <c r="F45" s="514" t="s">
        <v>1039</v>
      </c>
      <c r="G45" s="513" t="s">
        <v>782</v>
      </c>
      <c r="H45" s="518">
        <v>7.0611959999999998</v>
      </c>
      <c r="I45" s="518">
        <v>8.9239599999999992</v>
      </c>
      <c r="J45" s="445" t="s">
        <v>1042</v>
      </c>
      <c r="K45" s="471" t="s">
        <v>867</v>
      </c>
      <c r="L45" s="504" t="s">
        <v>737</v>
      </c>
      <c r="M45" s="459" t="s">
        <v>986</v>
      </c>
      <c r="N45" s="645" t="s">
        <v>1801</v>
      </c>
      <c r="O45" s="484">
        <v>37499.120000000003</v>
      </c>
      <c r="P45" s="335">
        <f t="shared" si="1"/>
        <v>749982.4</v>
      </c>
      <c r="Q45" s="17"/>
    </row>
    <row r="46" spans="2:17" ht="34.5" x14ac:dyDescent="0.3">
      <c r="B46" s="16">
        <v>29</v>
      </c>
      <c r="C46" s="503" t="s">
        <v>984</v>
      </c>
      <c r="D46" s="498">
        <v>20</v>
      </c>
      <c r="E46" s="611" t="s">
        <v>1043</v>
      </c>
      <c r="F46" s="514" t="s">
        <v>925</v>
      </c>
      <c r="G46" s="513" t="s">
        <v>782</v>
      </c>
      <c r="H46" s="518">
        <v>7.0044399999999998</v>
      </c>
      <c r="I46" s="518">
        <v>9.0242570000000004</v>
      </c>
      <c r="J46" s="445" t="s">
        <v>1044</v>
      </c>
      <c r="K46" s="471" t="s">
        <v>867</v>
      </c>
      <c r="L46" s="504" t="s">
        <v>737</v>
      </c>
      <c r="M46" s="459" t="s">
        <v>986</v>
      </c>
      <c r="N46" s="645" t="s">
        <v>1801</v>
      </c>
      <c r="O46" s="484">
        <v>37499.120000000003</v>
      </c>
      <c r="P46" s="335">
        <f t="shared" ref="P46:P55" si="2">D46*O46</f>
        <v>749982.4</v>
      </c>
      <c r="Q46" s="17"/>
    </row>
    <row r="47" spans="2:17" ht="34.5" x14ac:dyDescent="0.3">
      <c r="B47" s="16">
        <v>30</v>
      </c>
      <c r="C47" s="503" t="s">
        <v>984</v>
      </c>
      <c r="D47" s="498">
        <v>20</v>
      </c>
      <c r="E47" s="611" t="s">
        <v>1045</v>
      </c>
      <c r="F47" s="514" t="s">
        <v>925</v>
      </c>
      <c r="G47" s="513" t="s">
        <v>782</v>
      </c>
      <c r="H47" s="525">
        <v>7.068371</v>
      </c>
      <c r="I47" s="525">
        <v>8.8117319999999992</v>
      </c>
      <c r="J47" s="445" t="s">
        <v>1046</v>
      </c>
      <c r="K47" s="471" t="s">
        <v>867</v>
      </c>
      <c r="L47" s="504" t="s">
        <v>737</v>
      </c>
      <c r="M47" s="459" t="s">
        <v>986</v>
      </c>
      <c r="N47" s="645" t="s">
        <v>1801</v>
      </c>
      <c r="O47" s="484">
        <v>37499.120000000003</v>
      </c>
      <c r="P47" s="335">
        <f t="shared" si="2"/>
        <v>749982.4</v>
      </c>
      <c r="Q47" s="17"/>
    </row>
    <row r="48" spans="2:17" ht="34.5" x14ac:dyDescent="0.3">
      <c r="B48" s="16">
        <v>31</v>
      </c>
      <c r="C48" s="503" t="s">
        <v>984</v>
      </c>
      <c r="D48" s="498">
        <v>20</v>
      </c>
      <c r="E48" s="611" t="s">
        <v>1047</v>
      </c>
      <c r="F48" s="514" t="s">
        <v>890</v>
      </c>
      <c r="G48" s="513" t="s">
        <v>782</v>
      </c>
      <c r="H48" s="525">
        <v>7.8173399999999997</v>
      </c>
      <c r="I48" s="525">
        <v>7.9422899999999998</v>
      </c>
      <c r="J48" s="445" t="s">
        <v>1048</v>
      </c>
      <c r="K48" s="471" t="s">
        <v>867</v>
      </c>
      <c r="L48" s="504" t="s">
        <v>737</v>
      </c>
      <c r="M48" s="459" t="s">
        <v>986</v>
      </c>
      <c r="N48" s="645" t="s">
        <v>1801</v>
      </c>
      <c r="O48" s="484">
        <v>37499.120000000003</v>
      </c>
      <c r="P48" s="335">
        <f t="shared" si="2"/>
        <v>749982.4</v>
      </c>
      <c r="Q48" s="17"/>
    </row>
    <row r="49" spans="2:17" ht="34.5" x14ac:dyDescent="0.3">
      <c r="B49" s="16">
        <v>32</v>
      </c>
      <c r="C49" s="503" t="s">
        <v>984</v>
      </c>
      <c r="D49" s="498">
        <v>20</v>
      </c>
      <c r="E49" s="611" t="s">
        <v>1049</v>
      </c>
      <c r="F49" s="514" t="s">
        <v>893</v>
      </c>
      <c r="G49" s="513" t="s">
        <v>782</v>
      </c>
      <c r="H49" s="525">
        <v>8.1069200000000006</v>
      </c>
      <c r="I49" s="525">
        <v>8.5275099999999995</v>
      </c>
      <c r="J49" s="445" t="s">
        <v>1050</v>
      </c>
      <c r="K49" s="471" t="s">
        <v>867</v>
      </c>
      <c r="L49" s="504" t="s">
        <v>737</v>
      </c>
      <c r="M49" s="459" t="s">
        <v>986</v>
      </c>
      <c r="N49" s="645" t="s">
        <v>1801</v>
      </c>
      <c r="O49" s="484">
        <v>37499.120000000003</v>
      </c>
      <c r="P49" s="335">
        <f t="shared" si="2"/>
        <v>749982.4</v>
      </c>
      <c r="Q49" s="17"/>
    </row>
    <row r="50" spans="2:17" ht="34.5" x14ac:dyDescent="0.3">
      <c r="B50" s="16">
        <v>33</v>
      </c>
      <c r="C50" s="503" t="s">
        <v>984</v>
      </c>
      <c r="D50" s="498">
        <v>20</v>
      </c>
      <c r="E50" s="611" t="s">
        <v>1051</v>
      </c>
      <c r="F50" s="514" t="s">
        <v>925</v>
      </c>
      <c r="G50" s="513" t="s">
        <v>782</v>
      </c>
      <c r="H50" s="525">
        <v>6.7503409999999997</v>
      </c>
      <c r="I50" s="525">
        <v>9.17652</v>
      </c>
      <c r="J50" s="445" t="s">
        <v>1052</v>
      </c>
      <c r="K50" s="471" t="s">
        <v>867</v>
      </c>
      <c r="L50" s="504" t="s">
        <v>737</v>
      </c>
      <c r="M50" s="459" t="s">
        <v>986</v>
      </c>
      <c r="N50" s="645" t="s">
        <v>1801</v>
      </c>
      <c r="O50" s="484">
        <v>37499.120000000003</v>
      </c>
      <c r="P50" s="335">
        <f t="shared" si="2"/>
        <v>749982.4</v>
      </c>
      <c r="Q50" s="17"/>
    </row>
    <row r="51" spans="2:17" ht="34.5" x14ac:dyDescent="0.3">
      <c r="B51" s="16">
        <v>34</v>
      </c>
      <c r="C51" s="503" t="s">
        <v>984</v>
      </c>
      <c r="D51" s="498">
        <v>20</v>
      </c>
      <c r="E51" s="611" t="s">
        <v>1053</v>
      </c>
      <c r="F51" s="514" t="s">
        <v>889</v>
      </c>
      <c r="G51" s="513" t="s">
        <v>782</v>
      </c>
      <c r="H51" s="525">
        <v>7.5409800000000002</v>
      </c>
      <c r="I51" s="525">
        <v>7.7455400000000001</v>
      </c>
      <c r="J51" s="445" t="s">
        <v>1054</v>
      </c>
      <c r="K51" s="471" t="s">
        <v>867</v>
      </c>
      <c r="L51" s="504" t="s">
        <v>737</v>
      </c>
      <c r="M51" s="459" t="s">
        <v>986</v>
      </c>
      <c r="N51" s="645" t="s">
        <v>1801</v>
      </c>
      <c r="O51" s="484">
        <v>37499.120000000003</v>
      </c>
      <c r="P51" s="335">
        <f t="shared" si="2"/>
        <v>749982.4</v>
      </c>
      <c r="Q51" s="17"/>
    </row>
    <row r="52" spans="2:17" ht="34.5" x14ac:dyDescent="0.3">
      <c r="B52" s="16">
        <v>35</v>
      </c>
      <c r="C52" s="503" t="s">
        <v>984</v>
      </c>
      <c r="D52" s="498">
        <v>20</v>
      </c>
      <c r="E52" s="611" t="s">
        <v>1055</v>
      </c>
      <c r="F52" s="514" t="s">
        <v>925</v>
      </c>
      <c r="G52" s="513" t="s">
        <v>782</v>
      </c>
      <c r="H52" s="525">
        <v>6.9648899999999996</v>
      </c>
      <c r="I52" s="525">
        <v>9.11951</v>
      </c>
      <c r="J52" s="445" t="s">
        <v>1056</v>
      </c>
      <c r="K52" s="471" t="s">
        <v>867</v>
      </c>
      <c r="L52" s="504" t="s">
        <v>737</v>
      </c>
      <c r="M52" s="459" t="s">
        <v>986</v>
      </c>
      <c r="N52" s="645" t="s">
        <v>1801</v>
      </c>
      <c r="O52" s="484">
        <v>37499.120000000003</v>
      </c>
      <c r="P52" s="335">
        <f t="shared" si="2"/>
        <v>749982.4</v>
      </c>
      <c r="Q52" s="17"/>
    </row>
    <row r="53" spans="2:17" ht="34.5" x14ac:dyDescent="0.3">
      <c r="B53" s="16">
        <v>36</v>
      </c>
      <c r="C53" s="503" t="s">
        <v>984</v>
      </c>
      <c r="D53" s="498">
        <v>20</v>
      </c>
      <c r="E53" s="611" t="s">
        <v>1057</v>
      </c>
      <c r="F53" s="514" t="s">
        <v>904</v>
      </c>
      <c r="G53" s="513" t="s">
        <v>782</v>
      </c>
      <c r="H53" s="525">
        <v>6.8456900000000003</v>
      </c>
      <c r="I53" s="525">
        <v>9.2908600000000003</v>
      </c>
      <c r="J53" s="445" t="s">
        <v>1058</v>
      </c>
      <c r="K53" s="471" t="s">
        <v>867</v>
      </c>
      <c r="L53" s="504" t="s">
        <v>737</v>
      </c>
      <c r="M53" s="459" t="s">
        <v>986</v>
      </c>
      <c r="N53" s="645" t="s">
        <v>1801</v>
      </c>
      <c r="O53" s="484">
        <v>37499.120000000003</v>
      </c>
      <c r="P53" s="335">
        <f t="shared" si="2"/>
        <v>749982.4</v>
      </c>
      <c r="Q53" s="17"/>
    </row>
    <row r="54" spans="2:17" ht="34.5" x14ac:dyDescent="0.3">
      <c r="B54" s="16">
        <v>37</v>
      </c>
      <c r="C54" s="503" t="s">
        <v>984</v>
      </c>
      <c r="D54" s="498">
        <v>20</v>
      </c>
      <c r="E54" s="611" t="s">
        <v>1059</v>
      </c>
      <c r="F54" s="514" t="s">
        <v>1008</v>
      </c>
      <c r="G54" s="513" t="s">
        <v>797</v>
      </c>
      <c r="H54" s="525">
        <v>7.2860500000000004</v>
      </c>
      <c r="I54" s="525">
        <v>8.5421499999999995</v>
      </c>
      <c r="J54" s="445" t="s">
        <v>1060</v>
      </c>
      <c r="K54" s="471" t="s">
        <v>867</v>
      </c>
      <c r="L54" s="504" t="s">
        <v>737</v>
      </c>
      <c r="M54" s="459" t="s">
        <v>986</v>
      </c>
      <c r="N54" s="645" t="s">
        <v>1801</v>
      </c>
      <c r="O54" s="484">
        <v>37499.120000000003</v>
      </c>
      <c r="P54" s="335">
        <f t="shared" si="2"/>
        <v>749982.4</v>
      </c>
      <c r="Q54" s="17"/>
    </row>
    <row r="55" spans="2:17" ht="34.5" x14ac:dyDescent="0.3">
      <c r="B55" s="16">
        <v>38</v>
      </c>
      <c r="C55" s="503" t="s">
        <v>984</v>
      </c>
      <c r="D55" s="498">
        <v>20</v>
      </c>
      <c r="E55" s="611" t="s">
        <v>1061</v>
      </c>
      <c r="F55" s="514" t="s">
        <v>916</v>
      </c>
      <c r="G55" s="513" t="s">
        <v>797</v>
      </c>
      <c r="H55" s="525">
        <v>6.8319799999999997</v>
      </c>
      <c r="I55" s="525">
        <v>8.3917400000000004</v>
      </c>
      <c r="J55" s="445" t="s">
        <v>1062</v>
      </c>
      <c r="K55" s="471" t="s">
        <v>867</v>
      </c>
      <c r="L55" s="504" t="s">
        <v>737</v>
      </c>
      <c r="M55" s="459" t="s">
        <v>986</v>
      </c>
      <c r="N55" s="645" t="s">
        <v>1801</v>
      </c>
      <c r="O55" s="484">
        <v>37499.120000000003</v>
      </c>
      <c r="P55" s="335">
        <f t="shared" si="2"/>
        <v>749982.4</v>
      </c>
      <c r="Q55" s="17"/>
    </row>
    <row r="56" spans="2:17" ht="34.5" x14ac:dyDescent="0.3">
      <c r="B56" s="16">
        <v>39</v>
      </c>
      <c r="C56" s="503" t="s">
        <v>984</v>
      </c>
      <c r="D56" s="498">
        <v>20</v>
      </c>
      <c r="E56" s="611" t="s">
        <v>1043</v>
      </c>
      <c r="F56" s="514" t="s">
        <v>925</v>
      </c>
      <c r="G56" s="513" t="s">
        <v>797</v>
      </c>
      <c r="H56" s="525">
        <v>7.0044399999999998</v>
      </c>
      <c r="I56" s="525">
        <v>9.0242570000000004</v>
      </c>
      <c r="J56" s="445" t="s">
        <v>1063</v>
      </c>
      <c r="K56" s="471" t="s">
        <v>867</v>
      </c>
      <c r="L56" s="504" t="s">
        <v>737</v>
      </c>
      <c r="M56" s="459" t="s">
        <v>986</v>
      </c>
      <c r="N56" s="645" t="s">
        <v>1801</v>
      </c>
      <c r="O56" s="484">
        <v>37499.120000000003</v>
      </c>
      <c r="P56" s="335">
        <f>D56*O56</f>
        <v>749982.4</v>
      </c>
      <c r="Q56" s="17"/>
    </row>
    <row r="57" spans="2:17" ht="34.5" x14ac:dyDescent="0.3">
      <c r="B57" s="16">
        <v>40</v>
      </c>
      <c r="C57" s="503" t="s">
        <v>984</v>
      </c>
      <c r="D57" s="498">
        <v>20</v>
      </c>
      <c r="E57" s="611" t="s">
        <v>1064</v>
      </c>
      <c r="F57" s="514" t="s">
        <v>811</v>
      </c>
      <c r="G57" s="513" t="s">
        <v>797</v>
      </c>
      <c r="H57" s="525">
        <v>7.1916219999999997</v>
      </c>
      <c r="I57" s="525">
        <v>7.7464893000000004</v>
      </c>
      <c r="J57" s="445" t="s">
        <v>1065</v>
      </c>
      <c r="K57" s="471" t="s">
        <v>867</v>
      </c>
      <c r="L57" s="504" t="s">
        <v>737</v>
      </c>
      <c r="M57" s="459" t="s">
        <v>986</v>
      </c>
      <c r="N57" s="645" t="s">
        <v>1801</v>
      </c>
      <c r="O57" s="484">
        <v>37499.120000000003</v>
      </c>
      <c r="P57" s="335">
        <f>D57*O57</f>
        <v>749982.4</v>
      </c>
      <c r="Q57" s="17"/>
    </row>
    <row r="58" spans="2:17" ht="18" customHeight="1" x14ac:dyDescent="0.3">
      <c r="C58" s="81" t="s">
        <v>566</v>
      </c>
      <c r="D58" s="71"/>
      <c r="E58" s="327"/>
      <c r="F58" s="327"/>
      <c r="G58" s="68"/>
      <c r="H58" s="68"/>
      <c r="I58" s="68"/>
      <c r="J58" s="74"/>
      <c r="K58" s="130"/>
      <c r="L58" s="68"/>
      <c r="M58" s="17"/>
      <c r="N58" s="17"/>
      <c r="O58" s="324">
        <v>0</v>
      </c>
      <c r="P58" s="335">
        <f>D58*O58</f>
        <v>0</v>
      </c>
      <c r="Q58" s="17"/>
    </row>
    <row r="59" spans="2:17" x14ac:dyDescent="0.3">
      <c r="C59" s="54"/>
    </row>
    <row r="60" spans="2:17" x14ac:dyDescent="0.3">
      <c r="C60" s="54"/>
    </row>
    <row r="61" spans="2:17" ht="55.5" customHeight="1" x14ac:dyDescent="0.3">
      <c r="B61" s="82"/>
      <c r="C61" s="82"/>
      <c r="D61" s="82"/>
      <c r="E61" s="219"/>
      <c r="F61" s="219"/>
      <c r="G61" s="86"/>
      <c r="H61" s="82"/>
      <c r="I61" s="86"/>
      <c r="J61" s="86"/>
      <c r="K61" s="82"/>
      <c r="L61" s="82"/>
      <c r="P61" s="929" t="s">
        <v>609</v>
      </c>
      <c r="Q61" s="929"/>
    </row>
    <row r="62" spans="2:17" ht="25.5" customHeight="1" x14ac:dyDescent="0.3">
      <c r="B62" s="320" t="s">
        <v>604</v>
      </c>
      <c r="C62" s="321"/>
      <c r="D62" s="322"/>
      <c r="E62" s="322"/>
      <c r="F62" s="322"/>
      <c r="G62" s="322"/>
      <c r="H62" s="322"/>
      <c r="I62" s="322"/>
      <c r="J62" s="322"/>
      <c r="K62" s="322"/>
      <c r="L62" s="322"/>
      <c r="M62" s="322"/>
      <c r="N62" s="322"/>
      <c r="O62" s="322"/>
      <c r="P62" s="930">
        <f>SUM(P66:P106)</f>
        <v>1501856.7999999996</v>
      </c>
      <c r="Q62" s="931"/>
    </row>
    <row r="63" spans="2:17" ht="17.45" customHeight="1" x14ac:dyDescent="0.3">
      <c r="B63" s="919" t="s">
        <v>182</v>
      </c>
      <c r="C63" s="920"/>
      <c r="D63" s="920"/>
      <c r="E63" s="920"/>
      <c r="F63" s="920"/>
      <c r="G63" s="920"/>
      <c r="H63" s="920"/>
      <c r="I63" s="920"/>
      <c r="J63" s="920"/>
      <c r="K63" s="920"/>
      <c r="L63" s="920"/>
      <c r="M63" s="920"/>
      <c r="N63" s="920"/>
      <c r="O63" s="920"/>
      <c r="P63" s="920"/>
      <c r="Q63" s="921"/>
    </row>
    <row r="64" spans="2:17" ht="16.5" customHeight="1" x14ac:dyDescent="0.3">
      <c r="B64" s="833" t="s">
        <v>35</v>
      </c>
      <c r="C64" s="844" t="s">
        <v>177</v>
      </c>
      <c r="D64" s="837" t="s">
        <v>466</v>
      </c>
      <c r="E64" s="844" t="s">
        <v>183</v>
      </c>
      <c r="F64" s="837" t="s">
        <v>100</v>
      </c>
      <c r="G64" s="837" t="s">
        <v>174</v>
      </c>
      <c r="H64" s="917" t="s">
        <v>171</v>
      </c>
      <c r="I64" s="918"/>
      <c r="J64" s="844" t="s">
        <v>173</v>
      </c>
      <c r="K64" s="837" t="s">
        <v>423</v>
      </c>
      <c r="L64" s="837" t="s">
        <v>465</v>
      </c>
      <c r="M64" s="837" t="s">
        <v>97</v>
      </c>
      <c r="N64" s="837" t="s">
        <v>168</v>
      </c>
      <c r="O64" s="837" t="s">
        <v>51</v>
      </c>
      <c r="P64" s="916" t="s">
        <v>422</v>
      </c>
      <c r="Q64" s="840" t="s">
        <v>169</v>
      </c>
    </row>
    <row r="65" spans="2:17" ht="33.950000000000003" customHeight="1" x14ac:dyDescent="0.3">
      <c r="B65" s="833"/>
      <c r="C65" s="844"/>
      <c r="D65" s="839"/>
      <c r="E65" s="844"/>
      <c r="F65" s="839"/>
      <c r="G65" s="839"/>
      <c r="H65" s="66" t="s">
        <v>172</v>
      </c>
      <c r="I65" s="287" t="s">
        <v>101</v>
      </c>
      <c r="J65" s="844"/>
      <c r="K65" s="839"/>
      <c r="L65" s="839"/>
      <c r="M65" s="839"/>
      <c r="N65" s="839"/>
      <c r="O65" s="839"/>
      <c r="P65" s="916"/>
      <c r="Q65" s="842"/>
    </row>
    <row r="66" spans="2:17" ht="34.5" x14ac:dyDescent="0.3">
      <c r="B66" s="122">
        <v>1</v>
      </c>
      <c r="C66" s="446" t="s">
        <v>1066</v>
      </c>
      <c r="D66" s="505">
        <v>1</v>
      </c>
      <c r="E66" s="612" t="s">
        <v>805</v>
      </c>
      <c r="F66" s="464" t="s">
        <v>925</v>
      </c>
      <c r="G66" s="513" t="s">
        <v>782</v>
      </c>
      <c r="H66" s="503">
        <v>6.8137369999999997</v>
      </c>
      <c r="I66" s="503">
        <v>9.0431570000000008</v>
      </c>
      <c r="J66" s="445" t="s">
        <v>1067</v>
      </c>
      <c r="K66" s="471" t="s">
        <v>867</v>
      </c>
      <c r="L66" s="504" t="s">
        <v>728</v>
      </c>
      <c r="M66" s="506" t="s">
        <v>1068</v>
      </c>
      <c r="N66" s="507" t="s">
        <v>1802</v>
      </c>
      <c r="O66" s="484">
        <v>37546.42</v>
      </c>
      <c r="P66" s="335">
        <f>D66*O66</f>
        <v>37546.42</v>
      </c>
      <c r="Q66" s="325"/>
    </row>
    <row r="67" spans="2:17" ht="34.5" x14ac:dyDescent="0.3">
      <c r="B67" s="122">
        <v>2</v>
      </c>
      <c r="C67" s="446" t="s">
        <v>1066</v>
      </c>
      <c r="D67" s="505">
        <v>1</v>
      </c>
      <c r="E67" s="452" t="s">
        <v>796</v>
      </c>
      <c r="F67" s="514" t="s">
        <v>987</v>
      </c>
      <c r="G67" s="513" t="s">
        <v>797</v>
      </c>
      <c r="H67" s="516">
        <v>7.7075760000000004</v>
      </c>
      <c r="I67" s="516">
        <v>8.532451</v>
      </c>
      <c r="J67" s="445" t="s">
        <v>1069</v>
      </c>
      <c r="K67" s="471" t="s">
        <v>867</v>
      </c>
      <c r="L67" s="504" t="s">
        <v>728</v>
      </c>
      <c r="M67" s="506" t="s">
        <v>1068</v>
      </c>
      <c r="N67" s="507" t="s">
        <v>1802</v>
      </c>
      <c r="O67" s="484">
        <v>37546.42</v>
      </c>
      <c r="P67" s="335">
        <f t="shared" ref="P67:P106" si="3">D67*O67</f>
        <v>37546.42</v>
      </c>
      <c r="Q67" s="17"/>
    </row>
    <row r="68" spans="2:17" ht="34.5" x14ac:dyDescent="0.3">
      <c r="B68" s="122">
        <v>3</v>
      </c>
      <c r="C68" s="446" t="s">
        <v>1066</v>
      </c>
      <c r="D68" s="505">
        <v>1</v>
      </c>
      <c r="E68" s="452" t="s">
        <v>808</v>
      </c>
      <c r="F68" s="514" t="s">
        <v>925</v>
      </c>
      <c r="G68" s="513" t="s">
        <v>782</v>
      </c>
      <c r="H68" s="517">
        <v>6.7507200000000003</v>
      </c>
      <c r="I68" s="517">
        <v>9.2666699999999995</v>
      </c>
      <c r="J68" s="445" t="s">
        <v>1070</v>
      </c>
      <c r="K68" s="471" t="s">
        <v>867</v>
      </c>
      <c r="L68" s="504" t="s">
        <v>728</v>
      </c>
      <c r="M68" s="506" t="s">
        <v>1068</v>
      </c>
      <c r="N68" s="507" t="s">
        <v>1802</v>
      </c>
      <c r="O68" s="484">
        <v>37546.42</v>
      </c>
      <c r="P68" s="335">
        <f t="shared" si="3"/>
        <v>37546.42</v>
      </c>
      <c r="Q68" s="17"/>
    </row>
    <row r="69" spans="2:17" ht="34.5" x14ac:dyDescent="0.3">
      <c r="B69" s="122">
        <v>4</v>
      </c>
      <c r="C69" s="446" t="s">
        <v>1066</v>
      </c>
      <c r="D69" s="505">
        <v>1</v>
      </c>
      <c r="E69" s="613" t="s">
        <v>990</v>
      </c>
      <c r="F69" s="514" t="s">
        <v>892</v>
      </c>
      <c r="G69" s="513" t="s">
        <v>782</v>
      </c>
      <c r="H69" s="518">
        <v>7.324427</v>
      </c>
      <c r="I69" s="518">
        <v>8.7457949999999993</v>
      </c>
      <c r="J69" s="445" t="s">
        <v>1071</v>
      </c>
      <c r="K69" s="471" t="s">
        <v>867</v>
      </c>
      <c r="L69" s="504" t="s">
        <v>728</v>
      </c>
      <c r="M69" s="506" t="s">
        <v>1068</v>
      </c>
      <c r="N69" s="507" t="s">
        <v>1802</v>
      </c>
      <c r="O69" s="484">
        <v>37546.42</v>
      </c>
      <c r="P69" s="335">
        <f t="shared" si="3"/>
        <v>37546.42</v>
      </c>
      <c r="Q69" s="17"/>
    </row>
    <row r="70" spans="2:17" ht="34.5" x14ac:dyDescent="0.3">
      <c r="B70" s="122">
        <v>5</v>
      </c>
      <c r="C70" s="446" t="s">
        <v>1066</v>
      </c>
      <c r="D70" s="505">
        <v>1</v>
      </c>
      <c r="E70" s="455" t="s">
        <v>814</v>
      </c>
      <c r="F70" s="514" t="s">
        <v>925</v>
      </c>
      <c r="G70" s="513" t="s">
        <v>782</v>
      </c>
      <c r="H70" s="518">
        <v>6.8022200000000002</v>
      </c>
      <c r="I70" s="519">
        <v>9.0302769999999999</v>
      </c>
      <c r="J70" s="445" t="s">
        <v>1072</v>
      </c>
      <c r="K70" s="471" t="s">
        <v>867</v>
      </c>
      <c r="L70" s="504" t="s">
        <v>728</v>
      </c>
      <c r="M70" s="506" t="s">
        <v>1068</v>
      </c>
      <c r="N70" s="507" t="s">
        <v>1802</v>
      </c>
      <c r="O70" s="484">
        <v>37546.42</v>
      </c>
      <c r="P70" s="335">
        <f t="shared" si="3"/>
        <v>37546.42</v>
      </c>
      <c r="Q70" s="17"/>
    </row>
    <row r="71" spans="2:17" ht="34.5" x14ac:dyDescent="0.3">
      <c r="B71" s="122">
        <v>6</v>
      </c>
      <c r="C71" s="446" t="s">
        <v>1066</v>
      </c>
      <c r="D71" s="505">
        <v>1</v>
      </c>
      <c r="E71" s="452" t="s">
        <v>810</v>
      </c>
      <c r="F71" s="514" t="s">
        <v>811</v>
      </c>
      <c r="G71" s="513" t="s">
        <v>782</v>
      </c>
      <c r="H71" s="520">
        <v>6.9729229999999998</v>
      </c>
      <c r="I71" s="520">
        <v>7.9236810000000002</v>
      </c>
      <c r="J71" s="445" t="s">
        <v>1073</v>
      </c>
      <c r="K71" s="471" t="s">
        <v>867</v>
      </c>
      <c r="L71" s="504" t="s">
        <v>728</v>
      </c>
      <c r="M71" s="506" t="s">
        <v>1068</v>
      </c>
      <c r="N71" s="507" t="s">
        <v>1802</v>
      </c>
      <c r="O71" s="484">
        <v>37546.42</v>
      </c>
      <c r="P71" s="335">
        <f>D71*O71</f>
        <v>37546.42</v>
      </c>
      <c r="Q71" s="17"/>
    </row>
    <row r="72" spans="2:17" ht="34.5" x14ac:dyDescent="0.3">
      <c r="B72" s="122">
        <v>7</v>
      </c>
      <c r="C72" s="446" t="s">
        <v>1066</v>
      </c>
      <c r="D72" s="505">
        <v>1</v>
      </c>
      <c r="E72" s="613" t="s">
        <v>994</v>
      </c>
      <c r="F72" s="514" t="s">
        <v>995</v>
      </c>
      <c r="G72" s="513" t="s">
        <v>782</v>
      </c>
      <c r="H72" s="518">
        <v>7.5011729999999996</v>
      </c>
      <c r="I72" s="518">
        <v>8.4424430000000008</v>
      </c>
      <c r="J72" s="445" t="s">
        <v>1074</v>
      </c>
      <c r="K72" s="471" t="s">
        <v>867</v>
      </c>
      <c r="L72" s="504" t="s">
        <v>728</v>
      </c>
      <c r="M72" s="506" t="s">
        <v>1068</v>
      </c>
      <c r="N72" s="507" t="s">
        <v>1802</v>
      </c>
      <c r="O72" s="484">
        <v>37546.42</v>
      </c>
      <c r="P72" s="335">
        <f t="shared" si="3"/>
        <v>37546.42</v>
      </c>
      <c r="Q72" s="17"/>
    </row>
    <row r="73" spans="2:17" ht="34.5" x14ac:dyDescent="0.3">
      <c r="B73" s="122">
        <v>8</v>
      </c>
      <c r="C73" s="446" t="s">
        <v>1066</v>
      </c>
      <c r="D73" s="505">
        <v>1</v>
      </c>
      <c r="E73" s="613" t="s">
        <v>997</v>
      </c>
      <c r="F73" s="514" t="s">
        <v>998</v>
      </c>
      <c r="G73" s="513" t="s">
        <v>782</v>
      </c>
      <c r="H73" s="518">
        <v>7.5517130000000003</v>
      </c>
      <c r="I73" s="518">
        <v>8.1949461600000006</v>
      </c>
      <c r="J73" s="445" t="s">
        <v>1075</v>
      </c>
      <c r="K73" s="471" t="s">
        <v>867</v>
      </c>
      <c r="L73" s="504" t="s">
        <v>728</v>
      </c>
      <c r="M73" s="506" t="s">
        <v>1068</v>
      </c>
      <c r="N73" s="507" t="s">
        <v>1802</v>
      </c>
      <c r="O73" s="484">
        <v>37546.42</v>
      </c>
      <c r="P73" s="335">
        <f t="shared" si="3"/>
        <v>37546.42</v>
      </c>
      <c r="Q73" s="17"/>
    </row>
    <row r="74" spans="2:17" ht="34.5" x14ac:dyDescent="0.3">
      <c r="B74" s="122">
        <v>9</v>
      </c>
      <c r="C74" s="446" t="s">
        <v>1066</v>
      </c>
      <c r="D74" s="505">
        <v>1</v>
      </c>
      <c r="E74" s="613" t="s">
        <v>1000</v>
      </c>
      <c r="F74" s="514" t="s">
        <v>1001</v>
      </c>
      <c r="G74" s="513" t="s">
        <v>782</v>
      </c>
      <c r="H74" s="518">
        <v>7.2345100000000002</v>
      </c>
      <c r="I74" s="518">
        <v>9.6479300000000006</v>
      </c>
      <c r="J74" s="445" t="s">
        <v>1076</v>
      </c>
      <c r="K74" s="471" t="s">
        <v>867</v>
      </c>
      <c r="L74" s="504" t="s">
        <v>728</v>
      </c>
      <c r="M74" s="506" t="s">
        <v>1068</v>
      </c>
      <c r="N74" s="507" t="s">
        <v>1802</v>
      </c>
      <c r="O74" s="484">
        <v>37546.42</v>
      </c>
      <c r="P74" s="335">
        <f t="shared" si="3"/>
        <v>37546.42</v>
      </c>
      <c r="Q74" s="17"/>
    </row>
    <row r="75" spans="2:17" ht="34.5" x14ac:dyDescent="0.3">
      <c r="B75" s="122">
        <v>10</v>
      </c>
      <c r="C75" s="446" t="s">
        <v>1066</v>
      </c>
      <c r="D75" s="505">
        <v>1</v>
      </c>
      <c r="E75" s="613" t="s">
        <v>1003</v>
      </c>
      <c r="F75" s="514" t="s">
        <v>998</v>
      </c>
      <c r="G75" s="513" t="s">
        <v>782</v>
      </c>
      <c r="H75" s="518">
        <v>7.4308800000000002</v>
      </c>
      <c r="I75" s="518">
        <v>8.1560600000000001</v>
      </c>
      <c r="J75" s="445" t="s">
        <v>1077</v>
      </c>
      <c r="K75" s="471" t="s">
        <v>867</v>
      </c>
      <c r="L75" s="504" t="s">
        <v>728</v>
      </c>
      <c r="M75" s="506" t="s">
        <v>1068</v>
      </c>
      <c r="N75" s="507" t="s">
        <v>1802</v>
      </c>
      <c r="O75" s="484">
        <v>37546.42</v>
      </c>
      <c r="P75" s="335">
        <f t="shared" si="3"/>
        <v>37546.42</v>
      </c>
      <c r="Q75" s="17"/>
    </row>
    <row r="76" spans="2:17" ht="34.5" x14ac:dyDescent="0.3">
      <c r="B76" s="122">
        <v>11</v>
      </c>
      <c r="C76" s="446" t="s">
        <v>1066</v>
      </c>
      <c r="D76" s="505">
        <v>1</v>
      </c>
      <c r="E76" s="613" t="s">
        <v>1005</v>
      </c>
      <c r="F76" s="514" t="s">
        <v>1001</v>
      </c>
      <c r="G76" s="513" t="s">
        <v>782</v>
      </c>
      <c r="H76" s="518">
        <v>7.4596720000000003</v>
      </c>
      <c r="I76" s="518">
        <v>9.4476879999999994</v>
      </c>
      <c r="J76" s="445" t="s">
        <v>1078</v>
      </c>
      <c r="K76" s="471" t="s">
        <v>867</v>
      </c>
      <c r="L76" s="504" t="s">
        <v>728</v>
      </c>
      <c r="M76" s="506" t="s">
        <v>1068</v>
      </c>
      <c r="N76" s="507" t="s">
        <v>1802</v>
      </c>
      <c r="O76" s="484">
        <v>37546.42</v>
      </c>
      <c r="P76" s="335">
        <f t="shared" si="3"/>
        <v>37546.42</v>
      </c>
      <c r="Q76" s="17"/>
    </row>
    <row r="77" spans="2:17" ht="34.5" x14ac:dyDescent="0.3">
      <c r="B77" s="122">
        <v>12</v>
      </c>
      <c r="C77" s="446" t="s">
        <v>1066</v>
      </c>
      <c r="D77" s="505">
        <v>1</v>
      </c>
      <c r="E77" s="613" t="s">
        <v>1007</v>
      </c>
      <c r="F77" s="514" t="s">
        <v>1008</v>
      </c>
      <c r="G77" s="513" t="s">
        <v>782</v>
      </c>
      <c r="H77" s="521">
        <v>6.5728799999999996</v>
      </c>
      <c r="I77" s="522">
        <v>8.4640599999999999</v>
      </c>
      <c r="J77" s="445" t="s">
        <v>1079</v>
      </c>
      <c r="K77" s="471" t="s">
        <v>867</v>
      </c>
      <c r="L77" s="504" t="s">
        <v>728</v>
      </c>
      <c r="M77" s="506" t="s">
        <v>1068</v>
      </c>
      <c r="N77" s="507" t="s">
        <v>1802</v>
      </c>
      <c r="O77" s="484">
        <v>37546.42</v>
      </c>
      <c r="P77" s="335">
        <f t="shared" si="3"/>
        <v>37546.42</v>
      </c>
      <c r="Q77" s="17"/>
    </row>
    <row r="78" spans="2:17" ht="34.5" x14ac:dyDescent="0.3">
      <c r="B78" s="122">
        <v>13</v>
      </c>
      <c r="C78" s="446" t="s">
        <v>1066</v>
      </c>
      <c r="D78" s="505">
        <v>1</v>
      </c>
      <c r="E78" s="452" t="s">
        <v>784</v>
      </c>
      <c r="F78" s="514" t="s">
        <v>1010</v>
      </c>
      <c r="G78" s="513" t="s">
        <v>782</v>
      </c>
      <c r="H78" s="523">
        <v>7.18323</v>
      </c>
      <c r="I78" s="524">
        <v>9.4682200000000005</v>
      </c>
      <c r="J78" s="445" t="s">
        <v>1080</v>
      </c>
      <c r="K78" s="471" t="s">
        <v>867</v>
      </c>
      <c r="L78" s="504" t="s">
        <v>728</v>
      </c>
      <c r="M78" s="506" t="s">
        <v>1068</v>
      </c>
      <c r="N78" s="507" t="s">
        <v>1802</v>
      </c>
      <c r="O78" s="484">
        <v>37546.42</v>
      </c>
      <c r="P78" s="335">
        <f t="shared" si="3"/>
        <v>37546.42</v>
      </c>
      <c r="Q78" s="17"/>
    </row>
    <row r="79" spans="2:17" ht="34.5" x14ac:dyDescent="0.3">
      <c r="B79" s="122">
        <v>14</v>
      </c>
      <c r="C79" s="446" t="s">
        <v>1066</v>
      </c>
      <c r="D79" s="505">
        <v>1</v>
      </c>
      <c r="E79" s="613" t="s">
        <v>1012</v>
      </c>
      <c r="F79" s="514" t="s">
        <v>921</v>
      </c>
      <c r="G79" s="513" t="s">
        <v>782</v>
      </c>
      <c r="H79" s="525">
        <v>7.7540250999999998</v>
      </c>
      <c r="I79" s="525">
        <v>9.7590541999999996</v>
      </c>
      <c r="J79" s="445" t="s">
        <v>1081</v>
      </c>
      <c r="K79" s="471" t="s">
        <v>867</v>
      </c>
      <c r="L79" s="504" t="s">
        <v>728</v>
      </c>
      <c r="M79" s="506" t="s">
        <v>1068</v>
      </c>
      <c r="N79" s="507" t="s">
        <v>1802</v>
      </c>
      <c r="O79" s="484">
        <v>37546.42</v>
      </c>
      <c r="P79" s="335">
        <f t="shared" si="3"/>
        <v>37546.42</v>
      </c>
      <c r="Q79" s="17"/>
    </row>
    <row r="80" spans="2:17" ht="34.5" x14ac:dyDescent="0.3">
      <c r="B80" s="122">
        <v>15</v>
      </c>
      <c r="C80" s="446" t="s">
        <v>1066</v>
      </c>
      <c r="D80" s="505">
        <v>1</v>
      </c>
      <c r="E80" s="613" t="s">
        <v>1014</v>
      </c>
      <c r="F80" s="514" t="s">
        <v>987</v>
      </c>
      <c r="G80" s="513" t="s">
        <v>797</v>
      </c>
      <c r="H80" s="518">
        <v>7.6770880000000004</v>
      </c>
      <c r="I80" s="518">
        <v>8.5698849999999993</v>
      </c>
      <c r="J80" s="445" t="s">
        <v>1082</v>
      </c>
      <c r="K80" s="471" t="s">
        <v>867</v>
      </c>
      <c r="L80" s="504" t="s">
        <v>728</v>
      </c>
      <c r="M80" s="506" t="s">
        <v>1068</v>
      </c>
      <c r="N80" s="507" t="s">
        <v>1802</v>
      </c>
      <c r="O80" s="484">
        <v>37546.42</v>
      </c>
      <c r="P80" s="335">
        <f t="shared" si="3"/>
        <v>37546.42</v>
      </c>
      <c r="Q80" s="17"/>
    </row>
    <row r="81" spans="2:17" ht="34.5" x14ac:dyDescent="0.3">
      <c r="B81" s="122">
        <v>16</v>
      </c>
      <c r="C81" s="446" t="s">
        <v>1066</v>
      </c>
      <c r="D81" s="505">
        <v>1</v>
      </c>
      <c r="E81" s="613" t="s">
        <v>1016</v>
      </c>
      <c r="F81" s="514" t="s">
        <v>987</v>
      </c>
      <c r="G81" s="513" t="s">
        <v>797</v>
      </c>
      <c r="H81" s="518">
        <v>7.7390600000000003</v>
      </c>
      <c r="I81" s="518">
        <v>8.5202799999999996</v>
      </c>
      <c r="J81" s="445" t="s">
        <v>1083</v>
      </c>
      <c r="K81" s="471" t="s">
        <v>867</v>
      </c>
      <c r="L81" s="504" t="s">
        <v>728</v>
      </c>
      <c r="M81" s="506" t="s">
        <v>1068</v>
      </c>
      <c r="N81" s="507" t="s">
        <v>1802</v>
      </c>
      <c r="O81" s="484">
        <v>37546.42</v>
      </c>
      <c r="P81" s="335">
        <f t="shared" si="3"/>
        <v>37546.42</v>
      </c>
      <c r="Q81" s="17"/>
    </row>
    <row r="82" spans="2:17" ht="34.5" x14ac:dyDescent="0.3">
      <c r="B82" s="16">
        <v>17</v>
      </c>
      <c r="C82" s="446" t="s">
        <v>1066</v>
      </c>
      <c r="D82" s="505">
        <v>1</v>
      </c>
      <c r="E82" s="613" t="s">
        <v>1018</v>
      </c>
      <c r="F82" s="514" t="s">
        <v>921</v>
      </c>
      <c r="G82" s="513" t="s">
        <v>782</v>
      </c>
      <c r="H82" s="527">
        <v>7.7544125099999999</v>
      </c>
      <c r="I82" s="528">
        <v>9.7590523999999998</v>
      </c>
      <c r="J82" s="445" t="s">
        <v>1084</v>
      </c>
      <c r="K82" s="471" t="s">
        <v>867</v>
      </c>
      <c r="L82" s="504" t="s">
        <v>728</v>
      </c>
      <c r="M82" s="506" t="s">
        <v>1068</v>
      </c>
      <c r="N82" s="507" t="s">
        <v>1802</v>
      </c>
      <c r="O82" s="484">
        <v>37546.42</v>
      </c>
      <c r="P82" s="335">
        <f t="shared" si="3"/>
        <v>37546.42</v>
      </c>
      <c r="Q82" s="17"/>
    </row>
    <row r="83" spans="2:17" ht="34.5" x14ac:dyDescent="0.3">
      <c r="B83" s="16">
        <v>18</v>
      </c>
      <c r="C83" s="446" t="s">
        <v>1066</v>
      </c>
      <c r="D83" s="505">
        <v>1</v>
      </c>
      <c r="E83" s="613" t="s">
        <v>1020</v>
      </c>
      <c r="F83" s="514" t="s">
        <v>911</v>
      </c>
      <c r="G83" s="513" t="s">
        <v>797</v>
      </c>
      <c r="H83" s="518">
        <v>6.9418480000000002</v>
      </c>
      <c r="I83" s="526">
        <v>7.6824349999999999</v>
      </c>
      <c r="J83" s="445" t="s">
        <v>1085</v>
      </c>
      <c r="K83" s="471" t="s">
        <v>867</v>
      </c>
      <c r="L83" s="504" t="s">
        <v>728</v>
      </c>
      <c r="M83" s="506" t="s">
        <v>1068</v>
      </c>
      <c r="N83" s="507" t="s">
        <v>1802</v>
      </c>
      <c r="O83" s="484">
        <v>37546.42</v>
      </c>
      <c r="P83" s="335">
        <f t="shared" si="3"/>
        <v>37546.42</v>
      </c>
      <c r="Q83" s="17"/>
    </row>
    <row r="84" spans="2:17" ht="34.5" x14ac:dyDescent="0.3">
      <c r="B84" s="16">
        <v>19</v>
      </c>
      <c r="C84" s="446" t="s">
        <v>1066</v>
      </c>
      <c r="D84" s="505">
        <v>1</v>
      </c>
      <c r="E84" s="613" t="s">
        <v>1022</v>
      </c>
      <c r="F84" s="514" t="s">
        <v>914</v>
      </c>
      <c r="G84" s="513" t="s">
        <v>797</v>
      </c>
      <c r="H84" s="518">
        <v>7.1519000000000004</v>
      </c>
      <c r="I84" s="518">
        <v>7.4950999999999999</v>
      </c>
      <c r="J84" s="445" t="s">
        <v>1086</v>
      </c>
      <c r="K84" s="471" t="s">
        <v>867</v>
      </c>
      <c r="L84" s="504" t="s">
        <v>728</v>
      </c>
      <c r="M84" s="506" t="s">
        <v>1068</v>
      </c>
      <c r="N84" s="507" t="s">
        <v>1802</v>
      </c>
      <c r="O84" s="484">
        <v>37546.42</v>
      </c>
      <c r="P84" s="335">
        <f t="shared" si="3"/>
        <v>37546.42</v>
      </c>
      <c r="Q84" s="17"/>
    </row>
    <row r="85" spans="2:17" ht="34.5" x14ac:dyDescent="0.3">
      <c r="B85" s="16">
        <v>20</v>
      </c>
      <c r="C85" s="446" t="s">
        <v>1066</v>
      </c>
      <c r="D85" s="505">
        <v>1</v>
      </c>
      <c r="E85" s="613" t="s">
        <v>1024</v>
      </c>
      <c r="F85" s="514" t="s">
        <v>916</v>
      </c>
      <c r="G85" s="513" t="s">
        <v>797</v>
      </c>
      <c r="H85" s="518">
        <v>6.7945399999999996</v>
      </c>
      <c r="I85" s="518">
        <v>8.5035000000000007</v>
      </c>
      <c r="J85" s="445" t="s">
        <v>1087</v>
      </c>
      <c r="K85" s="471" t="s">
        <v>867</v>
      </c>
      <c r="L85" s="504" t="s">
        <v>728</v>
      </c>
      <c r="M85" s="506" t="s">
        <v>1068</v>
      </c>
      <c r="N85" s="507" t="s">
        <v>1802</v>
      </c>
      <c r="O85" s="484">
        <v>37546.42</v>
      </c>
      <c r="P85" s="335">
        <f t="shared" si="3"/>
        <v>37546.42</v>
      </c>
      <c r="Q85" s="17"/>
    </row>
    <row r="86" spans="2:17" ht="34.5" x14ac:dyDescent="0.3">
      <c r="B86" s="16">
        <v>21</v>
      </c>
      <c r="C86" s="446" t="s">
        <v>1066</v>
      </c>
      <c r="D86" s="505">
        <v>1</v>
      </c>
      <c r="E86" s="613" t="s">
        <v>1026</v>
      </c>
      <c r="F86" s="514" t="s">
        <v>811</v>
      </c>
      <c r="G86" s="513" t="s">
        <v>797</v>
      </c>
      <c r="H86" s="518">
        <v>7.0015650000000003</v>
      </c>
      <c r="I86" s="518">
        <v>7.7466400000000002</v>
      </c>
      <c r="J86" s="445" t="s">
        <v>1088</v>
      </c>
      <c r="K86" s="471" t="s">
        <v>867</v>
      </c>
      <c r="L86" s="504" t="s">
        <v>728</v>
      </c>
      <c r="M86" s="506" t="s">
        <v>1068</v>
      </c>
      <c r="N86" s="507" t="s">
        <v>1802</v>
      </c>
      <c r="O86" s="484">
        <v>37546.42</v>
      </c>
      <c r="P86" s="335">
        <f t="shared" si="3"/>
        <v>37546.42</v>
      </c>
      <c r="Q86" s="17"/>
    </row>
    <row r="87" spans="2:17" ht="34.5" x14ac:dyDescent="0.3">
      <c r="B87" s="16">
        <v>22</v>
      </c>
      <c r="C87" s="446" t="s">
        <v>1066</v>
      </c>
      <c r="D87" s="505">
        <v>1</v>
      </c>
      <c r="E87" s="613" t="s">
        <v>1028</v>
      </c>
      <c r="F87" s="514" t="s">
        <v>918</v>
      </c>
      <c r="G87" s="513" t="s">
        <v>797</v>
      </c>
      <c r="H87" s="518">
        <v>6.818619</v>
      </c>
      <c r="I87" s="518">
        <v>8.0029719999999998</v>
      </c>
      <c r="J87" s="445" t="s">
        <v>1089</v>
      </c>
      <c r="K87" s="471" t="s">
        <v>867</v>
      </c>
      <c r="L87" s="504" t="s">
        <v>728</v>
      </c>
      <c r="M87" s="506" t="s">
        <v>1068</v>
      </c>
      <c r="N87" s="507" t="s">
        <v>1802</v>
      </c>
      <c r="O87" s="484">
        <v>37546.42</v>
      </c>
      <c r="P87" s="335">
        <f t="shared" si="3"/>
        <v>37546.42</v>
      </c>
      <c r="Q87" s="17"/>
    </row>
    <row r="88" spans="2:17" ht="34.5" x14ac:dyDescent="0.3">
      <c r="B88" s="16">
        <v>23</v>
      </c>
      <c r="C88" s="446" t="s">
        <v>1066</v>
      </c>
      <c r="D88" s="505">
        <v>1</v>
      </c>
      <c r="E88" s="613" t="s">
        <v>1030</v>
      </c>
      <c r="F88" s="514" t="s">
        <v>918</v>
      </c>
      <c r="G88" s="513" t="s">
        <v>797</v>
      </c>
      <c r="H88" s="518">
        <v>7.4467369999999997</v>
      </c>
      <c r="I88" s="518">
        <v>7.9839900000000004</v>
      </c>
      <c r="J88" s="445" t="s">
        <v>1090</v>
      </c>
      <c r="K88" s="471" t="s">
        <v>867</v>
      </c>
      <c r="L88" s="504" t="s">
        <v>728</v>
      </c>
      <c r="M88" s="506" t="s">
        <v>1068</v>
      </c>
      <c r="N88" s="507" t="s">
        <v>1802</v>
      </c>
      <c r="O88" s="484">
        <v>37546.42</v>
      </c>
      <c r="P88" s="335">
        <f t="shared" si="3"/>
        <v>37546.42</v>
      </c>
      <c r="Q88" s="17"/>
    </row>
    <row r="89" spans="2:17" ht="34.5" x14ac:dyDescent="0.3">
      <c r="B89" s="16">
        <v>24</v>
      </c>
      <c r="C89" s="446" t="s">
        <v>1066</v>
      </c>
      <c r="D89" s="505">
        <v>1</v>
      </c>
      <c r="E89" s="613" t="s">
        <v>1032</v>
      </c>
      <c r="F89" s="514" t="s">
        <v>920</v>
      </c>
      <c r="G89" s="513" t="s">
        <v>797</v>
      </c>
      <c r="H89" s="518">
        <v>7.6572810000000002</v>
      </c>
      <c r="I89" s="518">
        <v>8.8684820000000002</v>
      </c>
      <c r="J89" s="445" t="s">
        <v>1091</v>
      </c>
      <c r="K89" s="471" t="s">
        <v>867</v>
      </c>
      <c r="L89" s="504" t="s">
        <v>728</v>
      </c>
      <c r="M89" s="506" t="s">
        <v>1068</v>
      </c>
      <c r="N89" s="507" t="s">
        <v>1802</v>
      </c>
      <c r="O89" s="484">
        <v>37546.42</v>
      </c>
      <c r="P89" s="335">
        <f t="shared" si="3"/>
        <v>37546.42</v>
      </c>
      <c r="Q89" s="17"/>
    </row>
    <row r="90" spans="2:17" ht="34.5" x14ac:dyDescent="0.3">
      <c r="B90" s="16">
        <v>25</v>
      </c>
      <c r="C90" s="446" t="s">
        <v>1066</v>
      </c>
      <c r="D90" s="505">
        <v>1</v>
      </c>
      <c r="E90" s="613" t="s">
        <v>1034</v>
      </c>
      <c r="F90" s="514" t="s">
        <v>920</v>
      </c>
      <c r="G90" s="513" t="s">
        <v>782</v>
      </c>
      <c r="H90" s="518">
        <v>7.5621600000000004</v>
      </c>
      <c r="I90" s="518">
        <v>8.9313970000000005</v>
      </c>
      <c r="J90" s="445" t="s">
        <v>1092</v>
      </c>
      <c r="K90" s="471" t="s">
        <v>867</v>
      </c>
      <c r="L90" s="504" t="s">
        <v>728</v>
      </c>
      <c r="M90" s="506" t="s">
        <v>1068</v>
      </c>
      <c r="N90" s="507" t="s">
        <v>1802</v>
      </c>
      <c r="O90" s="484">
        <v>37546.42</v>
      </c>
      <c r="P90" s="335">
        <f t="shared" si="3"/>
        <v>37546.42</v>
      </c>
      <c r="Q90" s="17"/>
    </row>
    <row r="91" spans="2:17" ht="34.5" x14ac:dyDescent="0.3">
      <c r="B91" s="16">
        <v>26</v>
      </c>
      <c r="C91" s="446" t="s">
        <v>1066</v>
      </c>
      <c r="D91" s="505">
        <v>1</v>
      </c>
      <c r="E91" s="613" t="s">
        <v>1036</v>
      </c>
      <c r="F91" s="514" t="s">
        <v>921</v>
      </c>
      <c r="G91" s="513" t="s">
        <v>782</v>
      </c>
      <c r="H91" s="518">
        <v>7.4987500000000002</v>
      </c>
      <c r="I91" s="518">
        <v>9.6113769999999992</v>
      </c>
      <c r="J91" s="445" t="s">
        <v>1093</v>
      </c>
      <c r="K91" s="471" t="s">
        <v>867</v>
      </c>
      <c r="L91" s="504" t="s">
        <v>728</v>
      </c>
      <c r="M91" s="506" t="s">
        <v>1068</v>
      </c>
      <c r="N91" s="507" t="s">
        <v>1802</v>
      </c>
      <c r="O91" s="484">
        <v>37546.42</v>
      </c>
      <c r="P91" s="335">
        <f t="shared" si="3"/>
        <v>37546.42</v>
      </c>
      <c r="Q91" s="17"/>
    </row>
    <row r="92" spans="2:17" ht="34.5" x14ac:dyDescent="0.3">
      <c r="B92" s="16">
        <v>27</v>
      </c>
      <c r="C92" s="446" t="s">
        <v>1066</v>
      </c>
      <c r="D92" s="505">
        <v>1</v>
      </c>
      <c r="E92" s="613" t="s">
        <v>1038</v>
      </c>
      <c r="F92" s="514" t="s">
        <v>1039</v>
      </c>
      <c r="G92" s="513" t="s">
        <v>782</v>
      </c>
      <c r="H92" s="518">
        <v>7.1411759999999997</v>
      </c>
      <c r="I92" s="518">
        <v>9.0787669999999991</v>
      </c>
      <c r="J92" s="445" t="s">
        <v>1094</v>
      </c>
      <c r="K92" s="471" t="s">
        <v>867</v>
      </c>
      <c r="L92" s="504" t="s">
        <v>728</v>
      </c>
      <c r="M92" s="506" t="s">
        <v>1068</v>
      </c>
      <c r="N92" s="507" t="s">
        <v>1802</v>
      </c>
      <c r="O92" s="484">
        <v>37546.42</v>
      </c>
      <c r="P92" s="335">
        <f t="shared" si="3"/>
        <v>37546.42</v>
      </c>
      <c r="Q92" s="17"/>
    </row>
    <row r="93" spans="2:17" ht="34.5" x14ac:dyDescent="0.3">
      <c r="B93" s="16">
        <v>28</v>
      </c>
      <c r="C93" s="446" t="s">
        <v>1066</v>
      </c>
      <c r="D93" s="505">
        <v>1</v>
      </c>
      <c r="E93" s="613" t="s">
        <v>1041</v>
      </c>
      <c r="F93" s="514" t="s">
        <v>1039</v>
      </c>
      <c r="G93" s="513" t="s">
        <v>782</v>
      </c>
      <c r="H93" s="518">
        <v>7.0611959999999998</v>
      </c>
      <c r="I93" s="518">
        <v>8.9239599999999992</v>
      </c>
      <c r="J93" s="445" t="s">
        <v>1095</v>
      </c>
      <c r="K93" s="471" t="s">
        <v>867</v>
      </c>
      <c r="L93" s="504" t="s">
        <v>728</v>
      </c>
      <c r="M93" s="506" t="s">
        <v>1068</v>
      </c>
      <c r="N93" s="507" t="s">
        <v>1802</v>
      </c>
      <c r="O93" s="484">
        <v>37546.42</v>
      </c>
      <c r="P93" s="335">
        <f t="shared" si="3"/>
        <v>37546.42</v>
      </c>
      <c r="Q93" s="17"/>
    </row>
    <row r="94" spans="2:17" ht="18" customHeight="1" x14ac:dyDescent="0.3">
      <c r="B94" s="16">
        <v>29</v>
      </c>
      <c r="C94" s="446" t="s">
        <v>1066</v>
      </c>
      <c r="D94" s="505">
        <v>1</v>
      </c>
      <c r="E94" s="613" t="s">
        <v>1043</v>
      </c>
      <c r="F94" s="514" t="s">
        <v>925</v>
      </c>
      <c r="G94" s="513" t="s">
        <v>782</v>
      </c>
      <c r="H94" s="518">
        <v>7.0044399999999998</v>
      </c>
      <c r="I94" s="518">
        <v>9.0242570000000004</v>
      </c>
      <c r="J94" s="445" t="s">
        <v>1096</v>
      </c>
      <c r="K94" s="471" t="s">
        <v>867</v>
      </c>
      <c r="L94" s="504" t="s">
        <v>728</v>
      </c>
      <c r="M94" s="506" t="s">
        <v>1068</v>
      </c>
      <c r="N94" s="507" t="s">
        <v>1802</v>
      </c>
      <c r="O94" s="484">
        <v>37546.42</v>
      </c>
      <c r="P94" s="335">
        <f t="shared" si="3"/>
        <v>37546.42</v>
      </c>
      <c r="Q94" s="17"/>
    </row>
    <row r="95" spans="2:17" ht="34.5" x14ac:dyDescent="0.3">
      <c r="B95" s="16">
        <v>30</v>
      </c>
      <c r="C95" s="446" t="s">
        <v>1066</v>
      </c>
      <c r="D95" s="505">
        <v>1</v>
      </c>
      <c r="E95" s="613" t="s">
        <v>1045</v>
      </c>
      <c r="F95" s="514" t="s">
        <v>925</v>
      </c>
      <c r="G95" s="513" t="s">
        <v>782</v>
      </c>
      <c r="H95" s="525">
        <v>7.068371</v>
      </c>
      <c r="I95" s="525">
        <v>8.8117319999999992</v>
      </c>
      <c r="J95" s="445" t="s">
        <v>1097</v>
      </c>
      <c r="K95" s="471" t="s">
        <v>867</v>
      </c>
      <c r="L95" s="504" t="s">
        <v>728</v>
      </c>
      <c r="M95" s="506" t="s">
        <v>1068</v>
      </c>
      <c r="N95" s="507" t="s">
        <v>1802</v>
      </c>
      <c r="O95" s="484">
        <v>37546.42</v>
      </c>
      <c r="P95" s="335">
        <f t="shared" si="3"/>
        <v>37546.42</v>
      </c>
      <c r="Q95" s="17"/>
    </row>
    <row r="96" spans="2:17" ht="34.5" x14ac:dyDescent="0.3">
      <c r="B96" s="16">
        <v>31</v>
      </c>
      <c r="C96" s="446" t="s">
        <v>1066</v>
      </c>
      <c r="D96" s="505">
        <v>1</v>
      </c>
      <c r="E96" s="613" t="s">
        <v>1047</v>
      </c>
      <c r="F96" s="514" t="s">
        <v>890</v>
      </c>
      <c r="G96" s="513" t="s">
        <v>782</v>
      </c>
      <c r="H96" s="525">
        <v>7.8173399999999997</v>
      </c>
      <c r="I96" s="525">
        <v>7.9422899999999998</v>
      </c>
      <c r="J96" s="445" t="s">
        <v>1098</v>
      </c>
      <c r="K96" s="471" t="s">
        <v>867</v>
      </c>
      <c r="L96" s="504" t="s">
        <v>728</v>
      </c>
      <c r="M96" s="506" t="s">
        <v>1068</v>
      </c>
      <c r="N96" s="507" t="s">
        <v>1802</v>
      </c>
      <c r="O96" s="484">
        <v>37546.42</v>
      </c>
      <c r="P96" s="335">
        <f t="shared" si="3"/>
        <v>37546.42</v>
      </c>
      <c r="Q96" s="17"/>
    </row>
    <row r="97" spans="2:17" ht="34.5" x14ac:dyDescent="0.3">
      <c r="B97" s="16">
        <v>32</v>
      </c>
      <c r="C97" s="446" t="s">
        <v>1066</v>
      </c>
      <c r="D97" s="505">
        <v>1</v>
      </c>
      <c r="E97" s="613" t="s">
        <v>1049</v>
      </c>
      <c r="F97" s="514" t="s">
        <v>893</v>
      </c>
      <c r="G97" s="513" t="s">
        <v>782</v>
      </c>
      <c r="H97" s="525">
        <v>8.1069200000000006</v>
      </c>
      <c r="I97" s="525">
        <v>8.5275099999999995</v>
      </c>
      <c r="J97" s="445" t="s">
        <v>1099</v>
      </c>
      <c r="K97" s="471" t="s">
        <v>867</v>
      </c>
      <c r="L97" s="504" t="s">
        <v>728</v>
      </c>
      <c r="M97" s="506" t="s">
        <v>1068</v>
      </c>
      <c r="N97" s="507" t="s">
        <v>1802</v>
      </c>
      <c r="O97" s="484">
        <v>37546.42</v>
      </c>
      <c r="P97" s="335">
        <f t="shared" si="3"/>
        <v>37546.42</v>
      </c>
      <c r="Q97" s="17"/>
    </row>
    <row r="98" spans="2:17" ht="34.5" x14ac:dyDescent="0.3">
      <c r="B98" s="16">
        <v>33</v>
      </c>
      <c r="C98" s="446" t="s">
        <v>1066</v>
      </c>
      <c r="D98" s="505">
        <v>1</v>
      </c>
      <c r="E98" s="613" t="s">
        <v>1051</v>
      </c>
      <c r="F98" s="514" t="s">
        <v>925</v>
      </c>
      <c r="G98" s="513" t="s">
        <v>782</v>
      </c>
      <c r="H98" s="525">
        <v>6.7503409999999997</v>
      </c>
      <c r="I98" s="525">
        <v>9.17652</v>
      </c>
      <c r="J98" s="445" t="s">
        <v>1100</v>
      </c>
      <c r="K98" s="471" t="s">
        <v>867</v>
      </c>
      <c r="L98" s="504" t="s">
        <v>728</v>
      </c>
      <c r="M98" s="506" t="s">
        <v>1068</v>
      </c>
      <c r="N98" s="507" t="s">
        <v>1802</v>
      </c>
      <c r="O98" s="484">
        <v>37546.42</v>
      </c>
      <c r="P98" s="335">
        <f t="shared" si="3"/>
        <v>37546.42</v>
      </c>
      <c r="Q98" s="17"/>
    </row>
    <row r="99" spans="2:17" ht="34.5" x14ac:dyDescent="0.3">
      <c r="B99" s="16">
        <v>34</v>
      </c>
      <c r="C99" s="446" t="s">
        <v>1066</v>
      </c>
      <c r="D99" s="505">
        <v>1</v>
      </c>
      <c r="E99" s="613" t="s">
        <v>1053</v>
      </c>
      <c r="F99" s="514" t="s">
        <v>889</v>
      </c>
      <c r="G99" s="513" t="s">
        <v>782</v>
      </c>
      <c r="H99" s="525">
        <v>7.5409800000000002</v>
      </c>
      <c r="I99" s="525">
        <v>7.7455400000000001</v>
      </c>
      <c r="J99" s="445" t="s">
        <v>1101</v>
      </c>
      <c r="K99" s="471" t="s">
        <v>867</v>
      </c>
      <c r="L99" s="504" t="s">
        <v>728</v>
      </c>
      <c r="M99" s="506" t="s">
        <v>1068</v>
      </c>
      <c r="N99" s="507" t="s">
        <v>1802</v>
      </c>
      <c r="O99" s="484">
        <v>37546.42</v>
      </c>
      <c r="P99" s="335">
        <f t="shared" si="3"/>
        <v>37546.42</v>
      </c>
      <c r="Q99" s="17"/>
    </row>
    <row r="100" spans="2:17" ht="34.5" x14ac:dyDescent="0.3">
      <c r="B100" s="16">
        <v>35</v>
      </c>
      <c r="C100" s="446" t="s">
        <v>1066</v>
      </c>
      <c r="D100" s="505">
        <v>1</v>
      </c>
      <c r="E100" s="613" t="s">
        <v>1055</v>
      </c>
      <c r="F100" s="514" t="s">
        <v>925</v>
      </c>
      <c r="G100" s="513" t="s">
        <v>782</v>
      </c>
      <c r="H100" s="525">
        <v>6.9648899999999996</v>
      </c>
      <c r="I100" s="525">
        <v>9.11951</v>
      </c>
      <c r="J100" s="445" t="s">
        <v>1102</v>
      </c>
      <c r="K100" s="471" t="s">
        <v>867</v>
      </c>
      <c r="L100" s="504" t="s">
        <v>728</v>
      </c>
      <c r="M100" s="506" t="s">
        <v>1068</v>
      </c>
      <c r="N100" s="507" t="s">
        <v>1802</v>
      </c>
      <c r="O100" s="484">
        <v>37546.42</v>
      </c>
      <c r="P100" s="335">
        <f t="shared" si="3"/>
        <v>37546.42</v>
      </c>
      <c r="Q100" s="17"/>
    </row>
    <row r="101" spans="2:17" ht="34.5" x14ac:dyDescent="0.3">
      <c r="B101" s="16">
        <v>36</v>
      </c>
      <c r="C101" s="446" t="s">
        <v>1066</v>
      </c>
      <c r="D101" s="505">
        <v>1</v>
      </c>
      <c r="E101" s="613" t="s">
        <v>1057</v>
      </c>
      <c r="F101" s="514" t="s">
        <v>904</v>
      </c>
      <c r="G101" s="513" t="s">
        <v>782</v>
      </c>
      <c r="H101" s="525">
        <v>6.8456900000000003</v>
      </c>
      <c r="I101" s="525">
        <v>9.2908600000000003</v>
      </c>
      <c r="J101" s="445" t="s">
        <v>1103</v>
      </c>
      <c r="K101" s="471" t="s">
        <v>867</v>
      </c>
      <c r="L101" s="504" t="s">
        <v>728</v>
      </c>
      <c r="M101" s="506" t="s">
        <v>1068</v>
      </c>
      <c r="N101" s="507" t="s">
        <v>1802</v>
      </c>
      <c r="O101" s="484">
        <v>37546.42</v>
      </c>
      <c r="P101" s="335">
        <f t="shared" si="3"/>
        <v>37546.42</v>
      </c>
      <c r="Q101" s="17"/>
    </row>
    <row r="102" spans="2:17" ht="34.5" x14ac:dyDescent="0.3">
      <c r="B102" s="16">
        <v>37</v>
      </c>
      <c r="C102" s="446" t="s">
        <v>1066</v>
      </c>
      <c r="D102" s="505">
        <v>1</v>
      </c>
      <c r="E102" s="613" t="s">
        <v>1059</v>
      </c>
      <c r="F102" s="514" t="s">
        <v>1008</v>
      </c>
      <c r="G102" s="513" t="s">
        <v>797</v>
      </c>
      <c r="H102" s="525">
        <v>7.2860500000000004</v>
      </c>
      <c r="I102" s="525">
        <v>8.5421499999999995</v>
      </c>
      <c r="J102" s="445" t="s">
        <v>1104</v>
      </c>
      <c r="K102" s="471" t="s">
        <v>867</v>
      </c>
      <c r="L102" s="504" t="s">
        <v>728</v>
      </c>
      <c r="M102" s="506" t="s">
        <v>1068</v>
      </c>
      <c r="N102" s="507" t="s">
        <v>1802</v>
      </c>
      <c r="O102" s="484">
        <v>37546.42</v>
      </c>
      <c r="P102" s="335">
        <f t="shared" si="3"/>
        <v>37546.42</v>
      </c>
      <c r="Q102" s="17"/>
    </row>
    <row r="103" spans="2:17" ht="34.5" x14ac:dyDescent="0.3">
      <c r="B103" s="16">
        <v>38</v>
      </c>
      <c r="C103" s="446" t="s">
        <v>1066</v>
      </c>
      <c r="D103" s="505">
        <v>1</v>
      </c>
      <c r="E103" s="613" t="s">
        <v>1061</v>
      </c>
      <c r="F103" s="514" t="s">
        <v>916</v>
      </c>
      <c r="G103" s="513" t="s">
        <v>797</v>
      </c>
      <c r="H103" s="525">
        <v>6.8319799999999997</v>
      </c>
      <c r="I103" s="525">
        <v>8.3917400000000004</v>
      </c>
      <c r="J103" s="445" t="s">
        <v>1105</v>
      </c>
      <c r="K103" s="471" t="s">
        <v>867</v>
      </c>
      <c r="L103" s="504" t="s">
        <v>728</v>
      </c>
      <c r="M103" s="506" t="s">
        <v>1068</v>
      </c>
      <c r="N103" s="507" t="s">
        <v>1802</v>
      </c>
      <c r="O103" s="484">
        <v>37546.42</v>
      </c>
      <c r="P103" s="335">
        <f t="shared" si="3"/>
        <v>37546.42</v>
      </c>
      <c r="Q103" s="17"/>
    </row>
    <row r="104" spans="2:17" ht="34.5" x14ac:dyDescent="0.3">
      <c r="B104" s="16">
        <v>39</v>
      </c>
      <c r="C104" s="446" t="s">
        <v>1066</v>
      </c>
      <c r="D104" s="505">
        <v>1</v>
      </c>
      <c r="E104" s="613" t="s">
        <v>1043</v>
      </c>
      <c r="F104" s="514" t="s">
        <v>925</v>
      </c>
      <c r="G104" s="513" t="s">
        <v>797</v>
      </c>
      <c r="H104" s="525">
        <v>7.0044399999999998</v>
      </c>
      <c r="I104" s="525">
        <v>9.0242570000000004</v>
      </c>
      <c r="J104" s="445" t="s">
        <v>1106</v>
      </c>
      <c r="K104" s="471" t="s">
        <v>867</v>
      </c>
      <c r="L104" s="504" t="s">
        <v>728</v>
      </c>
      <c r="M104" s="506" t="s">
        <v>1068</v>
      </c>
      <c r="N104" s="507" t="s">
        <v>1802</v>
      </c>
      <c r="O104" s="484">
        <v>37546.42</v>
      </c>
      <c r="P104" s="335">
        <f t="shared" si="3"/>
        <v>37546.42</v>
      </c>
      <c r="Q104" s="17"/>
    </row>
    <row r="105" spans="2:17" ht="34.5" x14ac:dyDescent="0.3">
      <c r="B105" s="16">
        <v>40</v>
      </c>
      <c r="C105" s="446" t="s">
        <v>1066</v>
      </c>
      <c r="D105" s="505">
        <v>1</v>
      </c>
      <c r="E105" s="613" t="s">
        <v>1064</v>
      </c>
      <c r="F105" s="514" t="s">
        <v>811</v>
      </c>
      <c r="G105" s="513" t="s">
        <v>797</v>
      </c>
      <c r="H105" s="525">
        <v>7.1916219999999997</v>
      </c>
      <c r="I105" s="525">
        <v>7.7464893000000004</v>
      </c>
      <c r="J105" s="445" t="s">
        <v>1107</v>
      </c>
      <c r="K105" s="471" t="s">
        <v>867</v>
      </c>
      <c r="L105" s="504" t="s">
        <v>728</v>
      </c>
      <c r="M105" s="506" t="s">
        <v>1068</v>
      </c>
      <c r="N105" s="507" t="s">
        <v>1802</v>
      </c>
      <c r="O105" s="484">
        <v>37546.42</v>
      </c>
      <c r="P105" s="335">
        <f t="shared" si="3"/>
        <v>37546.42</v>
      </c>
      <c r="Q105" s="17"/>
    </row>
    <row r="106" spans="2:17" ht="18" customHeight="1" x14ac:dyDescent="0.3">
      <c r="C106" s="81" t="s">
        <v>566</v>
      </c>
      <c r="D106" s="71"/>
      <c r="E106" s="327"/>
      <c r="F106" s="327"/>
      <c r="G106" s="68"/>
      <c r="H106" s="68"/>
      <c r="I106" s="68"/>
      <c r="J106" s="74"/>
      <c r="K106" s="130"/>
      <c r="L106" s="68"/>
      <c r="M106" s="17"/>
      <c r="N106" s="17"/>
      <c r="O106" s="324">
        <v>0</v>
      </c>
      <c r="P106" s="335">
        <f t="shared" si="3"/>
        <v>0</v>
      </c>
      <c r="Q106" s="17"/>
    </row>
    <row r="107" spans="2:17" x14ac:dyDescent="0.3">
      <c r="C107" s="54"/>
    </row>
    <row r="108" spans="2:17" x14ac:dyDescent="0.3">
      <c r="C108" s="54"/>
    </row>
    <row r="109" spans="2:17" ht="55.5" customHeight="1" x14ac:dyDescent="0.3">
      <c r="B109" s="82"/>
      <c r="C109" s="82"/>
      <c r="D109" s="82"/>
      <c r="E109" s="219"/>
      <c r="F109" s="219"/>
      <c r="G109" s="86"/>
      <c r="H109" s="82"/>
      <c r="I109" s="86"/>
      <c r="J109" s="86"/>
      <c r="K109" s="82"/>
      <c r="L109" s="82"/>
      <c r="P109" s="929" t="s">
        <v>610</v>
      </c>
      <c r="Q109" s="929"/>
    </row>
    <row r="110" spans="2:17" ht="25.5" customHeight="1" x14ac:dyDescent="0.3">
      <c r="B110" s="320" t="s">
        <v>605</v>
      </c>
      <c r="C110" s="321"/>
      <c r="D110" s="322"/>
      <c r="E110" s="322"/>
      <c r="F110" s="322"/>
      <c r="G110" s="322"/>
      <c r="H110" s="322"/>
      <c r="I110" s="322"/>
      <c r="J110" s="322"/>
      <c r="K110" s="322"/>
      <c r="L110" s="322"/>
      <c r="M110" s="322"/>
      <c r="N110" s="322"/>
      <c r="O110" s="322"/>
      <c r="P110" s="930">
        <f>SUM(P114:P154)</f>
        <v>8160000</v>
      </c>
      <c r="Q110" s="931"/>
    </row>
    <row r="111" spans="2:17" ht="17.45" customHeight="1" x14ac:dyDescent="0.3">
      <c r="B111" s="919" t="s">
        <v>182</v>
      </c>
      <c r="C111" s="920"/>
      <c r="D111" s="920"/>
      <c r="E111" s="920"/>
      <c r="F111" s="920"/>
      <c r="G111" s="920"/>
      <c r="H111" s="920"/>
      <c r="I111" s="920"/>
      <c r="J111" s="920"/>
      <c r="K111" s="920"/>
      <c r="L111" s="920"/>
      <c r="M111" s="920"/>
      <c r="N111" s="920"/>
      <c r="O111" s="920"/>
      <c r="P111" s="920"/>
      <c r="Q111" s="921"/>
    </row>
    <row r="112" spans="2:17" ht="16.5" customHeight="1" x14ac:dyDescent="0.3">
      <c r="B112" s="833" t="s">
        <v>35</v>
      </c>
      <c r="C112" s="844" t="s">
        <v>177</v>
      </c>
      <c r="D112" s="837" t="s">
        <v>466</v>
      </c>
      <c r="E112" s="844" t="s">
        <v>183</v>
      </c>
      <c r="F112" s="837" t="s">
        <v>100</v>
      </c>
      <c r="G112" s="837" t="s">
        <v>174</v>
      </c>
      <c r="H112" s="917" t="s">
        <v>171</v>
      </c>
      <c r="I112" s="918"/>
      <c r="J112" s="844" t="s">
        <v>173</v>
      </c>
      <c r="K112" s="837" t="s">
        <v>423</v>
      </c>
      <c r="L112" s="837" t="s">
        <v>465</v>
      </c>
      <c r="M112" s="837" t="s">
        <v>97</v>
      </c>
      <c r="N112" s="837" t="s">
        <v>168</v>
      </c>
      <c r="O112" s="837" t="s">
        <v>51</v>
      </c>
      <c r="P112" s="916" t="s">
        <v>422</v>
      </c>
      <c r="Q112" s="840" t="s">
        <v>169</v>
      </c>
    </row>
    <row r="113" spans="2:17" ht="33.950000000000003" customHeight="1" x14ac:dyDescent="0.3">
      <c r="B113" s="833"/>
      <c r="C113" s="844"/>
      <c r="D113" s="839"/>
      <c r="E113" s="844"/>
      <c r="F113" s="839"/>
      <c r="G113" s="839"/>
      <c r="H113" s="66" t="s">
        <v>172</v>
      </c>
      <c r="I113" s="287" t="s">
        <v>101</v>
      </c>
      <c r="J113" s="844"/>
      <c r="K113" s="839"/>
      <c r="L113" s="839"/>
      <c r="M113" s="839"/>
      <c r="N113" s="839"/>
      <c r="O113" s="839"/>
      <c r="P113" s="916"/>
      <c r="Q113" s="842"/>
    </row>
    <row r="114" spans="2:17" ht="34.5" x14ac:dyDescent="0.3">
      <c r="B114" s="122">
        <v>1</v>
      </c>
      <c r="C114" s="446" t="s">
        <v>1108</v>
      </c>
      <c r="D114" s="498">
        <v>2</v>
      </c>
      <c r="E114" s="612" t="s">
        <v>805</v>
      </c>
      <c r="F114" s="464" t="s">
        <v>925</v>
      </c>
      <c r="G114" s="513" t="s">
        <v>782</v>
      </c>
      <c r="H114" s="503">
        <v>6.8137369999999997</v>
      </c>
      <c r="I114" s="503">
        <v>9.0431570000000008</v>
      </c>
      <c r="J114" s="445" t="s">
        <v>1109</v>
      </c>
      <c r="K114" s="496" t="s">
        <v>1110</v>
      </c>
      <c r="L114" s="500" t="s">
        <v>728</v>
      </c>
      <c r="M114" s="459" t="s">
        <v>1111</v>
      </c>
      <c r="N114" s="457" t="s">
        <v>1803</v>
      </c>
      <c r="O114" s="484">
        <v>102000</v>
      </c>
      <c r="P114" s="335">
        <f>D114*O114</f>
        <v>204000</v>
      </c>
      <c r="Q114" s="325"/>
    </row>
    <row r="115" spans="2:17" ht="34.5" x14ac:dyDescent="0.3">
      <c r="B115" s="122">
        <v>2</v>
      </c>
      <c r="C115" s="446" t="s">
        <v>1108</v>
      </c>
      <c r="D115" s="498">
        <v>2</v>
      </c>
      <c r="E115" s="452" t="s">
        <v>796</v>
      </c>
      <c r="F115" s="514" t="s">
        <v>987</v>
      </c>
      <c r="G115" s="513" t="s">
        <v>797</v>
      </c>
      <c r="H115" s="516">
        <v>7.7075760000000004</v>
      </c>
      <c r="I115" s="516">
        <v>8.532451</v>
      </c>
      <c r="J115" s="445" t="s">
        <v>1112</v>
      </c>
      <c r="K115" s="496" t="s">
        <v>1110</v>
      </c>
      <c r="L115" s="500" t="s">
        <v>728</v>
      </c>
      <c r="M115" s="459" t="s">
        <v>1111</v>
      </c>
      <c r="N115" s="645" t="s">
        <v>1803</v>
      </c>
      <c r="O115" s="484">
        <v>102000</v>
      </c>
      <c r="P115" s="335">
        <f t="shared" ref="P115:P154" si="4">D115*O115</f>
        <v>204000</v>
      </c>
      <c r="Q115" s="17"/>
    </row>
    <row r="116" spans="2:17" ht="34.5" x14ac:dyDescent="0.3">
      <c r="B116" s="122">
        <v>3</v>
      </c>
      <c r="C116" s="446" t="s">
        <v>1108</v>
      </c>
      <c r="D116" s="498">
        <v>2</v>
      </c>
      <c r="E116" s="452" t="s">
        <v>808</v>
      </c>
      <c r="F116" s="514" t="s">
        <v>925</v>
      </c>
      <c r="G116" s="513" t="s">
        <v>782</v>
      </c>
      <c r="H116" s="517">
        <v>6.7507200000000003</v>
      </c>
      <c r="I116" s="517">
        <v>9.2666699999999995</v>
      </c>
      <c r="J116" s="445" t="s">
        <v>1113</v>
      </c>
      <c r="K116" s="496" t="s">
        <v>1110</v>
      </c>
      <c r="L116" s="500" t="s">
        <v>728</v>
      </c>
      <c r="M116" s="459" t="s">
        <v>1111</v>
      </c>
      <c r="N116" s="645" t="s">
        <v>1803</v>
      </c>
      <c r="O116" s="484">
        <v>102000</v>
      </c>
      <c r="P116" s="335">
        <f t="shared" si="4"/>
        <v>204000</v>
      </c>
      <c r="Q116" s="17"/>
    </row>
    <row r="117" spans="2:17" ht="34.5" x14ac:dyDescent="0.3">
      <c r="B117" s="122">
        <v>4</v>
      </c>
      <c r="C117" s="446" t="s">
        <v>1108</v>
      </c>
      <c r="D117" s="498">
        <v>2</v>
      </c>
      <c r="E117" s="613" t="s">
        <v>990</v>
      </c>
      <c r="F117" s="514" t="s">
        <v>892</v>
      </c>
      <c r="G117" s="513" t="s">
        <v>782</v>
      </c>
      <c r="H117" s="518">
        <v>7.324427</v>
      </c>
      <c r="I117" s="518">
        <v>8.7457949999999993</v>
      </c>
      <c r="J117" s="445" t="s">
        <v>1114</v>
      </c>
      <c r="K117" s="496" t="s">
        <v>1110</v>
      </c>
      <c r="L117" s="500" t="s">
        <v>728</v>
      </c>
      <c r="M117" s="459" t="s">
        <v>1111</v>
      </c>
      <c r="N117" s="645" t="s">
        <v>1803</v>
      </c>
      <c r="O117" s="484">
        <v>102000</v>
      </c>
      <c r="P117" s="335">
        <f t="shared" si="4"/>
        <v>204000</v>
      </c>
      <c r="Q117" s="17"/>
    </row>
    <row r="118" spans="2:17" ht="34.5" x14ac:dyDescent="0.3">
      <c r="B118" s="122">
        <v>5</v>
      </c>
      <c r="C118" s="446" t="s">
        <v>1108</v>
      </c>
      <c r="D118" s="498">
        <v>2</v>
      </c>
      <c r="E118" s="455" t="s">
        <v>814</v>
      </c>
      <c r="F118" s="514" t="s">
        <v>925</v>
      </c>
      <c r="G118" s="513" t="s">
        <v>782</v>
      </c>
      <c r="H118" s="518">
        <v>6.8022200000000002</v>
      </c>
      <c r="I118" s="519">
        <v>9.0302769999999999</v>
      </c>
      <c r="J118" s="445" t="s">
        <v>1115</v>
      </c>
      <c r="K118" s="496" t="s">
        <v>1110</v>
      </c>
      <c r="L118" s="500" t="s">
        <v>728</v>
      </c>
      <c r="M118" s="459" t="s">
        <v>1111</v>
      </c>
      <c r="N118" s="645" t="s">
        <v>1803</v>
      </c>
      <c r="O118" s="484">
        <v>102000</v>
      </c>
      <c r="P118" s="335">
        <f t="shared" si="4"/>
        <v>204000</v>
      </c>
      <c r="Q118" s="17"/>
    </row>
    <row r="119" spans="2:17" ht="34.5" x14ac:dyDescent="0.3">
      <c r="B119" s="122">
        <v>6</v>
      </c>
      <c r="C119" s="446" t="s">
        <v>1108</v>
      </c>
      <c r="D119" s="498">
        <v>2</v>
      </c>
      <c r="E119" s="452" t="s">
        <v>810</v>
      </c>
      <c r="F119" s="514" t="s">
        <v>811</v>
      </c>
      <c r="G119" s="513" t="s">
        <v>782</v>
      </c>
      <c r="H119" s="520">
        <v>6.9729229999999998</v>
      </c>
      <c r="I119" s="520">
        <v>7.9236810000000002</v>
      </c>
      <c r="J119" s="445" t="s">
        <v>1116</v>
      </c>
      <c r="K119" s="496" t="s">
        <v>1110</v>
      </c>
      <c r="L119" s="500" t="s">
        <v>728</v>
      </c>
      <c r="M119" s="459" t="s">
        <v>1111</v>
      </c>
      <c r="N119" s="645" t="s">
        <v>1803</v>
      </c>
      <c r="O119" s="484">
        <v>102000</v>
      </c>
      <c r="P119" s="335">
        <f t="shared" si="4"/>
        <v>204000</v>
      </c>
      <c r="Q119" s="17"/>
    </row>
    <row r="120" spans="2:17" ht="34.5" x14ac:dyDescent="0.3">
      <c r="B120" s="122">
        <v>7</v>
      </c>
      <c r="C120" s="446" t="s">
        <v>1108</v>
      </c>
      <c r="D120" s="498">
        <v>2</v>
      </c>
      <c r="E120" s="613" t="s">
        <v>994</v>
      </c>
      <c r="F120" s="514" t="s">
        <v>995</v>
      </c>
      <c r="G120" s="513" t="s">
        <v>782</v>
      </c>
      <c r="H120" s="518">
        <v>7.5011729999999996</v>
      </c>
      <c r="I120" s="518">
        <v>8.4424430000000008</v>
      </c>
      <c r="J120" s="445" t="s">
        <v>1117</v>
      </c>
      <c r="K120" s="496" t="s">
        <v>1110</v>
      </c>
      <c r="L120" s="500" t="s">
        <v>728</v>
      </c>
      <c r="M120" s="459" t="s">
        <v>1111</v>
      </c>
      <c r="N120" s="645" t="s">
        <v>1803</v>
      </c>
      <c r="O120" s="484">
        <v>102000</v>
      </c>
      <c r="P120" s="335">
        <f t="shared" si="4"/>
        <v>204000</v>
      </c>
      <c r="Q120" s="17"/>
    </row>
    <row r="121" spans="2:17" ht="34.5" x14ac:dyDescent="0.3">
      <c r="B121" s="122">
        <v>8</v>
      </c>
      <c r="C121" s="446" t="s">
        <v>1108</v>
      </c>
      <c r="D121" s="498">
        <v>2</v>
      </c>
      <c r="E121" s="613" t="s">
        <v>997</v>
      </c>
      <c r="F121" s="514" t="s">
        <v>998</v>
      </c>
      <c r="G121" s="513" t="s">
        <v>782</v>
      </c>
      <c r="H121" s="518">
        <v>7.5517130000000003</v>
      </c>
      <c r="I121" s="518">
        <v>8.1949461600000006</v>
      </c>
      <c r="J121" s="445" t="s">
        <v>1118</v>
      </c>
      <c r="K121" s="496" t="s">
        <v>1110</v>
      </c>
      <c r="L121" s="500" t="s">
        <v>728</v>
      </c>
      <c r="M121" s="459" t="s">
        <v>1111</v>
      </c>
      <c r="N121" s="645" t="s">
        <v>1803</v>
      </c>
      <c r="O121" s="484">
        <v>102000</v>
      </c>
      <c r="P121" s="335">
        <f t="shared" si="4"/>
        <v>204000</v>
      </c>
      <c r="Q121" s="17"/>
    </row>
    <row r="122" spans="2:17" ht="34.5" x14ac:dyDescent="0.3">
      <c r="B122" s="122">
        <v>9</v>
      </c>
      <c r="C122" s="446" t="s">
        <v>1108</v>
      </c>
      <c r="D122" s="498">
        <v>2</v>
      </c>
      <c r="E122" s="613" t="s">
        <v>1000</v>
      </c>
      <c r="F122" s="514" t="s">
        <v>1001</v>
      </c>
      <c r="G122" s="513" t="s">
        <v>782</v>
      </c>
      <c r="H122" s="518">
        <v>7.2345100000000002</v>
      </c>
      <c r="I122" s="518">
        <v>9.6479300000000006</v>
      </c>
      <c r="J122" s="445" t="s">
        <v>1119</v>
      </c>
      <c r="K122" s="496" t="s">
        <v>1110</v>
      </c>
      <c r="L122" s="500" t="s">
        <v>728</v>
      </c>
      <c r="M122" s="459" t="s">
        <v>1111</v>
      </c>
      <c r="N122" s="645" t="s">
        <v>1803</v>
      </c>
      <c r="O122" s="484">
        <v>102000</v>
      </c>
      <c r="P122" s="335">
        <f t="shared" si="4"/>
        <v>204000</v>
      </c>
      <c r="Q122" s="17"/>
    </row>
    <row r="123" spans="2:17" ht="34.5" x14ac:dyDescent="0.3">
      <c r="B123" s="122">
        <v>10</v>
      </c>
      <c r="C123" s="446" t="s">
        <v>1108</v>
      </c>
      <c r="D123" s="498">
        <v>2</v>
      </c>
      <c r="E123" s="613" t="s">
        <v>1003</v>
      </c>
      <c r="F123" s="514" t="s">
        <v>998</v>
      </c>
      <c r="G123" s="513" t="s">
        <v>782</v>
      </c>
      <c r="H123" s="518">
        <v>7.4308800000000002</v>
      </c>
      <c r="I123" s="518">
        <v>8.1560600000000001</v>
      </c>
      <c r="J123" s="445" t="s">
        <v>1120</v>
      </c>
      <c r="K123" s="496" t="s">
        <v>1110</v>
      </c>
      <c r="L123" s="500" t="s">
        <v>728</v>
      </c>
      <c r="M123" s="459" t="s">
        <v>1111</v>
      </c>
      <c r="N123" s="645" t="s">
        <v>1803</v>
      </c>
      <c r="O123" s="484">
        <v>102000</v>
      </c>
      <c r="P123" s="335">
        <f t="shared" si="4"/>
        <v>204000</v>
      </c>
      <c r="Q123" s="17"/>
    </row>
    <row r="124" spans="2:17" ht="34.5" x14ac:dyDescent="0.3">
      <c r="B124" s="122">
        <v>11</v>
      </c>
      <c r="C124" s="446" t="s">
        <v>1108</v>
      </c>
      <c r="D124" s="498">
        <v>2</v>
      </c>
      <c r="E124" s="613" t="s">
        <v>1005</v>
      </c>
      <c r="F124" s="514" t="s">
        <v>1001</v>
      </c>
      <c r="G124" s="513" t="s">
        <v>782</v>
      </c>
      <c r="H124" s="518">
        <v>7.4596720000000003</v>
      </c>
      <c r="I124" s="518">
        <v>9.4476879999999994</v>
      </c>
      <c r="J124" s="445" t="s">
        <v>1121</v>
      </c>
      <c r="K124" s="496" t="s">
        <v>1110</v>
      </c>
      <c r="L124" s="500" t="s">
        <v>728</v>
      </c>
      <c r="M124" s="459" t="s">
        <v>1111</v>
      </c>
      <c r="N124" s="645" t="s">
        <v>1803</v>
      </c>
      <c r="O124" s="484">
        <v>102000</v>
      </c>
      <c r="P124" s="335">
        <f t="shared" si="4"/>
        <v>204000</v>
      </c>
      <c r="Q124" s="17"/>
    </row>
    <row r="125" spans="2:17" ht="34.5" x14ac:dyDescent="0.3">
      <c r="B125" s="122">
        <v>12</v>
      </c>
      <c r="C125" s="446" t="s">
        <v>1108</v>
      </c>
      <c r="D125" s="498">
        <v>2</v>
      </c>
      <c r="E125" s="613" t="s">
        <v>1007</v>
      </c>
      <c r="F125" s="514" t="s">
        <v>1008</v>
      </c>
      <c r="G125" s="513" t="s">
        <v>782</v>
      </c>
      <c r="H125" s="521">
        <v>6.5728799999999996</v>
      </c>
      <c r="I125" s="522">
        <v>8.4640599999999999</v>
      </c>
      <c r="J125" s="445" t="s">
        <v>1122</v>
      </c>
      <c r="K125" s="496" t="s">
        <v>1110</v>
      </c>
      <c r="L125" s="500" t="s">
        <v>728</v>
      </c>
      <c r="M125" s="459" t="s">
        <v>1111</v>
      </c>
      <c r="N125" s="645" t="s">
        <v>1803</v>
      </c>
      <c r="O125" s="484">
        <v>102000</v>
      </c>
      <c r="P125" s="335">
        <f t="shared" si="4"/>
        <v>204000</v>
      </c>
      <c r="Q125" s="17"/>
    </row>
    <row r="126" spans="2:17" ht="34.5" x14ac:dyDescent="0.3">
      <c r="B126" s="122">
        <v>13</v>
      </c>
      <c r="C126" s="446" t="s">
        <v>1108</v>
      </c>
      <c r="D126" s="498">
        <v>2</v>
      </c>
      <c r="E126" s="452" t="s">
        <v>784</v>
      </c>
      <c r="F126" s="514" t="s">
        <v>1010</v>
      </c>
      <c r="G126" s="513" t="s">
        <v>782</v>
      </c>
      <c r="H126" s="523">
        <v>7.18323</v>
      </c>
      <c r="I126" s="524">
        <v>9.4682200000000005</v>
      </c>
      <c r="J126" s="445" t="s">
        <v>1123</v>
      </c>
      <c r="K126" s="496" t="s">
        <v>1110</v>
      </c>
      <c r="L126" s="500" t="s">
        <v>728</v>
      </c>
      <c r="M126" s="459" t="s">
        <v>1111</v>
      </c>
      <c r="N126" s="645" t="s">
        <v>1803</v>
      </c>
      <c r="O126" s="484">
        <v>102000</v>
      </c>
      <c r="P126" s="335">
        <f t="shared" si="4"/>
        <v>204000</v>
      </c>
      <c r="Q126" s="17"/>
    </row>
    <row r="127" spans="2:17" ht="34.5" x14ac:dyDescent="0.3">
      <c r="B127" s="122">
        <v>14</v>
      </c>
      <c r="C127" s="446" t="s">
        <v>1108</v>
      </c>
      <c r="D127" s="498">
        <v>2</v>
      </c>
      <c r="E127" s="613" t="s">
        <v>1012</v>
      </c>
      <c r="F127" s="514" t="s">
        <v>921</v>
      </c>
      <c r="G127" s="513" t="s">
        <v>782</v>
      </c>
      <c r="H127" s="525">
        <v>7.7540250999999998</v>
      </c>
      <c r="I127" s="525">
        <v>9.7590541999999996</v>
      </c>
      <c r="J127" s="445" t="s">
        <v>1124</v>
      </c>
      <c r="K127" s="496" t="s">
        <v>1110</v>
      </c>
      <c r="L127" s="500" t="s">
        <v>728</v>
      </c>
      <c r="M127" s="459" t="s">
        <v>1111</v>
      </c>
      <c r="N127" s="645" t="s">
        <v>1803</v>
      </c>
      <c r="O127" s="484">
        <v>102000</v>
      </c>
      <c r="P127" s="335">
        <f t="shared" si="4"/>
        <v>204000</v>
      </c>
      <c r="Q127" s="17"/>
    </row>
    <row r="128" spans="2:17" ht="34.5" x14ac:dyDescent="0.3">
      <c r="B128" s="122">
        <v>15</v>
      </c>
      <c r="C128" s="446" t="s">
        <v>1108</v>
      </c>
      <c r="D128" s="498">
        <v>2</v>
      </c>
      <c r="E128" s="613" t="s">
        <v>1014</v>
      </c>
      <c r="F128" s="514" t="s">
        <v>987</v>
      </c>
      <c r="G128" s="513" t="s">
        <v>797</v>
      </c>
      <c r="H128" s="518">
        <v>7.6770880000000004</v>
      </c>
      <c r="I128" s="518">
        <v>8.5698849999999993</v>
      </c>
      <c r="J128" s="445" t="s">
        <v>1125</v>
      </c>
      <c r="K128" s="496" t="s">
        <v>1110</v>
      </c>
      <c r="L128" s="500" t="s">
        <v>728</v>
      </c>
      <c r="M128" s="459" t="s">
        <v>1111</v>
      </c>
      <c r="N128" s="645" t="s">
        <v>1803</v>
      </c>
      <c r="O128" s="484">
        <v>102000</v>
      </c>
      <c r="P128" s="335">
        <f t="shared" si="4"/>
        <v>204000</v>
      </c>
      <c r="Q128" s="17"/>
    </row>
    <row r="129" spans="2:17" ht="34.5" x14ac:dyDescent="0.3">
      <c r="B129" s="122">
        <v>16</v>
      </c>
      <c r="C129" s="446" t="s">
        <v>1108</v>
      </c>
      <c r="D129" s="498">
        <v>2</v>
      </c>
      <c r="E129" s="613" t="s">
        <v>1016</v>
      </c>
      <c r="F129" s="514" t="s">
        <v>987</v>
      </c>
      <c r="G129" s="513" t="s">
        <v>797</v>
      </c>
      <c r="H129" s="518">
        <v>7.7390600000000003</v>
      </c>
      <c r="I129" s="518">
        <v>8.5202799999999996</v>
      </c>
      <c r="J129" s="445" t="s">
        <v>1126</v>
      </c>
      <c r="K129" s="496" t="s">
        <v>1110</v>
      </c>
      <c r="L129" s="500" t="s">
        <v>728</v>
      </c>
      <c r="M129" s="459" t="s">
        <v>1111</v>
      </c>
      <c r="N129" s="645" t="s">
        <v>1803</v>
      </c>
      <c r="O129" s="484">
        <v>102000</v>
      </c>
      <c r="P129" s="335">
        <f t="shared" si="4"/>
        <v>204000</v>
      </c>
      <c r="Q129" s="17"/>
    </row>
    <row r="130" spans="2:17" ht="34.5" x14ac:dyDescent="0.3">
      <c r="B130" s="16">
        <v>17</v>
      </c>
      <c r="C130" s="446" t="s">
        <v>1108</v>
      </c>
      <c r="D130" s="498">
        <v>2</v>
      </c>
      <c r="E130" s="613" t="s">
        <v>1018</v>
      </c>
      <c r="F130" s="514" t="s">
        <v>921</v>
      </c>
      <c r="G130" s="513" t="s">
        <v>782</v>
      </c>
      <c r="H130" s="527">
        <v>7.7544125099999999</v>
      </c>
      <c r="I130" s="528">
        <v>9.7590523999999998</v>
      </c>
      <c r="J130" s="445" t="s">
        <v>1127</v>
      </c>
      <c r="K130" s="496" t="s">
        <v>1110</v>
      </c>
      <c r="L130" s="500" t="s">
        <v>728</v>
      </c>
      <c r="M130" s="459" t="s">
        <v>1111</v>
      </c>
      <c r="N130" s="645" t="s">
        <v>1803</v>
      </c>
      <c r="O130" s="484">
        <v>102000</v>
      </c>
      <c r="P130" s="335">
        <f t="shared" si="4"/>
        <v>204000</v>
      </c>
      <c r="Q130" s="17"/>
    </row>
    <row r="131" spans="2:17" ht="34.5" x14ac:dyDescent="0.3">
      <c r="B131" s="16">
        <v>18</v>
      </c>
      <c r="C131" s="446" t="s">
        <v>1108</v>
      </c>
      <c r="D131" s="498">
        <v>2</v>
      </c>
      <c r="E131" s="613" t="s">
        <v>1020</v>
      </c>
      <c r="F131" s="514" t="s">
        <v>911</v>
      </c>
      <c r="G131" s="513" t="s">
        <v>797</v>
      </c>
      <c r="H131" s="518">
        <v>6.9418480000000002</v>
      </c>
      <c r="I131" s="526">
        <v>7.6824349999999999</v>
      </c>
      <c r="J131" s="445" t="s">
        <v>1128</v>
      </c>
      <c r="K131" s="496" t="s">
        <v>1110</v>
      </c>
      <c r="L131" s="500" t="s">
        <v>728</v>
      </c>
      <c r="M131" s="459" t="s">
        <v>1111</v>
      </c>
      <c r="N131" s="645" t="s">
        <v>1803</v>
      </c>
      <c r="O131" s="484">
        <v>102000</v>
      </c>
      <c r="P131" s="335">
        <f t="shared" si="4"/>
        <v>204000</v>
      </c>
      <c r="Q131" s="17"/>
    </row>
    <row r="132" spans="2:17" ht="34.5" x14ac:dyDescent="0.3">
      <c r="B132" s="16">
        <v>19</v>
      </c>
      <c r="C132" s="446" t="s">
        <v>1108</v>
      </c>
      <c r="D132" s="498">
        <v>2</v>
      </c>
      <c r="E132" s="613" t="s">
        <v>1022</v>
      </c>
      <c r="F132" s="514" t="s">
        <v>914</v>
      </c>
      <c r="G132" s="513" t="s">
        <v>797</v>
      </c>
      <c r="H132" s="518">
        <v>7.1519000000000004</v>
      </c>
      <c r="I132" s="518">
        <v>7.4950999999999999</v>
      </c>
      <c r="J132" s="445" t="s">
        <v>1129</v>
      </c>
      <c r="K132" s="496" t="s">
        <v>1110</v>
      </c>
      <c r="L132" s="500" t="s">
        <v>728</v>
      </c>
      <c r="M132" s="459" t="s">
        <v>1111</v>
      </c>
      <c r="N132" s="645" t="s">
        <v>1803</v>
      </c>
      <c r="O132" s="484">
        <v>102000</v>
      </c>
      <c r="P132" s="335">
        <f t="shared" si="4"/>
        <v>204000</v>
      </c>
      <c r="Q132" s="17"/>
    </row>
    <row r="133" spans="2:17" ht="34.5" x14ac:dyDescent="0.3">
      <c r="B133" s="16">
        <v>20</v>
      </c>
      <c r="C133" s="446" t="s">
        <v>1108</v>
      </c>
      <c r="D133" s="498">
        <v>2</v>
      </c>
      <c r="E133" s="613" t="s">
        <v>1024</v>
      </c>
      <c r="F133" s="514" t="s">
        <v>916</v>
      </c>
      <c r="G133" s="513" t="s">
        <v>797</v>
      </c>
      <c r="H133" s="518">
        <v>6.7945399999999996</v>
      </c>
      <c r="I133" s="518">
        <v>8.5035000000000007</v>
      </c>
      <c r="J133" s="445" t="s">
        <v>1130</v>
      </c>
      <c r="K133" s="496" t="s">
        <v>1110</v>
      </c>
      <c r="L133" s="500" t="s">
        <v>728</v>
      </c>
      <c r="M133" s="459" t="s">
        <v>1111</v>
      </c>
      <c r="N133" s="645" t="s">
        <v>1803</v>
      </c>
      <c r="O133" s="484">
        <v>102000</v>
      </c>
      <c r="P133" s="335">
        <f t="shared" si="4"/>
        <v>204000</v>
      </c>
      <c r="Q133" s="17"/>
    </row>
    <row r="134" spans="2:17" ht="34.5" x14ac:dyDescent="0.3">
      <c r="B134" s="16">
        <v>21</v>
      </c>
      <c r="C134" s="446" t="s">
        <v>1108</v>
      </c>
      <c r="D134" s="498">
        <v>2</v>
      </c>
      <c r="E134" s="613" t="s">
        <v>1026</v>
      </c>
      <c r="F134" s="514" t="s">
        <v>811</v>
      </c>
      <c r="G134" s="513" t="s">
        <v>797</v>
      </c>
      <c r="H134" s="518">
        <v>7.0015650000000003</v>
      </c>
      <c r="I134" s="518">
        <v>7.7466400000000002</v>
      </c>
      <c r="J134" s="445" t="s">
        <v>1131</v>
      </c>
      <c r="K134" s="496" t="s">
        <v>1110</v>
      </c>
      <c r="L134" s="500" t="s">
        <v>728</v>
      </c>
      <c r="M134" s="459" t="s">
        <v>1111</v>
      </c>
      <c r="N134" s="645" t="s">
        <v>1803</v>
      </c>
      <c r="O134" s="484">
        <v>102000</v>
      </c>
      <c r="P134" s="335">
        <f t="shared" si="4"/>
        <v>204000</v>
      </c>
      <c r="Q134" s="17"/>
    </row>
    <row r="135" spans="2:17" ht="34.5" x14ac:dyDescent="0.3">
      <c r="B135" s="16">
        <v>22</v>
      </c>
      <c r="C135" s="446" t="s">
        <v>1108</v>
      </c>
      <c r="D135" s="498">
        <v>2</v>
      </c>
      <c r="E135" s="613" t="s">
        <v>1028</v>
      </c>
      <c r="F135" s="514" t="s">
        <v>918</v>
      </c>
      <c r="G135" s="513" t="s">
        <v>797</v>
      </c>
      <c r="H135" s="518">
        <v>6.818619</v>
      </c>
      <c r="I135" s="518">
        <v>8.0029719999999998</v>
      </c>
      <c r="J135" s="445" t="s">
        <v>1132</v>
      </c>
      <c r="K135" s="496" t="s">
        <v>1110</v>
      </c>
      <c r="L135" s="500" t="s">
        <v>728</v>
      </c>
      <c r="M135" s="459" t="s">
        <v>1111</v>
      </c>
      <c r="N135" s="645" t="s">
        <v>1803</v>
      </c>
      <c r="O135" s="484">
        <v>102000</v>
      </c>
      <c r="P135" s="335">
        <f t="shared" si="4"/>
        <v>204000</v>
      </c>
      <c r="Q135" s="17"/>
    </row>
    <row r="136" spans="2:17" ht="34.5" x14ac:dyDescent="0.3">
      <c r="B136" s="16">
        <v>23</v>
      </c>
      <c r="C136" s="446" t="s">
        <v>1108</v>
      </c>
      <c r="D136" s="498">
        <v>2</v>
      </c>
      <c r="E136" s="613" t="s">
        <v>1030</v>
      </c>
      <c r="F136" s="514" t="s">
        <v>918</v>
      </c>
      <c r="G136" s="513" t="s">
        <v>797</v>
      </c>
      <c r="H136" s="518">
        <v>7.4467369999999997</v>
      </c>
      <c r="I136" s="518">
        <v>7.9839900000000004</v>
      </c>
      <c r="J136" s="445" t="s">
        <v>1133</v>
      </c>
      <c r="K136" s="496" t="s">
        <v>1110</v>
      </c>
      <c r="L136" s="500" t="s">
        <v>728</v>
      </c>
      <c r="M136" s="459" t="s">
        <v>1111</v>
      </c>
      <c r="N136" s="645" t="s">
        <v>1803</v>
      </c>
      <c r="O136" s="484">
        <v>102000</v>
      </c>
      <c r="P136" s="335">
        <f t="shared" si="4"/>
        <v>204000</v>
      </c>
      <c r="Q136" s="17"/>
    </row>
    <row r="137" spans="2:17" ht="34.5" x14ac:dyDescent="0.3">
      <c r="B137" s="16">
        <v>24</v>
      </c>
      <c r="C137" s="446" t="s">
        <v>1108</v>
      </c>
      <c r="D137" s="498">
        <v>2</v>
      </c>
      <c r="E137" s="613" t="s">
        <v>1032</v>
      </c>
      <c r="F137" s="514" t="s">
        <v>920</v>
      </c>
      <c r="G137" s="513" t="s">
        <v>797</v>
      </c>
      <c r="H137" s="518">
        <v>7.6572810000000002</v>
      </c>
      <c r="I137" s="518">
        <v>8.8684820000000002</v>
      </c>
      <c r="J137" s="445" t="s">
        <v>1134</v>
      </c>
      <c r="K137" s="496" t="s">
        <v>1110</v>
      </c>
      <c r="L137" s="500" t="s">
        <v>728</v>
      </c>
      <c r="M137" s="459" t="s">
        <v>1111</v>
      </c>
      <c r="N137" s="645" t="s">
        <v>1803</v>
      </c>
      <c r="O137" s="484">
        <v>102000</v>
      </c>
      <c r="P137" s="335">
        <f t="shared" si="4"/>
        <v>204000</v>
      </c>
      <c r="Q137" s="17"/>
    </row>
    <row r="138" spans="2:17" ht="34.5" x14ac:dyDescent="0.3">
      <c r="B138" s="16">
        <v>25</v>
      </c>
      <c r="C138" s="446" t="s">
        <v>1108</v>
      </c>
      <c r="D138" s="498">
        <v>2</v>
      </c>
      <c r="E138" s="613" t="s">
        <v>1034</v>
      </c>
      <c r="F138" s="514" t="s">
        <v>920</v>
      </c>
      <c r="G138" s="513" t="s">
        <v>782</v>
      </c>
      <c r="H138" s="518">
        <v>7.5621600000000004</v>
      </c>
      <c r="I138" s="518">
        <v>8.9313970000000005</v>
      </c>
      <c r="J138" s="445" t="s">
        <v>1135</v>
      </c>
      <c r="K138" s="496" t="s">
        <v>1110</v>
      </c>
      <c r="L138" s="500" t="s">
        <v>728</v>
      </c>
      <c r="M138" s="459" t="s">
        <v>1111</v>
      </c>
      <c r="N138" s="645" t="s">
        <v>1803</v>
      </c>
      <c r="O138" s="484">
        <v>102000</v>
      </c>
      <c r="P138" s="335">
        <f t="shared" si="4"/>
        <v>204000</v>
      </c>
      <c r="Q138" s="17"/>
    </row>
    <row r="139" spans="2:17" ht="34.5" x14ac:dyDescent="0.3">
      <c r="B139" s="16">
        <v>26</v>
      </c>
      <c r="C139" s="446" t="s">
        <v>1108</v>
      </c>
      <c r="D139" s="498">
        <v>2</v>
      </c>
      <c r="E139" s="613" t="s">
        <v>1036</v>
      </c>
      <c r="F139" s="514" t="s">
        <v>921</v>
      </c>
      <c r="G139" s="513" t="s">
        <v>782</v>
      </c>
      <c r="H139" s="518">
        <v>7.4987500000000002</v>
      </c>
      <c r="I139" s="518">
        <v>9.6113769999999992</v>
      </c>
      <c r="J139" s="445" t="s">
        <v>1136</v>
      </c>
      <c r="K139" s="496" t="s">
        <v>1110</v>
      </c>
      <c r="L139" s="500" t="s">
        <v>728</v>
      </c>
      <c r="M139" s="459" t="s">
        <v>1111</v>
      </c>
      <c r="N139" s="645" t="s">
        <v>1803</v>
      </c>
      <c r="O139" s="484">
        <v>102000</v>
      </c>
      <c r="P139" s="335">
        <f t="shared" si="4"/>
        <v>204000</v>
      </c>
      <c r="Q139" s="17"/>
    </row>
    <row r="140" spans="2:17" ht="34.5" x14ac:dyDescent="0.3">
      <c r="B140" s="16">
        <v>27</v>
      </c>
      <c r="C140" s="446" t="s">
        <v>1108</v>
      </c>
      <c r="D140" s="498">
        <v>2</v>
      </c>
      <c r="E140" s="613" t="s">
        <v>1038</v>
      </c>
      <c r="F140" s="514" t="s">
        <v>1039</v>
      </c>
      <c r="G140" s="513" t="s">
        <v>782</v>
      </c>
      <c r="H140" s="518">
        <v>7.1411759999999997</v>
      </c>
      <c r="I140" s="518">
        <v>9.0787669999999991</v>
      </c>
      <c r="J140" s="445" t="s">
        <v>1137</v>
      </c>
      <c r="K140" s="496" t="s">
        <v>1110</v>
      </c>
      <c r="L140" s="500" t="s">
        <v>728</v>
      </c>
      <c r="M140" s="459" t="s">
        <v>1111</v>
      </c>
      <c r="N140" s="645" t="s">
        <v>1803</v>
      </c>
      <c r="O140" s="484">
        <v>102000</v>
      </c>
      <c r="P140" s="335">
        <f t="shared" si="4"/>
        <v>204000</v>
      </c>
      <c r="Q140" s="17"/>
    </row>
    <row r="141" spans="2:17" ht="34.5" x14ac:dyDescent="0.3">
      <c r="B141" s="16">
        <v>28</v>
      </c>
      <c r="C141" s="446" t="s">
        <v>1108</v>
      </c>
      <c r="D141" s="498">
        <v>2</v>
      </c>
      <c r="E141" s="613" t="s">
        <v>1041</v>
      </c>
      <c r="F141" s="514" t="s">
        <v>1039</v>
      </c>
      <c r="G141" s="513" t="s">
        <v>782</v>
      </c>
      <c r="H141" s="518">
        <v>7.0611959999999998</v>
      </c>
      <c r="I141" s="518">
        <v>8.9239599999999992</v>
      </c>
      <c r="J141" s="445" t="s">
        <v>1138</v>
      </c>
      <c r="K141" s="496" t="s">
        <v>1110</v>
      </c>
      <c r="L141" s="500" t="s">
        <v>728</v>
      </c>
      <c r="M141" s="459" t="s">
        <v>1111</v>
      </c>
      <c r="N141" s="645" t="s">
        <v>1803</v>
      </c>
      <c r="O141" s="484">
        <v>102000</v>
      </c>
      <c r="P141" s="335">
        <f t="shared" si="4"/>
        <v>204000</v>
      </c>
      <c r="Q141" s="17"/>
    </row>
    <row r="142" spans="2:17" ht="34.5" x14ac:dyDescent="0.3">
      <c r="B142" s="16">
        <v>29</v>
      </c>
      <c r="C142" s="446" t="s">
        <v>1108</v>
      </c>
      <c r="D142" s="498">
        <v>2</v>
      </c>
      <c r="E142" s="613" t="s">
        <v>1043</v>
      </c>
      <c r="F142" s="514" t="s">
        <v>925</v>
      </c>
      <c r="G142" s="513" t="s">
        <v>782</v>
      </c>
      <c r="H142" s="518">
        <v>7.0044399999999998</v>
      </c>
      <c r="I142" s="518">
        <v>9.0242570000000004</v>
      </c>
      <c r="J142" s="445" t="s">
        <v>1139</v>
      </c>
      <c r="K142" s="496" t="s">
        <v>1110</v>
      </c>
      <c r="L142" s="500" t="s">
        <v>728</v>
      </c>
      <c r="M142" s="459" t="s">
        <v>1111</v>
      </c>
      <c r="N142" s="645" t="s">
        <v>1803</v>
      </c>
      <c r="O142" s="484">
        <v>102000</v>
      </c>
      <c r="P142" s="335">
        <f t="shared" si="4"/>
        <v>204000</v>
      </c>
      <c r="Q142" s="17"/>
    </row>
    <row r="143" spans="2:17" ht="34.5" x14ac:dyDescent="0.3">
      <c r="B143" s="16">
        <v>30</v>
      </c>
      <c r="C143" s="446" t="s">
        <v>1108</v>
      </c>
      <c r="D143" s="498">
        <v>2</v>
      </c>
      <c r="E143" s="613" t="s">
        <v>1045</v>
      </c>
      <c r="F143" s="514" t="s">
        <v>925</v>
      </c>
      <c r="G143" s="513" t="s">
        <v>782</v>
      </c>
      <c r="H143" s="525">
        <v>7.068371</v>
      </c>
      <c r="I143" s="525">
        <v>8.8117319999999992</v>
      </c>
      <c r="J143" s="445" t="s">
        <v>1140</v>
      </c>
      <c r="K143" s="496" t="s">
        <v>1110</v>
      </c>
      <c r="L143" s="500" t="s">
        <v>728</v>
      </c>
      <c r="M143" s="459" t="s">
        <v>1111</v>
      </c>
      <c r="N143" s="645" t="s">
        <v>1803</v>
      </c>
      <c r="O143" s="484">
        <v>102000</v>
      </c>
      <c r="P143" s="335">
        <f t="shared" si="4"/>
        <v>204000</v>
      </c>
      <c r="Q143" s="17"/>
    </row>
    <row r="144" spans="2:17" ht="34.5" x14ac:dyDescent="0.3">
      <c r="B144" s="16">
        <v>31</v>
      </c>
      <c r="C144" s="446" t="s">
        <v>1108</v>
      </c>
      <c r="D144" s="498">
        <v>2</v>
      </c>
      <c r="E144" s="613" t="s">
        <v>1047</v>
      </c>
      <c r="F144" s="514" t="s">
        <v>890</v>
      </c>
      <c r="G144" s="513" t="s">
        <v>782</v>
      </c>
      <c r="H144" s="525">
        <v>7.8173399999999997</v>
      </c>
      <c r="I144" s="525">
        <v>7.9422899999999998</v>
      </c>
      <c r="J144" s="445" t="s">
        <v>1141</v>
      </c>
      <c r="K144" s="496" t="s">
        <v>1110</v>
      </c>
      <c r="L144" s="500" t="s">
        <v>728</v>
      </c>
      <c r="M144" s="459" t="s">
        <v>1111</v>
      </c>
      <c r="N144" s="645" t="s">
        <v>1803</v>
      </c>
      <c r="O144" s="484">
        <v>102000</v>
      </c>
      <c r="P144" s="335">
        <f t="shared" si="4"/>
        <v>204000</v>
      </c>
      <c r="Q144" s="17"/>
    </row>
    <row r="145" spans="2:17" ht="34.5" x14ac:dyDescent="0.3">
      <c r="B145" s="16">
        <v>32</v>
      </c>
      <c r="C145" s="446" t="s">
        <v>1108</v>
      </c>
      <c r="D145" s="498">
        <v>2</v>
      </c>
      <c r="E145" s="613" t="s">
        <v>1049</v>
      </c>
      <c r="F145" s="514" t="s">
        <v>893</v>
      </c>
      <c r="G145" s="513" t="s">
        <v>782</v>
      </c>
      <c r="H145" s="525">
        <v>8.1069200000000006</v>
      </c>
      <c r="I145" s="525">
        <v>8.5275099999999995</v>
      </c>
      <c r="J145" s="445" t="s">
        <v>1142</v>
      </c>
      <c r="K145" s="496" t="s">
        <v>1110</v>
      </c>
      <c r="L145" s="500" t="s">
        <v>728</v>
      </c>
      <c r="M145" s="459" t="s">
        <v>1111</v>
      </c>
      <c r="N145" s="645" t="s">
        <v>1803</v>
      </c>
      <c r="O145" s="484">
        <v>102000</v>
      </c>
      <c r="P145" s="335">
        <f t="shared" si="4"/>
        <v>204000</v>
      </c>
      <c r="Q145" s="17"/>
    </row>
    <row r="146" spans="2:17" ht="34.5" x14ac:dyDescent="0.3">
      <c r="B146" s="16">
        <v>33</v>
      </c>
      <c r="C146" s="446" t="s">
        <v>1108</v>
      </c>
      <c r="D146" s="498">
        <v>2</v>
      </c>
      <c r="E146" s="613" t="s">
        <v>1051</v>
      </c>
      <c r="F146" s="514" t="s">
        <v>925</v>
      </c>
      <c r="G146" s="513" t="s">
        <v>782</v>
      </c>
      <c r="H146" s="525">
        <v>6.7503409999999997</v>
      </c>
      <c r="I146" s="525">
        <v>9.17652</v>
      </c>
      <c r="J146" s="445" t="s">
        <v>1143</v>
      </c>
      <c r="K146" s="496" t="s">
        <v>1110</v>
      </c>
      <c r="L146" s="500" t="s">
        <v>728</v>
      </c>
      <c r="M146" s="459" t="s">
        <v>1111</v>
      </c>
      <c r="N146" s="645" t="s">
        <v>1803</v>
      </c>
      <c r="O146" s="484">
        <v>102000</v>
      </c>
      <c r="P146" s="335">
        <f t="shared" si="4"/>
        <v>204000</v>
      </c>
      <c r="Q146" s="17"/>
    </row>
    <row r="147" spans="2:17" ht="34.5" x14ac:dyDescent="0.3">
      <c r="B147" s="16">
        <v>34</v>
      </c>
      <c r="C147" s="446" t="s">
        <v>1108</v>
      </c>
      <c r="D147" s="498">
        <v>2</v>
      </c>
      <c r="E147" s="613" t="s">
        <v>1053</v>
      </c>
      <c r="F147" s="514" t="s">
        <v>889</v>
      </c>
      <c r="G147" s="513" t="s">
        <v>782</v>
      </c>
      <c r="H147" s="525">
        <v>7.5409800000000002</v>
      </c>
      <c r="I147" s="525">
        <v>7.7455400000000001</v>
      </c>
      <c r="J147" s="445" t="s">
        <v>1144</v>
      </c>
      <c r="K147" s="496" t="s">
        <v>1110</v>
      </c>
      <c r="L147" s="500" t="s">
        <v>728</v>
      </c>
      <c r="M147" s="459" t="s">
        <v>1111</v>
      </c>
      <c r="N147" s="645" t="s">
        <v>1803</v>
      </c>
      <c r="O147" s="484">
        <v>102000</v>
      </c>
      <c r="P147" s="335">
        <f t="shared" si="4"/>
        <v>204000</v>
      </c>
      <c r="Q147" s="17"/>
    </row>
    <row r="148" spans="2:17" ht="34.5" x14ac:dyDescent="0.3">
      <c r="B148" s="16">
        <v>35</v>
      </c>
      <c r="C148" s="446" t="s">
        <v>1108</v>
      </c>
      <c r="D148" s="498">
        <v>2</v>
      </c>
      <c r="E148" s="613" t="s">
        <v>1055</v>
      </c>
      <c r="F148" s="514" t="s">
        <v>925</v>
      </c>
      <c r="G148" s="513" t="s">
        <v>782</v>
      </c>
      <c r="H148" s="525">
        <v>6.9648899999999996</v>
      </c>
      <c r="I148" s="525">
        <v>9.11951</v>
      </c>
      <c r="J148" s="445" t="s">
        <v>1145</v>
      </c>
      <c r="K148" s="496" t="s">
        <v>1110</v>
      </c>
      <c r="L148" s="500" t="s">
        <v>728</v>
      </c>
      <c r="M148" s="459" t="s">
        <v>1111</v>
      </c>
      <c r="N148" s="645" t="s">
        <v>1803</v>
      </c>
      <c r="O148" s="484">
        <v>102000</v>
      </c>
      <c r="P148" s="335">
        <f t="shared" si="4"/>
        <v>204000</v>
      </c>
      <c r="Q148" s="17"/>
    </row>
    <row r="149" spans="2:17" ht="34.5" x14ac:dyDescent="0.3">
      <c r="B149" s="16">
        <v>36</v>
      </c>
      <c r="C149" s="446" t="s">
        <v>1108</v>
      </c>
      <c r="D149" s="498">
        <v>2</v>
      </c>
      <c r="E149" s="613" t="s">
        <v>1057</v>
      </c>
      <c r="F149" s="514" t="s">
        <v>904</v>
      </c>
      <c r="G149" s="513" t="s">
        <v>782</v>
      </c>
      <c r="H149" s="525">
        <v>6.8456900000000003</v>
      </c>
      <c r="I149" s="525">
        <v>9.2908600000000003</v>
      </c>
      <c r="J149" s="445" t="s">
        <v>1146</v>
      </c>
      <c r="K149" s="496" t="s">
        <v>1110</v>
      </c>
      <c r="L149" s="500" t="s">
        <v>728</v>
      </c>
      <c r="M149" s="459" t="s">
        <v>1111</v>
      </c>
      <c r="N149" s="645" t="s">
        <v>1803</v>
      </c>
      <c r="O149" s="484">
        <v>102000</v>
      </c>
      <c r="P149" s="335">
        <f t="shared" si="4"/>
        <v>204000</v>
      </c>
      <c r="Q149" s="17"/>
    </row>
    <row r="150" spans="2:17" ht="34.5" x14ac:dyDescent="0.3">
      <c r="B150" s="16">
        <v>37</v>
      </c>
      <c r="C150" s="446" t="s">
        <v>1108</v>
      </c>
      <c r="D150" s="498">
        <v>2</v>
      </c>
      <c r="E150" s="613" t="s">
        <v>1059</v>
      </c>
      <c r="F150" s="514" t="s">
        <v>1008</v>
      </c>
      <c r="G150" s="513" t="s">
        <v>797</v>
      </c>
      <c r="H150" s="525">
        <v>7.2860500000000004</v>
      </c>
      <c r="I150" s="525">
        <v>8.5421499999999995</v>
      </c>
      <c r="J150" s="445" t="s">
        <v>1147</v>
      </c>
      <c r="K150" s="496" t="s">
        <v>1110</v>
      </c>
      <c r="L150" s="500" t="s">
        <v>728</v>
      </c>
      <c r="M150" s="459" t="s">
        <v>1111</v>
      </c>
      <c r="N150" s="645" t="s">
        <v>1803</v>
      </c>
      <c r="O150" s="484">
        <v>102000</v>
      </c>
      <c r="P150" s="335">
        <f t="shared" si="4"/>
        <v>204000</v>
      </c>
      <c r="Q150" s="17"/>
    </row>
    <row r="151" spans="2:17" ht="34.5" x14ac:dyDescent="0.3">
      <c r="B151" s="16">
        <v>38</v>
      </c>
      <c r="C151" s="446" t="s">
        <v>1108</v>
      </c>
      <c r="D151" s="498">
        <v>2</v>
      </c>
      <c r="E151" s="613" t="s">
        <v>1061</v>
      </c>
      <c r="F151" s="514" t="s">
        <v>916</v>
      </c>
      <c r="G151" s="513" t="s">
        <v>797</v>
      </c>
      <c r="H151" s="525">
        <v>6.8319799999999997</v>
      </c>
      <c r="I151" s="525">
        <v>8.3917400000000004</v>
      </c>
      <c r="J151" s="445" t="s">
        <v>1148</v>
      </c>
      <c r="K151" s="496" t="s">
        <v>1110</v>
      </c>
      <c r="L151" s="500" t="s">
        <v>728</v>
      </c>
      <c r="M151" s="459" t="s">
        <v>1111</v>
      </c>
      <c r="N151" s="645" t="s">
        <v>1803</v>
      </c>
      <c r="O151" s="484">
        <v>102000</v>
      </c>
      <c r="P151" s="335">
        <f t="shared" si="4"/>
        <v>204000</v>
      </c>
      <c r="Q151" s="17"/>
    </row>
    <row r="152" spans="2:17" ht="34.5" x14ac:dyDescent="0.3">
      <c r="B152" s="16">
        <v>39</v>
      </c>
      <c r="C152" s="446" t="s">
        <v>1108</v>
      </c>
      <c r="D152" s="498">
        <v>2</v>
      </c>
      <c r="E152" s="613" t="s">
        <v>1043</v>
      </c>
      <c r="F152" s="514" t="s">
        <v>925</v>
      </c>
      <c r="G152" s="513" t="s">
        <v>797</v>
      </c>
      <c r="H152" s="525">
        <v>7.0044399999999998</v>
      </c>
      <c r="I152" s="525">
        <v>9.0242570000000004</v>
      </c>
      <c r="J152" s="445" t="s">
        <v>1149</v>
      </c>
      <c r="K152" s="496" t="s">
        <v>1110</v>
      </c>
      <c r="L152" s="500" t="s">
        <v>728</v>
      </c>
      <c r="M152" s="459" t="s">
        <v>1111</v>
      </c>
      <c r="N152" s="645" t="s">
        <v>1803</v>
      </c>
      <c r="O152" s="484">
        <v>102000</v>
      </c>
      <c r="P152" s="335">
        <f t="shared" si="4"/>
        <v>204000</v>
      </c>
      <c r="Q152" s="17"/>
    </row>
    <row r="153" spans="2:17" ht="34.5" x14ac:dyDescent="0.3">
      <c r="B153" s="16">
        <v>40</v>
      </c>
      <c r="C153" s="446" t="s">
        <v>1108</v>
      </c>
      <c r="D153" s="498">
        <v>2</v>
      </c>
      <c r="E153" s="613" t="s">
        <v>1064</v>
      </c>
      <c r="F153" s="514" t="s">
        <v>811</v>
      </c>
      <c r="G153" s="513" t="s">
        <v>797</v>
      </c>
      <c r="H153" s="525">
        <v>7.1916219999999997</v>
      </c>
      <c r="I153" s="525">
        <v>7.7464893000000004</v>
      </c>
      <c r="J153" s="445" t="s">
        <v>1150</v>
      </c>
      <c r="K153" s="496" t="s">
        <v>1110</v>
      </c>
      <c r="L153" s="500" t="s">
        <v>728</v>
      </c>
      <c r="M153" s="459" t="s">
        <v>1111</v>
      </c>
      <c r="N153" s="645" t="s">
        <v>1803</v>
      </c>
      <c r="O153" s="484">
        <v>102000</v>
      </c>
      <c r="P153" s="335">
        <f t="shared" si="4"/>
        <v>204000</v>
      </c>
      <c r="Q153" s="17"/>
    </row>
    <row r="154" spans="2:17" ht="18" customHeight="1" x14ac:dyDescent="0.3">
      <c r="C154" s="81" t="s">
        <v>566</v>
      </c>
      <c r="D154" s="71"/>
      <c r="E154" s="327"/>
      <c r="F154" s="327"/>
      <c r="G154" s="68"/>
      <c r="H154" s="68"/>
      <c r="I154" s="68"/>
      <c r="J154" s="74"/>
      <c r="K154" s="130"/>
      <c r="L154" s="68"/>
      <c r="M154" s="17"/>
      <c r="N154" s="17"/>
      <c r="O154" s="324">
        <v>0</v>
      </c>
      <c r="P154" s="335">
        <f t="shared" si="4"/>
        <v>0</v>
      </c>
      <c r="Q154" s="17"/>
    </row>
    <row r="155" spans="2:17" x14ac:dyDescent="0.3">
      <c r="C155" s="54"/>
    </row>
    <row r="156" spans="2:17" x14ac:dyDescent="0.3">
      <c r="C156" s="54"/>
    </row>
    <row r="157" spans="2:17" ht="55.5" customHeight="1" x14ac:dyDescent="0.3">
      <c r="B157" s="82"/>
      <c r="C157" s="82"/>
      <c r="D157" s="82"/>
      <c r="E157" s="219"/>
      <c r="F157" s="219"/>
      <c r="G157" s="86"/>
      <c r="H157" s="82"/>
      <c r="I157" s="86"/>
      <c r="J157" s="86"/>
      <c r="K157" s="82"/>
      <c r="L157" s="82"/>
      <c r="P157" s="929" t="s">
        <v>611</v>
      </c>
      <c r="Q157" s="929"/>
    </row>
    <row r="158" spans="2:17" ht="25.5" customHeight="1" x14ac:dyDescent="0.3">
      <c r="B158" s="320" t="s">
        <v>606</v>
      </c>
      <c r="C158" s="321"/>
      <c r="D158" s="322"/>
      <c r="E158" s="322"/>
      <c r="F158" s="322"/>
      <c r="G158" s="322"/>
      <c r="H158" s="322"/>
      <c r="I158" s="322"/>
      <c r="J158" s="322"/>
      <c r="K158" s="322"/>
      <c r="L158" s="322"/>
      <c r="M158" s="322"/>
      <c r="N158" s="322"/>
      <c r="O158" s="322"/>
      <c r="P158" s="930">
        <f>SUM(P162:P202)</f>
        <v>11748559.17</v>
      </c>
      <c r="Q158" s="931"/>
    </row>
    <row r="159" spans="2:17" ht="17.45" customHeight="1" x14ac:dyDescent="0.3">
      <c r="B159" s="919" t="s">
        <v>182</v>
      </c>
      <c r="C159" s="920"/>
      <c r="D159" s="920"/>
      <c r="E159" s="920"/>
      <c r="F159" s="920"/>
      <c r="G159" s="920"/>
      <c r="H159" s="920"/>
      <c r="I159" s="920"/>
      <c r="J159" s="920"/>
      <c r="K159" s="920"/>
      <c r="L159" s="920"/>
      <c r="M159" s="920"/>
      <c r="N159" s="920"/>
      <c r="O159" s="920"/>
      <c r="P159" s="920"/>
      <c r="Q159" s="921"/>
    </row>
    <row r="160" spans="2:17" ht="16.5" customHeight="1" x14ac:dyDescent="0.3">
      <c r="B160" s="833" t="s">
        <v>35</v>
      </c>
      <c r="C160" s="844" t="s">
        <v>177</v>
      </c>
      <c r="D160" s="837" t="s">
        <v>466</v>
      </c>
      <c r="E160" s="844" t="s">
        <v>183</v>
      </c>
      <c r="F160" s="837" t="s">
        <v>100</v>
      </c>
      <c r="G160" s="837" t="s">
        <v>174</v>
      </c>
      <c r="H160" s="917" t="s">
        <v>171</v>
      </c>
      <c r="I160" s="918"/>
      <c r="J160" s="844" t="s">
        <v>173</v>
      </c>
      <c r="K160" s="837" t="s">
        <v>423</v>
      </c>
      <c r="L160" s="837" t="s">
        <v>465</v>
      </c>
      <c r="M160" s="837" t="s">
        <v>97</v>
      </c>
      <c r="N160" s="837" t="s">
        <v>168</v>
      </c>
      <c r="O160" s="837" t="s">
        <v>51</v>
      </c>
      <c r="P160" s="916" t="s">
        <v>422</v>
      </c>
      <c r="Q160" s="840" t="s">
        <v>169</v>
      </c>
    </row>
    <row r="161" spans="2:17" ht="33.950000000000003" customHeight="1" x14ac:dyDescent="0.3">
      <c r="B161" s="833"/>
      <c r="C161" s="844"/>
      <c r="D161" s="839"/>
      <c r="E161" s="844"/>
      <c r="F161" s="839"/>
      <c r="G161" s="839"/>
      <c r="H161" s="66" t="s">
        <v>172</v>
      </c>
      <c r="I161" s="287" t="s">
        <v>101</v>
      </c>
      <c r="J161" s="844"/>
      <c r="K161" s="839"/>
      <c r="L161" s="839"/>
      <c r="M161" s="839"/>
      <c r="N161" s="839"/>
      <c r="O161" s="839"/>
      <c r="P161" s="916"/>
      <c r="Q161" s="842"/>
    </row>
    <row r="162" spans="2:17" ht="34.5" x14ac:dyDescent="0.3">
      <c r="B162" s="122">
        <v>1</v>
      </c>
      <c r="C162" s="446" t="s">
        <v>1151</v>
      </c>
      <c r="D162" s="498">
        <v>3</v>
      </c>
      <c r="E162" s="464" t="s">
        <v>779</v>
      </c>
      <c r="F162" s="464" t="s">
        <v>779</v>
      </c>
      <c r="G162" s="513" t="s">
        <v>782</v>
      </c>
      <c r="H162" s="503" t="s">
        <v>779</v>
      </c>
      <c r="I162" s="503" t="s">
        <v>779</v>
      </c>
      <c r="J162" s="445" t="s">
        <v>779</v>
      </c>
      <c r="K162" s="471" t="s">
        <v>867</v>
      </c>
      <c r="L162" s="445" t="s">
        <v>739</v>
      </c>
      <c r="M162" s="441" t="s">
        <v>1152</v>
      </c>
      <c r="N162" s="473" t="s">
        <v>1153</v>
      </c>
      <c r="O162" s="484">
        <v>3916186.39</v>
      </c>
      <c r="P162" s="335">
        <f>D162*O162</f>
        <v>11748559.17</v>
      </c>
      <c r="Q162" s="325"/>
    </row>
    <row r="163" spans="2:17" ht="17.25" hidden="1" x14ac:dyDescent="0.3">
      <c r="B163" s="122">
        <v>2</v>
      </c>
      <c r="C163" s="68"/>
      <c r="D163" s="326"/>
      <c r="E163" s="327"/>
      <c r="F163" s="327"/>
      <c r="G163" s="68"/>
      <c r="H163" s="68"/>
      <c r="I163" s="68"/>
      <c r="J163" s="68"/>
      <c r="K163" s="130"/>
      <c r="L163" s="68"/>
      <c r="M163" s="17"/>
      <c r="N163" s="17"/>
      <c r="O163" s="324">
        <v>0</v>
      </c>
      <c r="P163" s="335">
        <f t="shared" ref="P163:P202" si="5">D163*O163</f>
        <v>0</v>
      </c>
      <c r="Q163" s="17"/>
    </row>
    <row r="164" spans="2:17" ht="17.25" hidden="1" x14ac:dyDescent="0.3">
      <c r="B164" s="122">
        <v>3</v>
      </c>
      <c r="C164" s="68"/>
      <c r="D164" s="326"/>
      <c r="E164" s="327"/>
      <c r="F164" s="327"/>
      <c r="G164" s="68"/>
      <c r="H164" s="68"/>
      <c r="I164" s="68"/>
      <c r="J164" s="68"/>
      <c r="K164" s="130"/>
      <c r="L164" s="68"/>
      <c r="M164" s="17"/>
      <c r="N164" s="17"/>
      <c r="O164" s="324">
        <v>0</v>
      </c>
      <c r="P164" s="335">
        <f t="shared" si="5"/>
        <v>0</v>
      </c>
      <c r="Q164" s="17"/>
    </row>
    <row r="165" spans="2:17" ht="17.25" hidden="1" x14ac:dyDescent="0.3">
      <c r="B165" s="122">
        <v>4</v>
      </c>
      <c r="C165" s="68"/>
      <c r="D165" s="326"/>
      <c r="E165" s="327"/>
      <c r="F165" s="327"/>
      <c r="G165" s="68"/>
      <c r="H165" s="68"/>
      <c r="I165" s="68"/>
      <c r="J165" s="68"/>
      <c r="K165" s="130"/>
      <c r="L165" s="68"/>
      <c r="M165" s="17"/>
      <c r="N165" s="17"/>
      <c r="O165" s="324">
        <v>0</v>
      </c>
      <c r="P165" s="335">
        <f t="shared" si="5"/>
        <v>0</v>
      </c>
      <c r="Q165" s="17"/>
    </row>
    <row r="166" spans="2:17" ht="17.25" hidden="1" x14ac:dyDescent="0.3">
      <c r="B166" s="122">
        <v>5</v>
      </c>
      <c r="C166" s="68"/>
      <c r="D166" s="326"/>
      <c r="E166" s="327"/>
      <c r="F166" s="327"/>
      <c r="G166" s="68"/>
      <c r="H166" s="68"/>
      <c r="I166" s="68"/>
      <c r="J166" s="68"/>
      <c r="K166" s="130"/>
      <c r="L166" s="68"/>
      <c r="M166" s="17"/>
      <c r="N166" s="17"/>
      <c r="O166" s="324">
        <v>0</v>
      </c>
      <c r="P166" s="335">
        <f t="shared" si="5"/>
        <v>0</v>
      </c>
      <c r="Q166" s="17"/>
    </row>
    <row r="167" spans="2:17" ht="17.25" hidden="1" x14ac:dyDescent="0.3">
      <c r="B167" s="122">
        <v>6</v>
      </c>
      <c r="C167" s="68"/>
      <c r="D167" s="328"/>
      <c r="E167" s="327"/>
      <c r="F167" s="327"/>
      <c r="G167" s="68"/>
      <c r="H167" s="68"/>
      <c r="I167" s="68"/>
      <c r="J167" s="74"/>
      <c r="K167" s="130"/>
      <c r="L167" s="68"/>
      <c r="M167" s="17"/>
      <c r="N167" s="17"/>
      <c r="O167" s="324">
        <v>0</v>
      </c>
      <c r="P167" s="335">
        <f t="shared" si="5"/>
        <v>0</v>
      </c>
      <c r="Q167" s="17"/>
    </row>
    <row r="168" spans="2:17" ht="17.25" hidden="1" x14ac:dyDescent="0.3">
      <c r="B168" s="122">
        <v>7</v>
      </c>
      <c r="C168" s="68"/>
      <c r="D168" s="329"/>
      <c r="E168" s="327"/>
      <c r="F168" s="327"/>
      <c r="G168" s="68"/>
      <c r="H168" s="68"/>
      <c r="I168" s="68"/>
      <c r="J168" s="74"/>
      <c r="K168" s="130"/>
      <c r="L168" s="68"/>
      <c r="M168" s="17"/>
      <c r="N168" s="17"/>
      <c r="O168" s="324">
        <v>0</v>
      </c>
      <c r="P168" s="335">
        <f t="shared" si="5"/>
        <v>0</v>
      </c>
      <c r="Q168" s="17"/>
    </row>
    <row r="169" spans="2:17" ht="17.25" hidden="1" x14ac:dyDescent="0.3">
      <c r="B169" s="122">
        <v>8</v>
      </c>
      <c r="C169" s="68"/>
      <c r="D169" s="326"/>
      <c r="E169" s="327"/>
      <c r="F169" s="327"/>
      <c r="G169" s="68"/>
      <c r="H169" s="68"/>
      <c r="I169" s="68"/>
      <c r="J169" s="68"/>
      <c r="K169" s="130"/>
      <c r="L169" s="68"/>
      <c r="M169" s="17"/>
      <c r="N169" s="17"/>
      <c r="O169" s="324">
        <v>0</v>
      </c>
      <c r="P169" s="335">
        <f t="shared" si="5"/>
        <v>0</v>
      </c>
      <c r="Q169" s="17"/>
    </row>
    <row r="170" spans="2:17" ht="17.25" hidden="1" x14ac:dyDescent="0.3">
      <c r="B170" s="122">
        <v>9</v>
      </c>
      <c r="C170" s="68"/>
      <c r="D170" s="326"/>
      <c r="E170" s="327"/>
      <c r="F170" s="327"/>
      <c r="G170" s="68"/>
      <c r="H170" s="68"/>
      <c r="I170" s="68"/>
      <c r="J170" s="68"/>
      <c r="K170" s="130"/>
      <c r="L170" s="68"/>
      <c r="M170" s="17"/>
      <c r="N170" s="17"/>
      <c r="O170" s="324">
        <v>0</v>
      </c>
      <c r="P170" s="335">
        <f t="shared" si="5"/>
        <v>0</v>
      </c>
      <c r="Q170" s="17"/>
    </row>
    <row r="171" spans="2:17" ht="17.25" hidden="1" x14ac:dyDescent="0.3">
      <c r="B171" s="122">
        <v>10</v>
      </c>
      <c r="C171" s="68"/>
      <c r="D171" s="326"/>
      <c r="E171" s="327"/>
      <c r="F171" s="327"/>
      <c r="G171" s="68"/>
      <c r="H171" s="68"/>
      <c r="I171" s="68"/>
      <c r="J171" s="68"/>
      <c r="K171" s="130"/>
      <c r="L171" s="68"/>
      <c r="M171" s="17"/>
      <c r="N171" s="17"/>
      <c r="O171" s="324">
        <v>0</v>
      </c>
      <c r="P171" s="335">
        <f t="shared" si="5"/>
        <v>0</v>
      </c>
      <c r="Q171" s="17"/>
    </row>
    <row r="172" spans="2:17" ht="17.25" hidden="1" x14ac:dyDescent="0.3">
      <c r="B172" s="122">
        <v>11</v>
      </c>
      <c r="C172" s="68"/>
      <c r="D172" s="326"/>
      <c r="E172" s="327"/>
      <c r="F172" s="327"/>
      <c r="G172" s="68"/>
      <c r="H172" s="68"/>
      <c r="I172" s="68"/>
      <c r="J172" s="74"/>
      <c r="K172" s="130"/>
      <c r="L172" s="68"/>
      <c r="M172" s="17"/>
      <c r="N172" s="17"/>
      <c r="O172" s="324">
        <v>0</v>
      </c>
      <c r="P172" s="335">
        <f t="shared" si="5"/>
        <v>0</v>
      </c>
      <c r="Q172" s="17"/>
    </row>
    <row r="173" spans="2:17" ht="17.25" hidden="1" x14ac:dyDescent="0.3">
      <c r="B173" s="122">
        <v>12</v>
      </c>
      <c r="C173" s="68"/>
      <c r="D173" s="326"/>
      <c r="E173" s="327"/>
      <c r="F173" s="327"/>
      <c r="G173" s="68"/>
      <c r="H173" s="68"/>
      <c r="I173" s="68"/>
      <c r="J173" s="68"/>
      <c r="K173" s="130"/>
      <c r="L173" s="68"/>
      <c r="M173" s="17"/>
      <c r="N173" s="17"/>
      <c r="O173" s="324">
        <v>0</v>
      </c>
      <c r="P173" s="335">
        <f t="shared" si="5"/>
        <v>0</v>
      </c>
      <c r="Q173" s="17"/>
    </row>
    <row r="174" spans="2:17" ht="17.25" hidden="1" x14ac:dyDescent="0.3">
      <c r="B174" s="122">
        <v>13</v>
      </c>
      <c r="C174" s="68"/>
      <c r="D174" s="329"/>
      <c r="E174" s="327"/>
      <c r="F174" s="327"/>
      <c r="G174" s="68"/>
      <c r="H174" s="68"/>
      <c r="I174" s="68"/>
      <c r="J174" s="68"/>
      <c r="K174" s="130"/>
      <c r="L174" s="68"/>
      <c r="M174" s="17"/>
      <c r="N174" s="17"/>
      <c r="O174" s="324">
        <v>0</v>
      </c>
      <c r="P174" s="335">
        <f t="shared" si="5"/>
        <v>0</v>
      </c>
      <c r="Q174" s="17"/>
    </row>
    <row r="175" spans="2:17" ht="17.25" hidden="1" x14ac:dyDescent="0.3">
      <c r="B175" s="122">
        <v>14</v>
      </c>
      <c r="C175" s="68"/>
      <c r="D175" s="328"/>
      <c r="E175" s="327"/>
      <c r="F175" s="327"/>
      <c r="G175" s="68"/>
      <c r="H175" s="68"/>
      <c r="I175" s="68"/>
      <c r="J175" s="68"/>
      <c r="K175" s="130"/>
      <c r="L175" s="68"/>
      <c r="M175" s="17"/>
      <c r="N175" s="17"/>
      <c r="O175" s="324">
        <v>0</v>
      </c>
      <c r="P175" s="335">
        <f t="shared" si="5"/>
        <v>0</v>
      </c>
      <c r="Q175" s="17"/>
    </row>
    <row r="176" spans="2:17" ht="17.25" hidden="1" x14ac:dyDescent="0.3">
      <c r="B176" s="122">
        <v>15</v>
      </c>
      <c r="C176" s="68"/>
      <c r="D176" s="329"/>
      <c r="E176" s="327"/>
      <c r="F176" s="327"/>
      <c r="G176" s="68"/>
      <c r="H176" s="68"/>
      <c r="I176" s="68"/>
      <c r="J176" s="68"/>
      <c r="K176" s="130"/>
      <c r="L176" s="68"/>
      <c r="M176" s="17"/>
      <c r="N176" s="17"/>
      <c r="O176" s="324">
        <v>0</v>
      </c>
      <c r="P176" s="335">
        <f t="shared" si="5"/>
        <v>0</v>
      </c>
      <c r="Q176" s="17"/>
    </row>
    <row r="177" spans="2:17" ht="17.25" hidden="1" x14ac:dyDescent="0.3">
      <c r="B177" s="122">
        <v>16</v>
      </c>
      <c r="C177" s="68"/>
      <c r="D177" s="328"/>
      <c r="E177" s="327"/>
      <c r="F177" s="327"/>
      <c r="G177" s="68"/>
      <c r="H177" s="68"/>
      <c r="I177" s="68"/>
      <c r="J177" s="68"/>
      <c r="K177" s="130"/>
      <c r="L177" s="68"/>
      <c r="M177" s="17"/>
      <c r="N177" s="17"/>
      <c r="O177" s="324">
        <v>0</v>
      </c>
      <c r="P177" s="335">
        <f t="shared" si="5"/>
        <v>0</v>
      </c>
      <c r="Q177" s="17"/>
    </row>
    <row r="178" spans="2:17" ht="17.25" hidden="1" x14ac:dyDescent="0.3">
      <c r="B178" s="16">
        <v>17</v>
      </c>
      <c r="C178" s="68"/>
      <c r="D178" s="71"/>
      <c r="E178" s="327"/>
      <c r="F178" s="327"/>
      <c r="G178" s="68"/>
      <c r="H178" s="68"/>
      <c r="I178" s="68"/>
      <c r="J178" s="68"/>
      <c r="K178" s="130"/>
      <c r="L178" s="68"/>
      <c r="M178" s="17"/>
      <c r="N178" s="17"/>
      <c r="O178" s="324">
        <v>0</v>
      </c>
      <c r="P178" s="335">
        <f t="shared" si="5"/>
        <v>0</v>
      </c>
      <c r="Q178" s="17"/>
    </row>
    <row r="179" spans="2:17" ht="17.25" hidden="1" x14ac:dyDescent="0.3">
      <c r="B179" s="16">
        <v>18</v>
      </c>
      <c r="C179" s="68"/>
      <c r="D179" s="71"/>
      <c r="E179" s="327"/>
      <c r="F179" s="327"/>
      <c r="G179" s="68"/>
      <c r="H179" s="68"/>
      <c r="I179" s="68"/>
      <c r="J179" s="68"/>
      <c r="K179" s="130"/>
      <c r="L179" s="68"/>
      <c r="M179" s="17"/>
      <c r="N179" s="17"/>
      <c r="O179" s="324">
        <v>0</v>
      </c>
      <c r="P179" s="335">
        <f t="shared" si="5"/>
        <v>0</v>
      </c>
      <c r="Q179" s="17"/>
    </row>
    <row r="180" spans="2:17" ht="17.25" hidden="1" x14ac:dyDescent="0.3">
      <c r="B180" s="16">
        <v>19</v>
      </c>
      <c r="C180" s="68"/>
      <c r="D180" s="71"/>
      <c r="E180" s="327"/>
      <c r="F180" s="327"/>
      <c r="G180" s="68"/>
      <c r="H180" s="68"/>
      <c r="I180" s="68"/>
      <c r="J180" s="74"/>
      <c r="K180" s="130"/>
      <c r="L180" s="68"/>
      <c r="M180" s="17"/>
      <c r="N180" s="17"/>
      <c r="O180" s="324">
        <v>0</v>
      </c>
      <c r="P180" s="335">
        <f t="shared" si="5"/>
        <v>0</v>
      </c>
      <c r="Q180" s="17"/>
    </row>
    <row r="181" spans="2:17" ht="18" hidden="1" customHeight="1" x14ac:dyDescent="0.3">
      <c r="B181" s="16">
        <v>20</v>
      </c>
      <c r="C181" s="68"/>
      <c r="D181" s="71"/>
      <c r="E181" s="327"/>
      <c r="F181" s="327"/>
      <c r="G181" s="68"/>
      <c r="H181" s="68"/>
      <c r="I181" s="68"/>
      <c r="J181" s="74"/>
      <c r="K181" s="130"/>
      <c r="L181" s="68"/>
      <c r="M181" s="17"/>
      <c r="N181" s="17"/>
      <c r="O181" s="324">
        <v>0</v>
      </c>
      <c r="P181" s="335">
        <f t="shared" si="5"/>
        <v>0</v>
      </c>
      <c r="Q181" s="17"/>
    </row>
    <row r="182" spans="2:17" ht="18" hidden="1" customHeight="1" x14ac:dyDescent="0.3">
      <c r="B182" s="16">
        <v>21</v>
      </c>
      <c r="C182" s="68"/>
      <c r="D182" s="71"/>
      <c r="E182" s="327"/>
      <c r="F182" s="327"/>
      <c r="G182" s="68"/>
      <c r="H182" s="68"/>
      <c r="I182" s="68"/>
      <c r="J182" s="74"/>
      <c r="K182" s="130"/>
      <c r="L182" s="68"/>
      <c r="M182" s="17"/>
      <c r="N182" s="17"/>
      <c r="O182" s="324">
        <v>0</v>
      </c>
      <c r="P182" s="335">
        <f t="shared" si="5"/>
        <v>0</v>
      </c>
      <c r="Q182" s="17"/>
    </row>
    <row r="183" spans="2:17" ht="18" hidden="1" customHeight="1" x14ac:dyDescent="0.3">
      <c r="B183" s="16">
        <v>22</v>
      </c>
      <c r="C183" s="68"/>
      <c r="D183" s="71"/>
      <c r="E183" s="327"/>
      <c r="F183" s="327"/>
      <c r="G183" s="68"/>
      <c r="H183" s="68"/>
      <c r="I183" s="68"/>
      <c r="J183" s="74"/>
      <c r="K183" s="130"/>
      <c r="L183" s="68"/>
      <c r="M183" s="17"/>
      <c r="N183" s="17"/>
      <c r="O183" s="324">
        <v>0</v>
      </c>
      <c r="P183" s="335">
        <f t="shared" si="5"/>
        <v>0</v>
      </c>
      <c r="Q183" s="17"/>
    </row>
    <row r="184" spans="2:17" ht="18" hidden="1" customHeight="1" x14ac:dyDescent="0.3">
      <c r="B184" s="16">
        <v>23</v>
      </c>
      <c r="C184" s="68"/>
      <c r="D184" s="71"/>
      <c r="E184" s="327"/>
      <c r="F184" s="327"/>
      <c r="G184" s="68"/>
      <c r="H184" s="68"/>
      <c r="I184" s="68"/>
      <c r="J184" s="74"/>
      <c r="K184" s="130"/>
      <c r="L184" s="68"/>
      <c r="M184" s="17"/>
      <c r="N184" s="17"/>
      <c r="O184" s="324">
        <v>0</v>
      </c>
      <c r="P184" s="335">
        <f t="shared" si="5"/>
        <v>0</v>
      </c>
      <c r="Q184" s="17"/>
    </row>
    <row r="185" spans="2:17" ht="18" hidden="1" customHeight="1" x14ac:dyDescent="0.3">
      <c r="B185" s="16">
        <v>24</v>
      </c>
      <c r="C185" s="68"/>
      <c r="D185" s="71"/>
      <c r="E185" s="327"/>
      <c r="F185" s="327"/>
      <c r="G185" s="68"/>
      <c r="H185" s="68"/>
      <c r="I185" s="68"/>
      <c r="J185" s="74"/>
      <c r="K185" s="130"/>
      <c r="L185" s="68"/>
      <c r="M185" s="17"/>
      <c r="N185" s="17"/>
      <c r="O185" s="324">
        <v>0</v>
      </c>
      <c r="P185" s="335">
        <f t="shared" si="5"/>
        <v>0</v>
      </c>
      <c r="Q185" s="17"/>
    </row>
    <row r="186" spans="2:17" ht="18" hidden="1" customHeight="1" x14ac:dyDescent="0.3">
      <c r="B186" s="16">
        <v>25</v>
      </c>
      <c r="C186" s="68"/>
      <c r="D186" s="71"/>
      <c r="E186" s="327"/>
      <c r="F186" s="327"/>
      <c r="G186" s="68"/>
      <c r="H186" s="68"/>
      <c r="I186" s="68"/>
      <c r="J186" s="74"/>
      <c r="K186" s="130"/>
      <c r="L186" s="68"/>
      <c r="M186" s="17"/>
      <c r="N186" s="17"/>
      <c r="O186" s="324">
        <v>0</v>
      </c>
      <c r="P186" s="335">
        <f t="shared" si="5"/>
        <v>0</v>
      </c>
      <c r="Q186" s="17"/>
    </row>
    <row r="187" spans="2:17" ht="18" hidden="1" customHeight="1" x14ac:dyDescent="0.3">
      <c r="B187" s="16">
        <v>26</v>
      </c>
      <c r="C187" s="68"/>
      <c r="D187" s="71"/>
      <c r="E187" s="327"/>
      <c r="F187" s="327"/>
      <c r="G187" s="68"/>
      <c r="H187" s="68"/>
      <c r="I187" s="68"/>
      <c r="J187" s="74"/>
      <c r="K187" s="130"/>
      <c r="L187" s="68"/>
      <c r="M187" s="17"/>
      <c r="N187" s="17"/>
      <c r="O187" s="324">
        <v>0</v>
      </c>
      <c r="P187" s="335">
        <f t="shared" si="5"/>
        <v>0</v>
      </c>
      <c r="Q187" s="17"/>
    </row>
    <row r="188" spans="2:17" ht="18" hidden="1" customHeight="1" x14ac:dyDescent="0.3">
      <c r="B188" s="16">
        <v>27</v>
      </c>
      <c r="C188" s="68"/>
      <c r="D188" s="71"/>
      <c r="E188" s="327"/>
      <c r="F188" s="327"/>
      <c r="G188" s="68"/>
      <c r="H188" s="68"/>
      <c r="I188" s="68"/>
      <c r="J188" s="74"/>
      <c r="K188" s="130"/>
      <c r="L188" s="68"/>
      <c r="M188" s="17"/>
      <c r="N188" s="17"/>
      <c r="O188" s="324">
        <v>0</v>
      </c>
      <c r="P188" s="335">
        <f t="shared" si="5"/>
        <v>0</v>
      </c>
      <c r="Q188" s="17"/>
    </row>
    <row r="189" spans="2:17" ht="18" hidden="1" customHeight="1" x14ac:dyDescent="0.3">
      <c r="B189" s="16">
        <v>28</v>
      </c>
      <c r="C189" s="68"/>
      <c r="D189" s="71"/>
      <c r="E189" s="327"/>
      <c r="F189" s="327"/>
      <c r="G189" s="68"/>
      <c r="H189" s="68"/>
      <c r="I189" s="68"/>
      <c r="J189" s="74"/>
      <c r="K189" s="130"/>
      <c r="L189" s="68"/>
      <c r="M189" s="17"/>
      <c r="N189" s="17"/>
      <c r="O189" s="324">
        <v>0</v>
      </c>
      <c r="P189" s="335">
        <f t="shared" si="5"/>
        <v>0</v>
      </c>
      <c r="Q189" s="17"/>
    </row>
    <row r="190" spans="2:17" ht="18" hidden="1" customHeight="1" x14ac:dyDescent="0.3">
      <c r="B190" s="16">
        <v>29</v>
      </c>
      <c r="C190" s="68"/>
      <c r="D190" s="71"/>
      <c r="E190" s="327"/>
      <c r="F190" s="327"/>
      <c r="G190" s="68"/>
      <c r="H190" s="68"/>
      <c r="I190" s="68"/>
      <c r="J190" s="74"/>
      <c r="K190" s="130"/>
      <c r="L190" s="68"/>
      <c r="M190" s="17"/>
      <c r="N190" s="17"/>
      <c r="O190" s="324">
        <v>0</v>
      </c>
      <c r="P190" s="335">
        <f t="shared" si="5"/>
        <v>0</v>
      </c>
      <c r="Q190" s="17"/>
    </row>
    <row r="191" spans="2:17" ht="18" hidden="1" customHeight="1" x14ac:dyDescent="0.3">
      <c r="B191" s="16">
        <v>30</v>
      </c>
      <c r="C191" s="68"/>
      <c r="D191" s="71"/>
      <c r="E191" s="327"/>
      <c r="F191" s="327"/>
      <c r="G191" s="68"/>
      <c r="H191" s="68"/>
      <c r="I191" s="68"/>
      <c r="J191" s="74"/>
      <c r="K191" s="130"/>
      <c r="L191" s="68"/>
      <c r="M191" s="17"/>
      <c r="N191" s="17"/>
      <c r="O191" s="324">
        <v>0</v>
      </c>
      <c r="P191" s="335">
        <f t="shared" si="5"/>
        <v>0</v>
      </c>
      <c r="Q191" s="17"/>
    </row>
    <row r="192" spans="2:17" ht="18" hidden="1" customHeight="1" x14ac:dyDescent="0.3">
      <c r="B192" s="16">
        <v>31</v>
      </c>
      <c r="C192" s="68"/>
      <c r="D192" s="71"/>
      <c r="E192" s="327"/>
      <c r="F192" s="327"/>
      <c r="G192" s="68"/>
      <c r="H192" s="68"/>
      <c r="I192" s="68"/>
      <c r="J192" s="74"/>
      <c r="K192" s="130"/>
      <c r="L192" s="68"/>
      <c r="M192" s="17"/>
      <c r="N192" s="17"/>
      <c r="O192" s="324">
        <v>0</v>
      </c>
      <c r="P192" s="335">
        <f t="shared" si="5"/>
        <v>0</v>
      </c>
      <c r="Q192" s="17"/>
    </row>
    <row r="193" spans="2:17" ht="18" hidden="1" customHeight="1" x14ac:dyDescent="0.3">
      <c r="B193" s="16">
        <v>32</v>
      </c>
      <c r="C193" s="68"/>
      <c r="D193" s="71"/>
      <c r="E193" s="327"/>
      <c r="F193" s="327"/>
      <c r="G193" s="68"/>
      <c r="H193" s="68"/>
      <c r="I193" s="68"/>
      <c r="J193" s="74"/>
      <c r="K193" s="130"/>
      <c r="L193" s="68"/>
      <c r="M193" s="17"/>
      <c r="N193" s="17"/>
      <c r="O193" s="324">
        <v>0</v>
      </c>
      <c r="P193" s="335">
        <f t="shared" si="5"/>
        <v>0</v>
      </c>
      <c r="Q193" s="17"/>
    </row>
    <row r="194" spans="2:17" ht="18" hidden="1" customHeight="1" x14ac:dyDescent="0.3">
      <c r="B194" s="16">
        <v>33</v>
      </c>
      <c r="C194" s="68"/>
      <c r="D194" s="71"/>
      <c r="E194" s="327"/>
      <c r="F194" s="327"/>
      <c r="G194" s="68"/>
      <c r="H194" s="68"/>
      <c r="I194" s="68"/>
      <c r="J194" s="74"/>
      <c r="K194" s="130"/>
      <c r="L194" s="68"/>
      <c r="M194" s="17"/>
      <c r="N194" s="17"/>
      <c r="O194" s="324">
        <v>0</v>
      </c>
      <c r="P194" s="335">
        <f t="shared" si="5"/>
        <v>0</v>
      </c>
      <c r="Q194" s="17"/>
    </row>
    <row r="195" spans="2:17" ht="18" hidden="1" customHeight="1" x14ac:dyDescent="0.3">
      <c r="B195" s="16">
        <v>34</v>
      </c>
      <c r="C195" s="68"/>
      <c r="D195" s="71"/>
      <c r="E195" s="327"/>
      <c r="F195" s="327"/>
      <c r="G195" s="68"/>
      <c r="H195" s="68"/>
      <c r="I195" s="68"/>
      <c r="J195" s="74"/>
      <c r="K195" s="130"/>
      <c r="L195" s="68"/>
      <c r="M195" s="17"/>
      <c r="N195" s="17"/>
      <c r="O195" s="324">
        <v>0</v>
      </c>
      <c r="P195" s="335">
        <f t="shared" si="5"/>
        <v>0</v>
      </c>
      <c r="Q195" s="17"/>
    </row>
    <row r="196" spans="2:17" ht="18" hidden="1" customHeight="1" x14ac:dyDescent="0.3">
      <c r="B196" s="16">
        <v>35</v>
      </c>
      <c r="C196" s="68"/>
      <c r="D196" s="71"/>
      <c r="E196" s="327"/>
      <c r="F196" s="327"/>
      <c r="G196" s="68"/>
      <c r="H196" s="68"/>
      <c r="I196" s="68"/>
      <c r="J196" s="74"/>
      <c r="K196" s="130"/>
      <c r="L196" s="68"/>
      <c r="M196" s="17"/>
      <c r="N196" s="17"/>
      <c r="O196" s="324">
        <v>0</v>
      </c>
      <c r="P196" s="335">
        <f t="shared" si="5"/>
        <v>0</v>
      </c>
      <c r="Q196" s="17"/>
    </row>
    <row r="197" spans="2:17" ht="18" hidden="1" customHeight="1" x14ac:dyDescent="0.3">
      <c r="B197" s="16">
        <v>36</v>
      </c>
      <c r="C197" s="68"/>
      <c r="D197" s="71"/>
      <c r="E197" s="327"/>
      <c r="F197" s="327"/>
      <c r="G197" s="68"/>
      <c r="H197" s="68"/>
      <c r="I197" s="68"/>
      <c r="J197" s="74"/>
      <c r="K197" s="130"/>
      <c r="L197" s="68"/>
      <c r="M197" s="17"/>
      <c r="N197" s="17"/>
      <c r="O197" s="324">
        <v>0</v>
      </c>
      <c r="P197" s="335">
        <f t="shared" si="5"/>
        <v>0</v>
      </c>
      <c r="Q197" s="17"/>
    </row>
    <row r="198" spans="2:17" ht="18" hidden="1" customHeight="1" x14ac:dyDescent="0.3">
      <c r="B198" s="16">
        <v>37</v>
      </c>
      <c r="C198" s="68"/>
      <c r="D198" s="71"/>
      <c r="E198" s="327"/>
      <c r="F198" s="327"/>
      <c r="G198" s="68"/>
      <c r="H198" s="68"/>
      <c r="I198" s="68"/>
      <c r="J198" s="74"/>
      <c r="K198" s="130"/>
      <c r="L198" s="68"/>
      <c r="M198" s="17"/>
      <c r="N198" s="17"/>
      <c r="O198" s="324">
        <v>0</v>
      </c>
      <c r="P198" s="335">
        <f t="shared" si="5"/>
        <v>0</v>
      </c>
      <c r="Q198" s="17"/>
    </row>
    <row r="199" spans="2:17" ht="18" hidden="1" customHeight="1" x14ac:dyDescent="0.3">
      <c r="B199" s="16">
        <v>38</v>
      </c>
      <c r="C199" s="68"/>
      <c r="D199" s="71"/>
      <c r="E199" s="327"/>
      <c r="F199" s="327"/>
      <c r="G199" s="68"/>
      <c r="H199" s="68"/>
      <c r="I199" s="68"/>
      <c r="J199" s="74"/>
      <c r="K199" s="130"/>
      <c r="L199" s="68"/>
      <c r="M199" s="17"/>
      <c r="N199" s="17"/>
      <c r="O199" s="324">
        <v>0</v>
      </c>
      <c r="P199" s="335">
        <f t="shared" si="5"/>
        <v>0</v>
      </c>
      <c r="Q199" s="17"/>
    </row>
    <row r="200" spans="2:17" ht="18" hidden="1" customHeight="1" x14ac:dyDescent="0.3">
      <c r="B200" s="16">
        <v>39</v>
      </c>
      <c r="C200" s="68"/>
      <c r="D200" s="71"/>
      <c r="E200" s="327"/>
      <c r="F200" s="327"/>
      <c r="G200" s="68"/>
      <c r="H200" s="68"/>
      <c r="I200" s="68"/>
      <c r="J200" s="74"/>
      <c r="K200" s="130"/>
      <c r="L200" s="68"/>
      <c r="M200" s="17"/>
      <c r="N200" s="17"/>
      <c r="O200" s="324">
        <v>0</v>
      </c>
      <c r="P200" s="335">
        <f t="shared" si="5"/>
        <v>0</v>
      </c>
      <c r="Q200" s="17"/>
    </row>
    <row r="201" spans="2:17" ht="18" hidden="1" customHeight="1" x14ac:dyDescent="0.3">
      <c r="B201" s="16">
        <v>40</v>
      </c>
      <c r="C201" s="68"/>
      <c r="D201" s="71"/>
      <c r="E201" s="327"/>
      <c r="F201" s="327"/>
      <c r="G201" s="68"/>
      <c r="H201" s="68"/>
      <c r="I201" s="68"/>
      <c r="J201" s="74"/>
      <c r="K201" s="130"/>
      <c r="L201" s="68"/>
      <c r="M201" s="17"/>
      <c r="N201" s="17"/>
      <c r="O201" s="324">
        <v>0</v>
      </c>
      <c r="P201" s="335">
        <f t="shared" si="5"/>
        <v>0</v>
      </c>
      <c r="Q201" s="17"/>
    </row>
    <row r="202" spans="2:17" ht="18" hidden="1" customHeight="1" x14ac:dyDescent="0.3">
      <c r="C202" s="81" t="s">
        <v>566</v>
      </c>
      <c r="D202" s="71"/>
      <c r="E202" s="327"/>
      <c r="F202" s="327"/>
      <c r="G202" s="68"/>
      <c r="H202" s="68"/>
      <c r="I202" s="68"/>
      <c r="J202" s="74"/>
      <c r="K202" s="130"/>
      <c r="L202" s="68"/>
      <c r="M202" s="17"/>
      <c r="N202" s="17"/>
      <c r="O202" s="324">
        <v>0</v>
      </c>
      <c r="P202" s="335">
        <f t="shared" si="5"/>
        <v>0</v>
      </c>
      <c r="Q202" s="17"/>
    </row>
    <row r="203" spans="2:17" x14ac:dyDescent="0.3">
      <c r="C203" s="54"/>
    </row>
    <row r="204" spans="2:17" x14ac:dyDescent="0.3">
      <c r="C204" s="54"/>
    </row>
    <row r="205" spans="2:17" ht="55.5" customHeight="1" x14ac:dyDescent="0.3">
      <c r="B205" s="82"/>
      <c r="C205" s="82"/>
      <c r="D205" s="82"/>
      <c r="E205" s="219"/>
      <c r="F205" s="219"/>
      <c r="G205" s="86"/>
      <c r="H205" s="82"/>
      <c r="I205" s="86"/>
      <c r="J205" s="86"/>
      <c r="K205" s="82"/>
      <c r="L205" s="82"/>
      <c r="P205" s="929" t="s">
        <v>612</v>
      </c>
      <c r="Q205" s="929"/>
    </row>
    <row r="206" spans="2:17" ht="25.5" customHeight="1" x14ac:dyDescent="0.3">
      <c r="B206" s="320" t="s">
        <v>607</v>
      </c>
      <c r="C206" s="321"/>
      <c r="D206" s="322"/>
      <c r="E206" s="322"/>
      <c r="F206" s="322"/>
      <c r="G206" s="322"/>
      <c r="H206" s="322"/>
      <c r="I206" s="322"/>
      <c r="J206" s="322"/>
      <c r="K206" s="322"/>
      <c r="L206" s="322"/>
      <c r="M206" s="322"/>
      <c r="N206" s="322"/>
      <c r="O206" s="322"/>
      <c r="P206" s="930">
        <f>SUM(P210:P250)</f>
        <v>8183139.7199999997</v>
      </c>
      <c r="Q206" s="931"/>
    </row>
    <row r="207" spans="2:17" ht="17.45" customHeight="1" x14ac:dyDescent="0.3">
      <c r="B207" s="919" t="s">
        <v>182</v>
      </c>
      <c r="C207" s="920"/>
      <c r="D207" s="920"/>
      <c r="E207" s="920"/>
      <c r="F207" s="920"/>
      <c r="G207" s="920"/>
      <c r="H207" s="920"/>
      <c r="I207" s="920"/>
      <c r="J207" s="920"/>
      <c r="K207" s="920"/>
      <c r="L207" s="920"/>
      <c r="M207" s="920"/>
      <c r="N207" s="920"/>
      <c r="O207" s="920"/>
      <c r="P207" s="920"/>
      <c r="Q207" s="921"/>
    </row>
    <row r="208" spans="2:17" ht="16.5" customHeight="1" x14ac:dyDescent="0.3">
      <c r="B208" s="833" t="s">
        <v>35</v>
      </c>
      <c r="C208" s="844" t="s">
        <v>177</v>
      </c>
      <c r="D208" s="837" t="s">
        <v>466</v>
      </c>
      <c r="E208" s="844" t="s">
        <v>183</v>
      </c>
      <c r="F208" s="837" t="s">
        <v>100</v>
      </c>
      <c r="G208" s="837" t="s">
        <v>174</v>
      </c>
      <c r="H208" s="917" t="s">
        <v>171</v>
      </c>
      <c r="I208" s="918"/>
      <c r="J208" s="844" t="s">
        <v>173</v>
      </c>
      <c r="K208" s="837" t="s">
        <v>423</v>
      </c>
      <c r="L208" s="837" t="s">
        <v>465</v>
      </c>
      <c r="M208" s="837" t="s">
        <v>97</v>
      </c>
      <c r="N208" s="837" t="s">
        <v>168</v>
      </c>
      <c r="O208" s="837" t="s">
        <v>51</v>
      </c>
      <c r="P208" s="916" t="s">
        <v>422</v>
      </c>
      <c r="Q208" s="840" t="s">
        <v>169</v>
      </c>
    </row>
    <row r="209" spans="2:17" ht="33.950000000000003" customHeight="1" x14ac:dyDescent="0.3">
      <c r="B209" s="833"/>
      <c r="C209" s="844"/>
      <c r="D209" s="839"/>
      <c r="E209" s="844"/>
      <c r="F209" s="839"/>
      <c r="G209" s="839"/>
      <c r="H209" s="66" t="s">
        <v>172</v>
      </c>
      <c r="I209" s="287" t="s">
        <v>101</v>
      </c>
      <c r="J209" s="844"/>
      <c r="K209" s="839"/>
      <c r="L209" s="839"/>
      <c r="M209" s="839"/>
      <c r="N209" s="839"/>
      <c r="O209" s="839"/>
      <c r="P209" s="916"/>
      <c r="Q209" s="842"/>
    </row>
    <row r="210" spans="2:17" ht="33" x14ac:dyDescent="0.3">
      <c r="B210" s="122">
        <v>1</v>
      </c>
      <c r="C210" s="464" t="s">
        <v>1161</v>
      </c>
      <c r="D210" s="498">
        <v>1</v>
      </c>
      <c r="E210" s="446" t="s">
        <v>1162</v>
      </c>
      <c r="F210" s="446" t="s">
        <v>1162</v>
      </c>
      <c r="G210" s="446" t="s">
        <v>1162</v>
      </c>
      <c r="H210" s="446" t="s">
        <v>1162</v>
      </c>
      <c r="I210" s="446" t="s">
        <v>1162</v>
      </c>
      <c r="J210" s="446" t="s">
        <v>1162</v>
      </c>
      <c r="K210" s="471"/>
      <c r="L210" s="445" t="s">
        <v>1163</v>
      </c>
      <c r="M210" s="441" t="s">
        <v>1164</v>
      </c>
      <c r="N210" s="473" t="s">
        <v>1165</v>
      </c>
      <c r="O210" s="484">
        <v>3739523.44</v>
      </c>
      <c r="P210" s="335">
        <f>D210*O210</f>
        <v>3739523.44</v>
      </c>
      <c r="Q210" s="325"/>
    </row>
    <row r="211" spans="2:17" ht="34.5" x14ac:dyDescent="0.3">
      <c r="B211" s="122">
        <v>2</v>
      </c>
      <c r="C211" s="464" t="s">
        <v>1166</v>
      </c>
      <c r="D211" s="511">
        <v>1</v>
      </c>
      <c r="E211" s="446" t="s">
        <v>1162</v>
      </c>
      <c r="F211" s="446" t="s">
        <v>1162</v>
      </c>
      <c r="G211" s="446" t="s">
        <v>1162</v>
      </c>
      <c r="H211" s="446" t="s">
        <v>1162</v>
      </c>
      <c r="I211" s="446" t="s">
        <v>1162</v>
      </c>
      <c r="J211" s="446" t="s">
        <v>1162</v>
      </c>
      <c r="K211" s="471"/>
      <c r="L211" s="445" t="s">
        <v>1163</v>
      </c>
      <c r="M211" s="441" t="s">
        <v>1164</v>
      </c>
      <c r="N211" s="473" t="s">
        <v>1165</v>
      </c>
      <c r="O211" s="484">
        <v>1443616.28</v>
      </c>
      <c r="P211" s="335">
        <f t="shared" ref="P211:P250" si="6">D211*O211</f>
        <v>1443616.28</v>
      </c>
      <c r="Q211" s="17"/>
    </row>
    <row r="212" spans="2:17" ht="17.25" x14ac:dyDescent="0.3">
      <c r="B212" s="122">
        <v>3</v>
      </c>
      <c r="C212" s="464" t="s">
        <v>1167</v>
      </c>
      <c r="D212" s="511">
        <v>1</v>
      </c>
      <c r="E212" s="446" t="s">
        <v>1162</v>
      </c>
      <c r="F212" s="446" t="s">
        <v>1162</v>
      </c>
      <c r="G212" s="446" t="s">
        <v>1162</v>
      </c>
      <c r="H212" s="446" t="s">
        <v>1162</v>
      </c>
      <c r="I212" s="446" t="s">
        <v>1162</v>
      </c>
      <c r="J212" s="446" t="s">
        <v>1162</v>
      </c>
      <c r="K212" s="471"/>
      <c r="L212" s="445" t="s">
        <v>1163</v>
      </c>
      <c r="M212" s="441" t="s">
        <v>1164</v>
      </c>
      <c r="N212" s="441" t="s">
        <v>1168</v>
      </c>
      <c r="O212" s="484">
        <v>3000000</v>
      </c>
      <c r="P212" s="335">
        <f t="shared" si="6"/>
        <v>3000000</v>
      </c>
      <c r="Q212" s="17"/>
    </row>
    <row r="213" spans="2:17" ht="17.25" hidden="1" x14ac:dyDescent="0.3">
      <c r="B213" s="122">
        <v>4</v>
      </c>
      <c r="C213" s="445"/>
      <c r="D213" s="485"/>
      <c r="E213" s="486"/>
      <c r="F213" s="486"/>
      <c r="G213" s="445"/>
      <c r="H213" s="445"/>
      <c r="I213" s="445"/>
      <c r="J213" s="445"/>
      <c r="K213" s="471"/>
      <c r="L213" s="445"/>
      <c r="M213" s="441"/>
      <c r="N213" s="441"/>
      <c r="O213" s="484">
        <v>0</v>
      </c>
      <c r="P213" s="335">
        <f t="shared" si="6"/>
        <v>0</v>
      </c>
      <c r="Q213" s="17"/>
    </row>
    <row r="214" spans="2:17" ht="17.25" hidden="1" x14ac:dyDescent="0.3">
      <c r="B214" s="122">
        <v>5</v>
      </c>
      <c r="C214" s="445"/>
      <c r="D214" s="485"/>
      <c r="E214" s="486"/>
      <c r="F214" s="486"/>
      <c r="G214" s="445"/>
      <c r="H214" s="445"/>
      <c r="I214" s="445"/>
      <c r="J214" s="445"/>
      <c r="K214" s="471"/>
      <c r="L214" s="445"/>
      <c r="M214" s="441"/>
      <c r="N214" s="441"/>
      <c r="O214" s="484">
        <v>0</v>
      </c>
      <c r="P214" s="335">
        <f t="shared" si="6"/>
        <v>0</v>
      </c>
      <c r="Q214" s="17"/>
    </row>
    <row r="215" spans="2:17" ht="17.25" hidden="1" x14ac:dyDescent="0.3">
      <c r="B215" s="122">
        <v>6</v>
      </c>
      <c r="C215" s="445"/>
      <c r="D215" s="487"/>
      <c r="E215" s="486"/>
      <c r="F215" s="486"/>
      <c r="G215" s="445"/>
      <c r="H215" s="445"/>
      <c r="I215" s="445"/>
      <c r="J215" s="448"/>
      <c r="K215" s="471"/>
      <c r="L215" s="445"/>
      <c r="M215" s="441"/>
      <c r="N215" s="441"/>
      <c r="O215" s="484">
        <v>0</v>
      </c>
      <c r="P215" s="335">
        <f t="shared" si="6"/>
        <v>0</v>
      </c>
      <c r="Q215" s="17"/>
    </row>
    <row r="216" spans="2:17" ht="17.25" hidden="1" x14ac:dyDescent="0.3">
      <c r="B216" s="122">
        <v>7</v>
      </c>
      <c r="C216" s="445"/>
      <c r="D216" s="488"/>
      <c r="E216" s="486"/>
      <c r="F216" s="486"/>
      <c r="G216" s="445"/>
      <c r="H216" s="445"/>
      <c r="I216" s="445"/>
      <c r="J216" s="448"/>
      <c r="K216" s="471"/>
      <c r="L216" s="445"/>
      <c r="M216" s="441"/>
      <c r="N216" s="441"/>
      <c r="O216" s="484">
        <v>0</v>
      </c>
      <c r="P216" s="335">
        <f t="shared" si="6"/>
        <v>0</v>
      </c>
      <c r="Q216" s="17"/>
    </row>
    <row r="217" spans="2:17" ht="17.25" hidden="1" x14ac:dyDescent="0.3">
      <c r="B217" s="122">
        <v>8</v>
      </c>
      <c r="C217" s="445"/>
      <c r="D217" s="485"/>
      <c r="E217" s="486"/>
      <c r="F217" s="486"/>
      <c r="G217" s="445"/>
      <c r="H217" s="445"/>
      <c r="I217" s="445"/>
      <c r="J217" s="445"/>
      <c r="K217" s="471"/>
      <c r="L217" s="445"/>
      <c r="M217" s="441"/>
      <c r="N217" s="441"/>
      <c r="O217" s="484">
        <v>0</v>
      </c>
      <c r="P217" s="335">
        <f t="shared" si="6"/>
        <v>0</v>
      </c>
      <c r="Q217" s="17"/>
    </row>
    <row r="218" spans="2:17" ht="17.25" hidden="1" x14ac:dyDescent="0.3">
      <c r="B218" s="122">
        <v>9</v>
      </c>
      <c r="C218" s="445"/>
      <c r="D218" s="485"/>
      <c r="E218" s="486"/>
      <c r="F218" s="486"/>
      <c r="G218" s="445"/>
      <c r="H218" s="445"/>
      <c r="I218" s="445"/>
      <c r="J218" s="445"/>
      <c r="K218" s="471"/>
      <c r="L218" s="445"/>
      <c r="M218" s="441"/>
      <c r="N218" s="441"/>
      <c r="O218" s="484">
        <v>0</v>
      </c>
      <c r="P218" s="335">
        <f t="shared" si="6"/>
        <v>0</v>
      </c>
      <c r="Q218" s="17"/>
    </row>
    <row r="219" spans="2:17" ht="17.25" hidden="1" x14ac:dyDescent="0.3">
      <c r="B219" s="122">
        <v>10</v>
      </c>
      <c r="C219" s="445"/>
      <c r="D219" s="485"/>
      <c r="E219" s="486"/>
      <c r="F219" s="486"/>
      <c r="G219" s="445"/>
      <c r="H219" s="445"/>
      <c r="I219" s="445"/>
      <c r="J219" s="445"/>
      <c r="K219" s="471"/>
      <c r="L219" s="445"/>
      <c r="M219" s="441"/>
      <c r="N219" s="441"/>
      <c r="O219" s="484">
        <v>0</v>
      </c>
      <c r="P219" s="335">
        <f t="shared" si="6"/>
        <v>0</v>
      </c>
      <c r="Q219" s="17"/>
    </row>
    <row r="220" spans="2:17" ht="17.25" hidden="1" x14ac:dyDescent="0.3">
      <c r="B220" s="122">
        <v>11</v>
      </c>
      <c r="C220" s="445"/>
      <c r="D220" s="485"/>
      <c r="E220" s="486"/>
      <c r="F220" s="486"/>
      <c r="G220" s="445"/>
      <c r="H220" s="445"/>
      <c r="I220" s="445"/>
      <c r="J220" s="448"/>
      <c r="K220" s="471"/>
      <c r="L220" s="445"/>
      <c r="M220" s="441"/>
      <c r="N220" s="441"/>
      <c r="O220" s="484">
        <v>0</v>
      </c>
      <c r="P220" s="335">
        <f t="shared" si="6"/>
        <v>0</v>
      </c>
      <c r="Q220" s="17"/>
    </row>
    <row r="221" spans="2:17" ht="17.25" hidden="1" x14ac:dyDescent="0.3">
      <c r="B221" s="122">
        <v>12</v>
      </c>
      <c r="C221" s="445"/>
      <c r="D221" s="485"/>
      <c r="E221" s="486"/>
      <c r="F221" s="486"/>
      <c r="G221" s="445"/>
      <c r="H221" s="445"/>
      <c r="I221" s="445"/>
      <c r="J221" s="445"/>
      <c r="K221" s="471"/>
      <c r="L221" s="445"/>
      <c r="M221" s="441"/>
      <c r="N221" s="441"/>
      <c r="O221" s="484">
        <v>0</v>
      </c>
      <c r="P221" s="335">
        <f t="shared" si="6"/>
        <v>0</v>
      </c>
      <c r="Q221" s="17"/>
    </row>
    <row r="222" spans="2:17" ht="17.25" hidden="1" x14ac:dyDescent="0.3">
      <c r="B222" s="122">
        <v>13</v>
      </c>
      <c r="C222" s="445"/>
      <c r="D222" s="488"/>
      <c r="E222" s="486"/>
      <c r="F222" s="486"/>
      <c r="G222" s="445"/>
      <c r="H222" s="445"/>
      <c r="I222" s="445"/>
      <c r="J222" s="445"/>
      <c r="K222" s="471"/>
      <c r="L222" s="445"/>
      <c r="M222" s="441"/>
      <c r="N222" s="441"/>
      <c r="O222" s="484">
        <v>0</v>
      </c>
      <c r="P222" s="335">
        <f t="shared" si="6"/>
        <v>0</v>
      </c>
      <c r="Q222" s="17"/>
    </row>
    <row r="223" spans="2:17" ht="17.25" hidden="1" x14ac:dyDescent="0.3">
      <c r="B223" s="122">
        <v>14</v>
      </c>
      <c r="C223" s="445"/>
      <c r="D223" s="487"/>
      <c r="E223" s="486"/>
      <c r="F223" s="486"/>
      <c r="G223" s="445"/>
      <c r="H223" s="445"/>
      <c r="I223" s="445"/>
      <c r="J223" s="445"/>
      <c r="K223" s="471"/>
      <c r="L223" s="445"/>
      <c r="M223" s="441"/>
      <c r="N223" s="441"/>
      <c r="O223" s="484">
        <v>0</v>
      </c>
      <c r="P223" s="335">
        <f t="shared" si="6"/>
        <v>0</v>
      </c>
      <c r="Q223" s="17"/>
    </row>
    <row r="224" spans="2:17" ht="17.25" hidden="1" x14ac:dyDescent="0.3">
      <c r="B224" s="122">
        <v>15</v>
      </c>
      <c r="C224" s="445"/>
      <c r="D224" s="488"/>
      <c r="E224" s="486"/>
      <c r="F224" s="486"/>
      <c r="G224" s="445"/>
      <c r="H224" s="445"/>
      <c r="I224" s="445"/>
      <c r="J224" s="445"/>
      <c r="K224" s="471"/>
      <c r="L224" s="445"/>
      <c r="M224" s="441"/>
      <c r="N224" s="441"/>
      <c r="O224" s="484">
        <v>0</v>
      </c>
      <c r="P224" s="335">
        <f t="shared" si="6"/>
        <v>0</v>
      </c>
      <c r="Q224" s="17"/>
    </row>
    <row r="225" spans="2:17" ht="17.25" hidden="1" x14ac:dyDescent="0.3">
      <c r="B225" s="122">
        <v>16</v>
      </c>
      <c r="C225" s="445"/>
      <c r="D225" s="487"/>
      <c r="E225" s="486"/>
      <c r="F225" s="486"/>
      <c r="G225" s="445"/>
      <c r="H225" s="445"/>
      <c r="I225" s="445"/>
      <c r="J225" s="445"/>
      <c r="K225" s="471"/>
      <c r="L225" s="445"/>
      <c r="M225" s="441"/>
      <c r="N225" s="441"/>
      <c r="O225" s="484">
        <v>0</v>
      </c>
      <c r="P225" s="335">
        <f t="shared" si="6"/>
        <v>0</v>
      </c>
      <c r="Q225" s="17"/>
    </row>
    <row r="226" spans="2:17" ht="17.25" hidden="1" x14ac:dyDescent="0.3">
      <c r="B226" s="16">
        <v>17</v>
      </c>
      <c r="C226" s="445"/>
      <c r="D226" s="447"/>
      <c r="E226" s="486"/>
      <c r="F226" s="486"/>
      <c r="G226" s="445"/>
      <c r="H226" s="445"/>
      <c r="I226" s="445"/>
      <c r="J226" s="445"/>
      <c r="K226" s="471"/>
      <c r="L226" s="445"/>
      <c r="M226" s="441"/>
      <c r="N226" s="441"/>
      <c r="O226" s="484">
        <v>0</v>
      </c>
      <c r="P226" s="335">
        <f t="shared" si="6"/>
        <v>0</v>
      </c>
      <c r="Q226" s="17"/>
    </row>
    <row r="227" spans="2:17" ht="17.25" hidden="1" x14ac:dyDescent="0.3">
      <c r="B227" s="16">
        <v>18</v>
      </c>
      <c r="C227" s="445"/>
      <c r="D227" s="447"/>
      <c r="E227" s="486"/>
      <c r="F227" s="486"/>
      <c r="G227" s="445"/>
      <c r="H227" s="445"/>
      <c r="I227" s="445"/>
      <c r="J227" s="445"/>
      <c r="K227" s="471"/>
      <c r="L227" s="445"/>
      <c r="M227" s="441"/>
      <c r="N227" s="441"/>
      <c r="O227" s="484">
        <v>0</v>
      </c>
      <c r="P227" s="335">
        <f t="shared" si="6"/>
        <v>0</v>
      </c>
      <c r="Q227" s="17"/>
    </row>
    <row r="228" spans="2:17" ht="17.25" hidden="1" x14ac:dyDescent="0.3">
      <c r="B228" s="16">
        <v>19</v>
      </c>
      <c r="C228" s="445"/>
      <c r="D228" s="447"/>
      <c r="E228" s="486"/>
      <c r="F228" s="486"/>
      <c r="G228" s="445"/>
      <c r="H228" s="445"/>
      <c r="I228" s="445"/>
      <c r="J228" s="448"/>
      <c r="K228" s="471"/>
      <c r="L228" s="445"/>
      <c r="M228" s="441"/>
      <c r="N228" s="441"/>
      <c r="O228" s="484">
        <v>0</v>
      </c>
      <c r="P228" s="335">
        <f t="shared" si="6"/>
        <v>0</v>
      </c>
      <c r="Q228" s="17"/>
    </row>
    <row r="229" spans="2:17" ht="18" hidden="1" customHeight="1" x14ac:dyDescent="0.3">
      <c r="B229" s="16">
        <v>20</v>
      </c>
      <c r="C229" s="445"/>
      <c r="D229" s="447"/>
      <c r="E229" s="486"/>
      <c r="F229" s="486"/>
      <c r="G229" s="445"/>
      <c r="H229" s="445"/>
      <c r="I229" s="445"/>
      <c r="J229" s="448"/>
      <c r="K229" s="471"/>
      <c r="L229" s="445"/>
      <c r="M229" s="441"/>
      <c r="N229" s="441"/>
      <c r="O229" s="484">
        <v>0</v>
      </c>
      <c r="P229" s="335">
        <f t="shared" si="6"/>
        <v>0</v>
      </c>
      <c r="Q229" s="17"/>
    </row>
    <row r="230" spans="2:17" ht="18" hidden="1" customHeight="1" x14ac:dyDescent="0.3">
      <c r="B230" s="16">
        <v>21</v>
      </c>
      <c r="C230" s="445"/>
      <c r="D230" s="447"/>
      <c r="E230" s="486"/>
      <c r="F230" s="486"/>
      <c r="G230" s="445"/>
      <c r="H230" s="445"/>
      <c r="I230" s="445"/>
      <c r="J230" s="448"/>
      <c r="K230" s="471"/>
      <c r="L230" s="445"/>
      <c r="M230" s="441"/>
      <c r="N230" s="441"/>
      <c r="O230" s="484">
        <v>0</v>
      </c>
      <c r="P230" s="335">
        <f t="shared" si="6"/>
        <v>0</v>
      </c>
      <c r="Q230" s="17"/>
    </row>
    <row r="231" spans="2:17" ht="18" hidden="1" customHeight="1" x14ac:dyDescent="0.3">
      <c r="B231" s="16">
        <v>22</v>
      </c>
      <c r="C231" s="445"/>
      <c r="D231" s="447"/>
      <c r="E231" s="486"/>
      <c r="F231" s="486"/>
      <c r="G231" s="445"/>
      <c r="H231" s="445"/>
      <c r="I231" s="445"/>
      <c r="J231" s="448"/>
      <c r="K231" s="471"/>
      <c r="L231" s="445"/>
      <c r="M231" s="441"/>
      <c r="N231" s="441"/>
      <c r="O231" s="484">
        <v>0</v>
      </c>
      <c r="P231" s="335">
        <f t="shared" si="6"/>
        <v>0</v>
      </c>
      <c r="Q231" s="17"/>
    </row>
    <row r="232" spans="2:17" ht="18" hidden="1" customHeight="1" x14ac:dyDescent="0.3">
      <c r="B232" s="16">
        <v>23</v>
      </c>
      <c r="C232" s="445"/>
      <c r="D232" s="447"/>
      <c r="E232" s="486"/>
      <c r="F232" s="486"/>
      <c r="G232" s="445"/>
      <c r="H232" s="445"/>
      <c r="I232" s="445"/>
      <c r="J232" s="448"/>
      <c r="K232" s="471"/>
      <c r="L232" s="445"/>
      <c r="M232" s="441"/>
      <c r="N232" s="441"/>
      <c r="O232" s="484">
        <v>0</v>
      </c>
      <c r="P232" s="335">
        <f t="shared" si="6"/>
        <v>0</v>
      </c>
      <c r="Q232" s="17"/>
    </row>
    <row r="233" spans="2:17" ht="18" hidden="1" customHeight="1" x14ac:dyDescent="0.3">
      <c r="B233" s="16">
        <v>24</v>
      </c>
      <c r="C233" s="445"/>
      <c r="D233" s="447"/>
      <c r="E233" s="486"/>
      <c r="F233" s="486"/>
      <c r="G233" s="445"/>
      <c r="H233" s="445"/>
      <c r="I233" s="445"/>
      <c r="J233" s="448"/>
      <c r="K233" s="471"/>
      <c r="L233" s="445"/>
      <c r="M233" s="441"/>
      <c r="N233" s="441"/>
      <c r="O233" s="484">
        <v>0</v>
      </c>
      <c r="P233" s="335">
        <f t="shared" si="6"/>
        <v>0</v>
      </c>
      <c r="Q233" s="17"/>
    </row>
    <row r="234" spans="2:17" ht="18" hidden="1" customHeight="1" x14ac:dyDescent="0.3">
      <c r="B234" s="16">
        <v>25</v>
      </c>
      <c r="C234" s="445"/>
      <c r="D234" s="447"/>
      <c r="E234" s="486"/>
      <c r="F234" s="486"/>
      <c r="G234" s="445"/>
      <c r="H234" s="445"/>
      <c r="I234" s="445"/>
      <c r="J234" s="448"/>
      <c r="K234" s="471"/>
      <c r="L234" s="445"/>
      <c r="M234" s="441"/>
      <c r="N234" s="441"/>
      <c r="O234" s="484">
        <v>0</v>
      </c>
      <c r="P234" s="335">
        <f t="shared" si="6"/>
        <v>0</v>
      </c>
      <c r="Q234" s="17"/>
    </row>
    <row r="235" spans="2:17" ht="18" hidden="1" customHeight="1" x14ac:dyDescent="0.3">
      <c r="B235" s="16">
        <v>26</v>
      </c>
      <c r="C235" s="445"/>
      <c r="D235" s="447"/>
      <c r="E235" s="486"/>
      <c r="F235" s="486"/>
      <c r="G235" s="445"/>
      <c r="H235" s="445"/>
      <c r="I235" s="445"/>
      <c r="J235" s="448"/>
      <c r="K235" s="471"/>
      <c r="L235" s="445"/>
      <c r="M235" s="441"/>
      <c r="N235" s="441"/>
      <c r="O235" s="484">
        <v>0</v>
      </c>
      <c r="P235" s="335">
        <f t="shared" si="6"/>
        <v>0</v>
      </c>
      <c r="Q235" s="17"/>
    </row>
    <row r="236" spans="2:17" ht="18" hidden="1" customHeight="1" x14ac:dyDescent="0.3">
      <c r="B236" s="16">
        <v>27</v>
      </c>
      <c r="C236" s="549"/>
      <c r="D236" s="447"/>
      <c r="E236" s="486"/>
      <c r="F236" s="486"/>
      <c r="G236" s="445"/>
      <c r="H236" s="445"/>
      <c r="I236" s="445"/>
      <c r="J236" s="448"/>
      <c r="K236" s="471"/>
      <c r="L236" s="445"/>
      <c r="M236" s="441"/>
      <c r="N236" s="441"/>
      <c r="O236" s="484">
        <v>0</v>
      </c>
      <c r="P236" s="335">
        <f t="shared" si="6"/>
        <v>0</v>
      </c>
      <c r="Q236" s="17"/>
    </row>
    <row r="237" spans="2:17" ht="18" hidden="1" customHeight="1" x14ac:dyDescent="0.3">
      <c r="B237" s="16">
        <v>28</v>
      </c>
      <c r="C237" s="446"/>
      <c r="D237" s="550"/>
      <c r="E237" s="446"/>
      <c r="F237" s="486"/>
      <c r="G237" s="445"/>
      <c r="H237" s="445"/>
      <c r="I237" s="445"/>
      <c r="J237" s="448"/>
      <c r="K237" s="471"/>
      <c r="L237" s="445"/>
      <c r="M237" s="441"/>
      <c r="N237" s="441"/>
      <c r="O237" s="484">
        <v>0</v>
      </c>
      <c r="P237" s="335">
        <f t="shared" si="6"/>
        <v>0</v>
      </c>
      <c r="Q237" s="17"/>
    </row>
    <row r="238" spans="2:17" ht="18" hidden="1" customHeight="1" x14ac:dyDescent="0.3">
      <c r="B238" s="16">
        <v>29</v>
      </c>
      <c r="C238" s="445"/>
      <c r="D238" s="447"/>
      <c r="E238" s="486"/>
      <c r="F238" s="486"/>
      <c r="G238" s="445"/>
      <c r="H238" s="445"/>
      <c r="I238" s="445"/>
      <c r="J238" s="448"/>
      <c r="K238" s="471"/>
      <c r="L238" s="445"/>
      <c r="M238" s="441"/>
      <c r="N238" s="441"/>
      <c r="O238" s="484">
        <v>0</v>
      </c>
      <c r="P238" s="335">
        <f t="shared" si="6"/>
        <v>0</v>
      </c>
      <c r="Q238" s="17"/>
    </row>
    <row r="239" spans="2:17" ht="18" hidden="1" customHeight="1" x14ac:dyDescent="0.3">
      <c r="B239" s="16">
        <v>30</v>
      </c>
      <c r="C239" s="551"/>
      <c r="D239" s="447"/>
      <c r="E239" s="486"/>
      <c r="F239" s="486"/>
      <c r="G239" s="445"/>
      <c r="H239" s="445"/>
      <c r="I239" s="445"/>
      <c r="J239" s="448"/>
      <c r="K239" s="471"/>
      <c r="L239" s="445"/>
      <c r="M239" s="441"/>
      <c r="N239" s="441"/>
      <c r="O239" s="484">
        <v>0</v>
      </c>
      <c r="P239" s="335">
        <f t="shared" si="6"/>
        <v>0</v>
      </c>
      <c r="Q239" s="17"/>
    </row>
    <row r="240" spans="2:17" ht="18" hidden="1" customHeight="1" x14ac:dyDescent="0.3">
      <c r="B240" s="16">
        <v>31</v>
      </c>
      <c r="C240" s="446"/>
      <c r="D240" s="550"/>
      <c r="E240" s="486"/>
      <c r="F240" s="486"/>
      <c r="G240" s="445"/>
      <c r="H240" s="445"/>
      <c r="I240" s="445"/>
      <c r="J240" s="448"/>
      <c r="K240" s="471"/>
      <c r="L240" s="445"/>
      <c r="M240" s="441"/>
      <c r="N240" s="441"/>
      <c r="O240" s="484"/>
      <c r="P240" s="335">
        <f t="shared" si="6"/>
        <v>0</v>
      </c>
      <c r="Q240" s="17"/>
    </row>
    <row r="241" spans="2:17" ht="18" hidden="1" customHeight="1" x14ac:dyDescent="0.3">
      <c r="B241" s="16">
        <v>32</v>
      </c>
      <c r="C241" s="446"/>
      <c r="D241" s="550"/>
      <c r="E241" s="486"/>
      <c r="F241" s="486"/>
      <c r="G241" s="445"/>
      <c r="H241" s="445"/>
      <c r="I241" s="445"/>
      <c r="J241" s="448"/>
      <c r="K241" s="471"/>
      <c r="L241" s="445"/>
      <c r="M241" s="441"/>
      <c r="N241" s="441"/>
      <c r="O241" s="484"/>
      <c r="P241" s="335">
        <f t="shared" si="6"/>
        <v>0</v>
      </c>
      <c r="Q241" s="17"/>
    </row>
    <row r="242" spans="2:17" ht="18" hidden="1" customHeight="1" x14ac:dyDescent="0.3">
      <c r="B242" s="16">
        <v>33</v>
      </c>
      <c r="C242" s="68"/>
      <c r="D242" s="71"/>
      <c r="E242" s="327"/>
      <c r="F242" s="327"/>
      <c r="G242" s="68"/>
      <c r="H242" s="68"/>
      <c r="I242" s="68"/>
      <c r="J242" s="74"/>
      <c r="K242" s="130"/>
      <c r="L242" s="68"/>
      <c r="M242" s="17"/>
      <c r="N242" s="17"/>
      <c r="O242" s="324">
        <v>0</v>
      </c>
      <c r="P242" s="335">
        <f t="shared" si="6"/>
        <v>0</v>
      </c>
      <c r="Q242" s="17"/>
    </row>
    <row r="243" spans="2:17" ht="18" hidden="1" customHeight="1" x14ac:dyDescent="0.3">
      <c r="B243" s="16">
        <v>34</v>
      </c>
      <c r="C243" s="68"/>
      <c r="D243" s="71"/>
      <c r="E243" s="327"/>
      <c r="F243" s="327"/>
      <c r="G243" s="68"/>
      <c r="H243" s="68"/>
      <c r="I243" s="68"/>
      <c r="J243" s="74"/>
      <c r="K243" s="130"/>
      <c r="L243" s="68"/>
      <c r="M243" s="17"/>
      <c r="N243" s="17"/>
      <c r="O243" s="324">
        <v>0</v>
      </c>
      <c r="P243" s="335">
        <f t="shared" si="6"/>
        <v>0</v>
      </c>
      <c r="Q243" s="17"/>
    </row>
    <row r="244" spans="2:17" ht="18" hidden="1" customHeight="1" x14ac:dyDescent="0.3">
      <c r="B244" s="16">
        <v>35</v>
      </c>
      <c r="C244" s="68"/>
      <c r="D244" s="71"/>
      <c r="E244" s="327"/>
      <c r="F244" s="327"/>
      <c r="G244" s="68"/>
      <c r="H244" s="68"/>
      <c r="I244" s="68"/>
      <c r="J244" s="74"/>
      <c r="K244" s="130"/>
      <c r="L244" s="68"/>
      <c r="M244" s="17"/>
      <c r="N244" s="17"/>
      <c r="O244" s="324">
        <v>0</v>
      </c>
      <c r="P244" s="335">
        <f t="shared" si="6"/>
        <v>0</v>
      </c>
      <c r="Q244" s="17"/>
    </row>
    <row r="245" spans="2:17" ht="18" hidden="1" customHeight="1" x14ac:dyDescent="0.3">
      <c r="B245" s="16">
        <v>36</v>
      </c>
      <c r="C245" s="68"/>
      <c r="D245" s="71"/>
      <c r="E245" s="327"/>
      <c r="F245" s="327"/>
      <c r="G245" s="68"/>
      <c r="H245" s="68"/>
      <c r="I245" s="68"/>
      <c r="J245" s="74"/>
      <c r="K245" s="130"/>
      <c r="L245" s="68"/>
      <c r="M245" s="17"/>
      <c r="N245" s="17"/>
      <c r="O245" s="324">
        <v>0</v>
      </c>
      <c r="P245" s="335">
        <f t="shared" si="6"/>
        <v>0</v>
      </c>
      <c r="Q245" s="17"/>
    </row>
    <row r="246" spans="2:17" ht="18" hidden="1" customHeight="1" x14ac:dyDescent="0.3">
      <c r="B246" s="16">
        <v>37</v>
      </c>
      <c r="C246" s="68"/>
      <c r="D246" s="71"/>
      <c r="E246" s="327"/>
      <c r="F246" s="327"/>
      <c r="G246" s="68"/>
      <c r="H246" s="68"/>
      <c r="I246" s="68"/>
      <c r="J246" s="74"/>
      <c r="K246" s="130"/>
      <c r="L246" s="68"/>
      <c r="M246" s="17"/>
      <c r="N246" s="17"/>
      <c r="O246" s="324">
        <v>0</v>
      </c>
      <c r="P246" s="335">
        <f t="shared" si="6"/>
        <v>0</v>
      </c>
      <c r="Q246" s="17"/>
    </row>
    <row r="247" spans="2:17" ht="18" hidden="1" customHeight="1" x14ac:dyDescent="0.3">
      <c r="B247" s="16">
        <v>38</v>
      </c>
      <c r="C247" s="68"/>
      <c r="D247" s="71"/>
      <c r="E247" s="327"/>
      <c r="F247" s="327"/>
      <c r="G247" s="68"/>
      <c r="H247" s="68"/>
      <c r="I247" s="68"/>
      <c r="J247" s="74"/>
      <c r="K247" s="130"/>
      <c r="L247" s="68"/>
      <c r="M247" s="17"/>
      <c r="N247" s="17"/>
      <c r="O247" s="324">
        <v>0</v>
      </c>
      <c r="P247" s="335">
        <f t="shared" si="6"/>
        <v>0</v>
      </c>
      <c r="Q247" s="17"/>
    </row>
    <row r="248" spans="2:17" ht="18" hidden="1" customHeight="1" x14ac:dyDescent="0.3">
      <c r="B248" s="16">
        <v>39</v>
      </c>
      <c r="C248" s="68"/>
      <c r="D248" s="71"/>
      <c r="E248" s="327"/>
      <c r="F248" s="327"/>
      <c r="G248" s="68"/>
      <c r="H248" s="68"/>
      <c r="I248" s="68"/>
      <c r="J248" s="74"/>
      <c r="K248" s="130"/>
      <c r="L248" s="68"/>
      <c r="M248" s="17"/>
      <c r="N248" s="17"/>
      <c r="O248" s="324">
        <v>0</v>
      </c>
      <c r="P248" s="335">
        <f t="shared" si="6"/>
        <v>0</v>
      </c>
      <c r="Q248" s="17"/>
    </row>
    <row r="249" spans="2:17" ht="18" hidden="1" customHeight="1" x14ac:dyDescent="0.3">
      <c r="B249" s="16">
        <v>40</v>
      </c>
      <c r="C249" s="68"/>
      <c r="D249" s="71"/>
      <c r="E249" s="327"/>
      <c r="F249" s="327"/>
      <c r="G249" s="68"/>
      <c r="H249" s="68"/>
      <c r="I249" s="68"/>
      <c r="J249" s="74"/>
      <c r="K249" s="130"/>
      <c r="L249" s="68"/>
      <c r="M249" s="17"/>
      <c r="N249" s="17"/>
      <c r="O249" s="324">
        <v>0</v>
      </c>
      <c r="P249" s="335">
        <f t="shared" si="6"/>
        <v>0</v>
      </c>
      <c r="Q249" s="17"/>
    </row>
    <row r="250" spans="2:17" ht="18" hidden="1" customHeight="1" x14ac:dyDescent="0.3">
      <c r="C250" s="81" t="s">
        <v>566</v>
      </c>
      <c r="D250" s="71"/>
      <c r="E250" s="327"/>
      <c r="F250" s="327"/>
      <c r="G250" s="68"/>
      <c r="H250" s="68"/>
      <c r="I250" s="68"/>
      <c r="J250" s="74"/>
      <c r="K250" s="130"/>
      <c r="L250" s="68"/>
      <c r="M250" s="17"/>
      <c r="N250" s="17"/>
      <c r="O250" s="324">
        <v>0</v>
      </c>
      <c r="P250" s="336">
        <f t="shared" si="6"/>
        <v>0</v>
      </c>
      <c r="Q250" s="330"/>
    </row>
    <row r="251" spans="2:17" ht="18" customHeight="1" x14ac:dyDescent="0.3">
      <c r="C251" s="331"/>
      <c r="D251" s="84"/>
      <c r="E251" s="318"/>
      <c r="F251" s="318"/>
      <c r="G251" s="86"/>
      <c r="H251" s="83"/>
      <c r="I251" s="83"/>
      <c r="J251" s="86"/>
      <c r="K251" s="197"/>
      <c r="L251" s="83"/>
      <c r="O251" s="88"/>
      <c r="P251" s="332"/>
      <c r="Q251" s="333"/>
    </row>
    <row r="252" spans="2:17" ht="18" customHeight="1" x14ac:dyDescent="0.3">
      <c r="C252" s="331"/>
      <c r="D252" s="84"/>
      <c r="E252" s="318"/>
      <c r="F252" s="318"/>
      <c r="G252" s="86"/>
      <c r="H252" s="83"/>
      <c r="I252" s="83"/>
      <c r="J252" s="86"/>
      <c r="K252" s="197"/>
      <c r="L252" s="83"/>
      <c r="O252" s="88"/>
      <c r="P252" s="332"/>
      <c r="Q252" s="333"/>
    </row>
    <row r="253" spans="2:17" ht="40.5" customHeight="1" x14ac:dyDescent="0.3">
      <c r="C253" s="54"/>
      <c r="P253" s="929" t="s">
        <v>613</v>
      </c>
      <c r="Q253" s="929"/>
    </row>
    <row r="254" spans="2:17" ht="25.5" customHeight="1" x14ac:dyDescent="0.3">
      <c r="B254" s="320" t="s">
        <v>608</v>
      </c>
      <c r="C254" s="321"/>
      <c r="D254" s="322"/>
      <c r="E254" s="322"/>
      <c r="F254" s="322"/>
      <c r="G254" s="322"/>
      <c r="H254" s="322"/>
      <c r="I254" s="322"/>
      <c r="J254" s="322"/>
      <c r="K254" s="322"/>
      <c r="L254" s="322"/>
      <c r="M254" s="322"/>
      <c r="N254" s="322"/>
      <c r="O254" s="322"/>
      <c r="P254" s="930">
        <f>SUM(P258:P298)</f>
        <v>11500000</v>
      </c>
      <c r="Q254" s="931"/>
    </row>
    <row r="255" spans="2:17" ht="17.45" customHeight="1" x14ac:dyDescent="0.3">
      <c r="B255" s="919" t="s">
        <v>182</v>
      </c>
      <c r="C255" s="920"/>
      <c r="D255" s="920"/>
      <c r="E255" s="920"/>
      <c r="F255" s="920"/>
      <c r="G255" s="920"/>
      <c r="H255" s="920"/>
      <c r="I255" s="920"/>
      <c r="J255" s="920"/>
      <c r="K255" s="920"/>
      <c r="L255" s="920"/>
      <c r="M255" s="920"/>
      <c r="N255" s="920"/>
      <c r="O255" s="920"/>
      <c r="P255" s="920"/>
      <c r="Q255" s="921"/>
    </row>
    <row r="256" spans="2:17" ht="16.5" customHeight="1" x14ac:dyDescent="0.3">
      <c r="B256" s="833" t="s">
        <v>35</v>
      </c>
      <c r="C256" s="844" t="s">
        <v>177</v>
      </c>
      <c r="D256" s="837" t="s">
        <v>466</v>
      </c>
      <c r="E256" s="844" t="s">
        <v>183</v>
      </c>
      <c r="F256" s="837" t="s">
        <v>100</v>
      </c>
      <c r="G256" s="837" t="s">
        <v>174</v>
      </c>
      <c r="H256" s="917" t="s">
        <v>171</v>
      </c>
      <c r="I256" s="918"/>
      <c r="J256" s="844" t="s">
        <v>173</v>
      </c>
      <c r="K256" s="837" t="s">
        <v>423</v>
      </c>
      <c r="L256" s="837" t="s">
        <v>465</v>
      </c>
      <c r="M256" s="837" t="s">
        <v>97</v>
      </c>
      <c r="N256" s="837" t="s">
        <v>168</v>
      </c>
      <c r="O256" s="837" t="s">
        <v>51</v>
      </c>
      <c r="P256" s="916" t="s">
        <v>422</v>
      </c>
      <c r="Q256" s="840" t="s">
        <v>169</v>
      </c>
    </row>
    <row r="257" spans="2:17" ht="33.950000000000003" customHeight="1" x14ac:dyDescent="0.3">
      <c r="B257" s="833"/>
      <c r="C257" s="844"/>
      <c r="D257" s="839"/>
      <c r="E257" s="844"/>
      <c r="F257" s="839"/>
      <c r="G257" s="839"/>
      <c r="H257" s="66" t="s">
        <v>172</v>
      </c>
      <c r="I257" s="287" t="s">
        <v>101</v>
      </c>
      <c r="J257" s="844"/>
      <c r="K257" s="839"/>
      <c r="L257" s="839"/>
      <c r="M257" s="839"/>
      <c r="N257" s="839"/>
      <c r="O257" s="839"/>
      <c r="P257" s="916"/>
      <c r="Q257" s="842"/>
    </row>
    <row r="258" spans="2:17" ht="49.5" x14ac:dyDescent="0.3">
      <c r="B258" s="122">
        <v>1</v>
      </c>
      <c r="C258" s="446" t="s">
        <v>1154</v>
      </c>
      <c r="D258" s="498">
        <v>20</v>
      </c>
      <c r="E258" s="446" t="s">
        <v>1155</v>
      </c>
      <c r="F258" s="446" t="s">
        <v>1162</v>
      </c>
      <c r="G258" s="446" t="s">
        <v>1162</v>
      </c>
      <c r="H258" s="446" t="s">
        <v>1162</v>
      </c>
      <c r="I258" s="446" t="s">
        <v>1162</v>
      </c>
      <c r="J258" s="446" t="s">
        <v>1162</v>
      </c>
      <c r="K258" s="471" t="s">
        <v>939</v>
      </c>
      <c r="L258" s="445" t="s">
        <v>728</v>
      </c>
      <c r="M258" s="441" t="s">
        <v>1156</v>
      </c>
      <c r="N258" s="457" t="s">
        <v>1157</v>
      </c>
      <c r="O258" s="484">
        <v>575000</v>
      </c>
      <c r="P258" s="335">
        <f>D258*O258</f>
        <v>11500000</v>
      </c>
      <c r="Q258" s="325"/>
    </row>
    <row r="259" spans="2:17" ht="17.25" hidden="1" x14ac:dyDescent="0.3">
      <c r="B259" s="122">
        <v>2</v>
      </c>
      <c r="C259" s="445"/>
      <c r="D259" s="485"/>
      <c r="E259" s="486"/>
      <c r="F259" s="486"/>
      <c r="G259" s="445"/>
      <c r="H259" s="445"/>
      <c r="I259" s="445"/>
      <c r="J259" s="445"/>
      <c r="K259" s="471"/>
      <c r="L259" s="445"/>
      <c r="M259" s="441"/>
      <c r="N259" s="441"/>
      <c r="O259" s="484">
        <v>0</v>
      </c>
      <c r="P259" s="335">
        <f t="shared" ref="P259:P298" si="7">D259*O259</f>
        <v>0</v>
      </c>
      <c r="Q259" s="17"/>
    </row>
    <row r="260" spans="2:17" ht="17.25" hidden="1" x14ac:dyDescent="0.3">
      <c r="B260" s="122">
        <v>3</v>
      </c>
      <c r="C260" s="445"/>
      <c r="D260" s="485"/>
      <c r="E260" s="486"/>
      <c r="F260" s="486"/>
      <c r="G260" s="445"/>
      <c r="H260" s="445"/>
      <c r="I260" s="445"/>
      <c r="J260" s="445"/>
      <c r="K260" s="471"/>
      <c r="L260" s="445"/>
      <c r="M260" s="441"/>
      <c r="N260" s="441"/>
      <c r="O260" s="484">
        <v>0</v>
      </c>
      <c r="P260" s="335">
        <f t="shared" si="7"/>
        <v>0</v>
      </c>
      <c r="Q260" s="17"/>
    </row>
    <row r="261" spans="2:17" ht="17.25" hidden="1" x14ac:dyDescent="0.3">
      <c r="B261" s="122">
        <v>4</v>
      </c>
      <c r="C261" s="445"/>
      <c r="D261" s="485"/>
      <c r="E261" s="486"/>
      <c r="F261" s="486"/>
      <c r="G261" s="445"/>
      <c r="H261" s="445"/>
      <c r="I261" s="445"/>
      <c r="J261" s="445"/>
      <c r="K261" s="471"/>
      <c r="L261" s="445"/>
      <c r="M261" s="441"/>
      <c r="N261" s="441"/>
      <c r="O261" s="484">
        <v>0</v>
      </c>
      <c r="P261" s="335">
        <f t="shared" si="7"/>
        <v>0</v>
      </c>
      <c r="Q261" s="17"/>
    </row>
    <row r="262" spans="2:17" ht="17.25" hidden="1" x14ac:dyDescent="0.3">
      <c r="B262" s="122">
        <v>5</v>
      </c>
      <c r="C262" s="445"/>
      <c r="D262" s="485"/>
      <c r="E262" s="486"/>
      <c r="F262" s="486"/>
      <c r="G262" s="445"/>
      <c r="H262" s="445"/>
      <c r="I262" s="445"/>
      <c r="J262" s="445"/>
      <c r="K262" s="471"/>
      <c r="L262" s="445"/>
      <c r="M262" s="441"/>
      <c r="N262" s="441"/>
      <c r="O262" s="484">
        <v>0</v>
      </c>
      <c r="P262" s="335">
        <f t="shared" si="7"/>
        <v>0</v>
      </c>
      <c r="Q262" s="17"/>
    </row>
    <row r="263" spans="2:17" ht="17.25" hidden="1" x14ac:dyDescent="0.3">
      <c r="B263" s="122">
        <v>6</v>
      </c>
      <c r="C263" s="445"/>
      <c r="D263" s="487"/>
      <c r="E263" s="486"/>
      <c r="F263" s="486"/>
      <c r="G263" s="445"/>
      <c r="H263" s="445"/>
      <c r="I263" s="445"/>
      <c r="J263" s="448"/>
      <c r="K263" s="471"/>
      <c r="L263" s="445"/>
      <c r="M263" s="441"/>
      <c r="N263" s="441"/>
      <c r="O263" s="484">
        <v>0</v>
      </c>
      <c r="P263" s="335">
        <f t="shared" si="7"/>
        <v>0</v>
      </c>
      <c r="Q263" s="17"/>
    </row>
    <row r="264" spans="2:17" ht="17.25" hidden="1" x14ac:dyDescent="0.3">
      <c r="B264" s="122">
        <v>7</v>
      </c>
      <c r="C264" s="445"/>
      <c r="D264" s="488"/>
      <c r="E264" s="486"/>
      <c r="F264" s="486"/>
      <c r="G264" s="445"/>
      <c r="H264" s="445"/>
      <c r="I264" s="445"/>
      <c r="J264" s="448"/>
      <c r="K264" s="471"/>
      <c r="L264" s="445"/>
      <c r="M264" s="441"/>
      <c r="N264" s="441"/>
      <c r="O264" s="484">
        <v>0</v>
      </c>
      <c r="P264" s="335">
        <f t="shared" si="7"/>
        <v>0</v>
      </c>
      <c r="Q264" s="17"/>
    </row>
    <row r="265" spans="2:17" ht="17.25" hidden="1" x14ac:dyDescent="0.3">
      <c r="B265" s="122">
        <v>8</v>
      </c>
      <c r="C265" s="445"/>
      <c r="D265" s="485"/>
      <c r="E265" s="486"/>
      <c r="F265" s="486"/>
      <c r="G265" s="445"/>
      <c r="H265" s="445"/>
      <c r="I265" s="445"/>
      <c r="J265" s="445"/>
      <c r="K265" s="471"/>
      <c r="L265" s="445"/>
      <c r="M265" s="441"/>
      <c r="N265" s="441"/>
      <c r="O265" s="484">
        <v>0</v>
      </c>
      <c r="P265" s="335">
        <f t="shared" si="7"/>
        <v>0</v>
      </c>
      <c r="Q265" s="17"/>
    </row>
    <row r="266" spans="2:17" ht="17.25" hidden="1" x14ac:dyDescent="0.3">
      <c r="B266" s="122">
        <v>9</v>
      </c>
      <c r="C266" s="445"/>
      <c r="D266" s="485"/>
      <c r="E266" s="486"/>
      <c r="F266" s="486"/>
      <c r="G266" s="445"/>
      <c r="H266" s="445"/>
      <c r="I266" s="445"/>
      <c r="J266" s="445"/>
      <c r="K266" s="471"/>
      <c r="L266" s="445"/>
      <c r="M266" s="441"/>
      <c r="N266" s="441"/>
      <c r="O266" s="484">
        <v>0</v>
      </c>
      <c r="P266" s="335">
        <f t="shared" si="7"/>
        <v>0</v>
      </c>
      <c r="Q266" s="17"/>
    </row>
    <row r="267" spans="2:17" ht="17.25" hidden="1" x14ac:dyDescent="0.3">
      <c r="B267" s="122">
        <v>10</v>
      </c>
      <c r="C267" s="445"/>
      <c r="D267" s="485"/>
      <c r="E267" s="486"/>
      <c r="F267" s="486"/>
      <c r="G267" s="445"/>
      <c r="H267" s="445"/>
      <c r="I267" s="445"/>
      <c r="J267" s="445"/>
      <c r="K267" s="471"/>
      <c r="L267" s="445"/>
      <c r="M267" s="441"/>
      <c r="N267" s="441"/>
      <c r="O267" s="484">
        <v>0</v>
      </c>
      <c r="P267" s="335">
        <f t="shared" si="7"/>
        <v>0</v>
      </c>
      <c r="Q267" s="17"/>
    </row>
    <row r="268" spans="2:17" ht="17.25" hidden="1" x14ac:dyDescent="0.3">
      <c r="B268" s="122">
        <v>11</v>
      </c>
      <c r="C268" s="445"/>
      <c r="D268" s="485"/>
      <c r="E268" s="486"/>
      <c r="F268" s="486"/>
      <c r="G268" s="445"/>
      <c r="H268" s="445"/>
      <c r="I268" s="445"/>
      <c r="J268" s="448"/>
      <c r="K268" s="471"/>
      <c r="L268" s="445"/>
      <c r="M268" s="441"/>
      <c r="N268" s="441"/>
      <c r="O268" s="484">
        <v>0</v>
      </c>
      <c r="P268" s="335">
        <f t="shared" si="7"/>
        <v>0</v>
      </c>
      <c r="Q268" s="17"/>
    </row>
    <row r="269" spans="2:17" ht="17.25" hidden="1" x14ac:dyDescent="0.3">
      <c r="B269" s="122">
        <v>12</v>
      </c>
      <c r="C269" s="445"/>
      <c r="D269" s="485"/>
      <c r="E269" s="486"/>
      <c r="F269" s="486"/>
      <c r="G269" s="445"/>
      <c r="H269" s="445"/>
      <c r="I269" s="445"/>
      <c r="J269" s="445"/>
      <c r="K269" s="471"/>
      <c r="L269" s="445"/>
      <c r="M269" s="441"/>
      <c r="N269" s="441"/>
      <c r="O269" s="484">
        <v>0</v>
      </c>
      <c r="P269" s="335">
        <f t="shared" si="7"/>
        <v>0</v>
      </c>
      <c r="Q269" s="17"/>
    </row>
    <row r="270" spans="2:17" ht="17.25" hidden="1" x14ac:dyDescent="0.3">
      <c r="B270" s="122">
        <v>13</v>
      </c>
      <c r="C270" s="445"/>
      <c r="D270" s="488"/>
      <c r="E270" s="486"/>
      <c r="F270" s="486"/>
      <c r="G270" s="445"/>
      <c r="H270" s="445"/>
      <c r="I270" s="445"/>
      <c r="J270" s="445"/>
      <c r="K270" s="471"/>
      <c r="L270" s="445"/>
      <c r="M270" s="441"/>
      <c r="N270" s="441"/>
      <c r="O270" s="484">
        <v>0</v>
      </c>
      <c r="P270" s="335">
        <f t="shared" si="7"/>
        <v>0</v>
      </c>
      <c r="Q270" s="17"/>
    </row>
    <row r="271" spans="2:17" ht="17.25" hidden="1" x14ac:dyDescent="0.3">
      <c r="B271" s="122">
        <v>14</v>
      </c>
      <c r="C271" s="445"/>
      <c r="D271" s="487"/>
      <c r="E271" s="486"/>
      <c r="F271" s="486"/>
      <c r="G271" s="445"/>
      <c r="H271" s="445"/>
      <c r="I271" s="445"/>
      <c r="J271" s="445"/>
      <c r="K271" s="471"/>
      <c r="L271" s="445"/>
      <c r="M271" s="441"/>
      <c r="N271" s="441"/>
      <c r="O271" s="484">
        <v>0</v>
      </c>
      <c r="P271" s="335">
        <f t="shared" si="7"/>
        <v>0</v>
      </c>
      <c r="Q271" s="17"/>
    </row>
    <row r="272" spans="2:17" ht="17.25" hidden="1" x14ac:dyDescent="0.3">
      <c r="B272" s="122">
        <v>15</v>
      </c>
      <c r="C272" s="445"/>
      <c r="D272" s="488"/>
      <c r="E272" s="486"/>
      <c r="F272" s="486"/>
      <c r="G272" s="445"/>
      <c r="H272" s="445"/>
      <c r="I272" s="445"/>
      <c r="J272" s="445"/>
      <c r="K272" s="471"/>
      <c r="L272" s="445"/>
      <c r="M272" s="441"/>
      <c r="N272" s="441"/>
      <c r="O272" s="484">
        <v>0</v>
      </c>
      <c r="P272" s="335">
        <f t="shared" si="7"/>
        <v>0</v>
      </c>
      <c r="Q272" s="17"/>
    </row>
    <row r="273" spans="2:17" ht="17.25" hidden="1" x14ac:dyDescent="0.3">
      <c r="B273" s="122">
        <v>16</v>
      </c>
      <c r="C273" s="445"/>
      <c r="D273" s="487"/>
      <c r="E273" s="486"/>
      <c r="F273" s="486"/>
      <c r="G273" s="445"/>
      <c r="H273" s="445"/>
      <c r="I273" s="445"/>
      <c r="J273" s="445"/>
      <c r="K273" s="471"/>
      <c r="L273" s="445"/>
      <c r="M273" s="441"/>
      <c r="N273" s="441"/>
      <c r="O273" s="484">
        <v>0</v>
      </c>
      <c r="P273" s="335">
        <f t="shared" si="7"/>
        <v>0</v>
      </c>
      <c r="Q273" s="17"/>
    </row>
    <row r="274" spans="2:17" ht="17.25" hidden="1" x14ac:dyDescent="0.3">
      <c r="B274" s="16">
        <v>17</v>
      </c>
      <c r="C274" s="445"/>
      <c r="D274" s="447"/>
      <c r="E274" s="486"/>
      <c r="F274" s="486"/>
      <c r="G274" s="445"/>
      <c r="H274" s="445"/>
      <c r="I274" s="445"/>
      <c r="J274" s="445"/>
      <c r="K274" s="471"/>
      <c r="L274" s="445"/>
      <c r="M274" s="441"/>
      <c r="N274" s="441"/>
      <c r="O274" s="484">
        <v>0</v>
      </c>
      <c r="P274" s="335">
        <f t="shared" si="7"/>
        <v>0</v>
      </c>
      <c r="Q274" s="17"/>
    </row>
    <row r="275" spans="2:17" ht="17.25" hidden="1" x14ac:dyDescent="0.3">
      <c r="B275" s="16">
        <v>18</v>
      </c>
      <c r="C275" s="445"/>
      <c r="D275" s="447"/>
      <c r="E275" s="486"/>
      <c r="F275" s="486"/>
      <c r="G275" s="445"/>
      <c r="H275" s="445"/>
      <c r="I275" s="445"/>
      <c r="J275" s="445"/>
      <c r="K275" s="471"/>
      <c r="L275" s="445"/>
      <c r="M275" s="441"/>
      <c r="N275" s="441"/>
      <c r="O275" s="484">
        <v>0</v>
      </c>
      <c r="P275" s="335">
        <f t="shared" si="7"/>
        <v>0</v>
      </c>
      <c r="Q275" s="17"/>
    </row>
    <row r="276" spans="2:17" ht="17.25" hidden="1" x14ac:dyDescent="0.3">
      <c r="B276" s="16">
        <v>19</v>
      </c>
      <c r="C276" s="445"/>
      <c r="D276" s="447"/>
      <c r="E276" s="486"/>
      <c r="F276" s="486"/>
      <c r="G276" s="445"/>
      <c r="H276" s="445"/>
      <c r="I276" s="445"/>
      <c r="J276" s="448"/>
      <c r="K276" s="471"/>
      <c r="L276" s="445"/>
      <c r="M276" s="441"/>
      <c r="N276" s="441"/>
      <c r="O276" s="484">
        <v>0</v>
      </c>
      <c r="P276" s="335">
        <f t="shared" si="7"/>
        <v>0</v>
      </c>
      <c r="Q276" s="17"/>
    </row>
    <row r="277" spans="2:17" ht="18" hidden="1" customHeight="1" x14ac:dyDescent="0.3">
      <c r="B277" s="16">
        <v>20</v>
      </c>
      <c r="C277" s="445"/>
      <c r="D277" s="447"/>
      <c r="E277" s="486"/>
      <c r="F277" s="486"/>
      <c r="G277" s="445"/>
      <c r="H277" s="445"/>
      <c r="I277" s="445"/>
      <c r="J277" s="448"/>
      <c r="K277" s="471"/>
      <c r="L277" s="445"/>
      <c r="M277" s="441"/>
      <c r="N277" s="441"/>
      <c r="O277" s="484">
        <v>0</v>
      </c>
      <c r="P277" s="335">
        <f t="shared" si="7"/>
        <v>0</v>
      </c>
      <c r="Q277" s="17"/>
    </row>
    <row r="278" spans="2:17" ht="18" hidden="1" customHeight="1" x14ac:dyDescent="0.3">
      <c r="B278" s="16">
        <v>21</v>
      </c>
      <c r="C278" s="445"/>
      <c r="D278" s="447"/>
      <c r="E278" s="486"/>
      <c r="F278" s="486"/>
      <c r="G278" s="445"/>
      <c r="H278" s="445"/>
      <c r="I278" s="445"/>
      <c r="J278" s="448"/>
      <c r="K278" s="471"/>
      <c r="L278" s="445"/>
      <c r="M278" s="441"/>
      <c r="N278" s="441"/>
      <c r="O278" s="484">
        <v>0</v>
      </c>
      <c r="P278" s="335">
        <f t="shared" si="7"/>
        <v>0</v>
      </c>
      <c r="Q278" s="17"/>
    </row>
    <row r="279" spans="2:17" ht="18" hidden="1" customHeight="1" x14ac:dyDescent="0.3">
      <c r="B279" s="16">
        <v>22</v>
      </c>
      <c r="C279" s="445"/>
      <c r="D279" s="447"/>
      <c r="E279" s="486"/>
      <c r="F279" s="486"/>
      <c r="G279" s="445"/>
      <c r="H279" s="445"/>
      <c r="I279" s="445"/>
      <c r="J279" s="448"/>
      <c r="K279" s="471"/>
      <c r="L279" s="445"/>
      <c r="M279" s="441"/>
      <c r="N279" s="441"/>
      <c r="O279" s="484">
        <v>0</v>
      </c>
      <c r="P279" s="335">
        <f t="shared" si="7"/>
        <v>0</v>
      </c>
      <c r="Q279" s="17"/>
    </row>
    <row r="280" spans="2:17" ht="18" hidden="1" customHeight="1" x14ac:dyDescent="0.3">
      <c r="B280" s="16">
        <v>23</v>
      </c>
      <c r="C280" s="445"/>
      <c r="D280" s="447"/>
      <c r="E280" s="486"/>
      <c r="F280" s="486"/>
      <c r="G280" s="445"/>
      <c r="H280" s="445"/>
      <c r="I280" s="445"/>
      <c r="J280" s="448"/>
      <c r="K280" s="471"/>
      <c r="L280" s="445"/>
      <c r="M280" s="441"/>
      <c r="N280" s="441"/>
      <c r="O280" s="484">
        <v>0</v>
      </c>
      <c r="P280" s="335">
        <f t="shared" si="7"/>
        <v>0</v>
      </c>
      <c r="Q280" s="17"/>
    </row>
    <row r="281" spans="2:17" ht="18" hidden="1" customHeight="1" x14ac:dyDescent="0.3">
      <c r="B281" s="16">
        <v>24</v>
      </c>
      <c r="C281" s="445"/>
      <c r="D281" s="447"/>
      <c r="E281" s="486"/>
      <c r="F281" s="486"/>
      <c r="G281" s="445"/>
      <c r="H281" s="445"/>
      <c r="I281" s="445"/>
      <c r="J281" s="448"/>
      <c r="K281" s="471"/>
      <c r="L281" s="445"/>
      <c r="M281" s="441"/>
      <c r="N281" s="441"/>
      <c r="O281" s="484">
        <v>0</v>
      </c>
      <c r="P281" s="335">
        <f t="shared" si="7"/>
        <v>0</v>
      </c>
      <c r="Q281" s="17"/>
    </row>
    <row r="282" spans="2:17" ht="18" hidden="1" customHeight="1" x14ac:dyDescent="0.3">
      <c r="B282" s="16">
        <v>25</v>
      </c>
      <c r="C282" s="445"/>
      <c r="D282" s="447"/>
      <c r="E282" s="486"/>
      <c r="F282" s="486"/>
      <c r="G282" s="445"/>
      <c r="H282" s="445"/>
      <c r="I282" s="445"/>
      <c r="J282" s="448"/>
      <c r="K282" s="471"/>
      <c r="L282" s="445"/>
      <c r="M282" s="441"/>
      <c r="N282" s="441"/>
      <c r="O282" s="484">
        <v>0</v>
      </c>
      <c r="P282" s="335">
        <f t="shared" si="7"/>
        <v>0</v>
      </c>
      <c r="Q282" s="17"/>
    </row>
    <row r="283" spans="2:17" ht="18" hidden="1" customHeight="1" x14ac:dyDescent="0.3">
      <c r="B283" s="16">
        <v>26</v>
      </c>
      <c r="C283" s="445"/>
      <c r="D283" s="447"/>
      <c r="E283" s="486"/>
      <c r="F283" s="486"/>
      <c r="G283" s="445"/>
      <c r="H283" s="445"/>
      <c r="I283" s="445"/>
      <c r="J283" s="448"/>
      <c r="K283" s="471"/>
      <c r="L283" s="445"/>
      <c r="M283" s="441"/>
      <c r="N283" s="441"/>
      <c r="O283" s="484">
        <v>0</v>
      </c>
      <c r="P283" s="335">
        <f t="shared" si="7"/>
        <v>0</v>
      </c>
      <c r="Q283" s="17"/>
    </row>
    <row r="284" spans="2:17" ht="18" hidden="1" customHeight="1" x14ac:dyDescent="0.3">
      <c r="B284" s="16">
        <v>27</v>
      </c>
      <c r="C284" s="549"/>
      <c r="D284" s="447"/>
      <c r="E284" s="486"/>
      <c r="F284" s="486"/>
      <c r="G284" s="445"/>
      <c r="H284" s="445"/>
      <c r="I284" s="445"/>
      <c r="J284" s="448"/>
      <c r="K284" s="471"/>
      <c r="L284" s="445"/>
      <c r="M284" s="441"/>
      <c r="N284" s="441"/>
      <c r="O284" s="484">
        <v>0</v>
      </c>
      <c r="P284" s="335">
        <f t="shared" si="7"/>
        <v>0</v>
      </c>
      <c r="Q284" s="17"/>
    </row>
    <row r="285" spans="2:17" ht="18" hidden="1" customHeight="1" x14ac:dyDescent="0.3">
      <c r="B285" s="16">
        <v>28</v>
      </c>
      <c r="C285" s="446"/>
      <c r="D285" s="550"/>
      <c r="E285" s="446"/>
      <c r="F285" s="486"/>
      <c r="G285" s="445"/>
      <c r="H285" s="445"/>
      <c r="I285" s="445"/>
      <c r="J285" s="448"/>
      <c r="K285" s="471"/>
      <c r="L285" s="445"/>
      <c r="M285" s="441"/>
      <c r="N285" s="441"/>
      <c r="O285" s="484"/>
      <c r="P285" s="335">
        <f t="shared" si="7"/>
        <v>0</v>
      </c>
      <c r="Q285" s="17"/>
    </row>
    <row r="286" spans="2:17" ht="18" hidden="1" customHeight="1" x14ac:dyDescent="0.3">
      <c r="B286" s="16">
        <v>29</v>
      </c>
      <c r="C286" s="445"/>
      <c r="D286" s="447"/>
      <c r="E286" s="486"/>
      <c r="F286" s="486"/>
      <c r="G286" s="445"/>
      <c r="H286" s="445"/>
      <c r="I286" s="445"/>
      <c r="J286" s="448"/>
      <c r="K286" s="471"/>
      <c r="L286" s="445"/>
      <c r="M286" s="441"/>
      <c r="N286" s="441"/>
      <c r="O286" s="484">
        <v>0</v>
      </c>
      <c r="P286" s="335">
        <f t="shared" si="7"/>
        <v>0</v>
      </c>
      <c r="Q286" s="17"/>
    </row>
    <row r="287" spans="2:17" ht="18" hidden="1" customHeight="1" x14ac:dyDescent="0.3">
      <c r="B287" s="16">
        <v>30</v>
      </c>
      <c r="C287" s="551"/>
      <c r="D287" s="447"/>
      <c r="E287" s="486"/>
      <c r="F287" s="486"/>
      <c r="G287" s="445"/>
      <c r="H287" s="445"/>
      <c r="I287" s="445"/>
      <c r="J287" s="448"/>
      <c r="K287" s="471"/>
      <c r="L287" s="445"/>
      <c r="M287" s="441"/>
      <c r="N287" s="441"/>
      <c r="O287" s="484">
        <v>0</v>
      </c>
      <c r="P287" s="335">
        <f t="shared" si="7"/>
        <v>0</v>
      </c>
      <c r="Q287" s="17"/>
    </row>
    <row r="288" spans="2:17" ht="18" hidden="1" customHeight="1" x14ac:dyDescent="0.3">
      <c r="B288" s="16">
        <v>31</v>
      </c>
      <c r="C288" s="446"/>
      <c r="D288" s="550"/>
      <c r="E288" s="486"/>
      <c r="F288" s="486"/>
      <c r="G288" s="445"/>
      <c r="H288" s="445"/>
      <c r="I288" s="445"/>
      <c r="J288" s="448"/>
      <c r="K288" s="471"/>
      <c r="L288" s="445"/>
      <c r="M288" s="441"/>
      <c r="N288" s="441"/>
      <c r="O288" s="484">
        <v>283750</v>
      </c>
      <c r="P288" s="335">
        <f t="shared" si="7"/>
        <v>0</v>
      </c>
      <c r="Q288" s="17"/>
    </row>
    <row r="289" spans="2:17" ht="18" hidden="1" customHeight="1" x14ac:dyDescent="0.3">
      <c r="B289" s="16">
        <v>32</v>
      </c>
      <c r="C289" s="446"/>
      <c r="D289" s="550"/>
      <c r="E289" s="486"/>
      <c r="F289" s="486"/>
      <c r="G289" s="445"/>
      <c r="H289" s="445"/>
      <c r="I289" s="445"/>
      <c r="J289" s="448"/>
      <c r="K289" s="471"/>
      <c r="L289" s="445"/>
      <c r="M289" s="441"/>
      <c r="N289" s="441"/>
      <c r="O289" s="484">
        <v>306071.29225</v>
      </c>
      <c r="P289" s="335">
        <f t="shared" si="7"/>
        <v>0</v>
      </c>
      <c r="Q289" s="17"/>
    </row>
    <row r="290" spans="2:17" ht="18" hidden="1" customHeight="1" x14ac:dyDescent="0.3">
      <c r="B290" s="16">
        <v>33</v>
      </c>
      <c r="C290" s="68"/>
      <c r="D290" s="71"/>
      <c r="E290" s="327"/>
      <c r="F290" s="327"/>
      <c r="G290" s="68"/>
      <c r="H290" s="68"/>
      <c r="I290" s="68"/>
      <c r="J290" s="74"/>
      <c r="K290" s="130"/>
      <c r="L290" s="68"/>
      <c r="M290" s="17"/>
      <c r="N290" s="17"/>
      <c r="O290" s="324">
        <v>0</v>
      </c>
      <c r="P290" s="335">
        <f t="shared" si="7"/>
        <v>0</v>
      </c>
      <c r="Q290" s="17"/>
    </row>
    <row r="291" spans="2:17" ht="18" hidden="1" customHeight="1" x14ac:dyDescent="0.3">
      <c r="B291" s="16">
        <v>34</v>
      </c>
      <c r="C291" s="68"/>
      <c r="D291" s="71"/>
      <c r="E291" s="327"/>
      <c r="F291" s="327"/>
      <c r="G291" s="68"/>
      <c r="H291" s="68"/>
      <c r="I291" s="68"/>
      <c r="J291" s="74"/>
      <c r="K291" s="130"/>
      <c r="L291" s="68"/>
      <c r="M291" s="17"/>
      <c r="N291" s="17"/>
      <c r="O291" s="324">
        <v>0</v>
      </c>
      <c r="P291" s="335">
        <f t="shared" si="7"/>
        <v>0</v>
      </c>
      <c r="Q291" s="17"/>
    </row>
    <row r="292" spans="2:17" ht="18" hidden="1" customHeight="1" x14ac:dyDescent="0.3">
      <c r="B292" s="16">
        <v>35</v>
      </c>
      <c r="C292" s="68"/>
      <c r="D292" s="71"/>
      <c r="E292" s="327"/>
      <c r="F292" s="327"/>
      <c r="G292" s="68"/>
      <c r="H292" s="68"/>
      <c r="I292" s="68"/>
      <c r="J292" s="74"/>
      <c r="K292" s="130"/>
      <c r="L292" s="68"/>
      <c r="M292" s="17"/>
      <c r="N292" s="17"/>
      <c r="O292" s="324">
        <v>0</v>
      </c>
      <c r="P292" s="335">
        <f t="shared" si="7"/>
        <v>0</v>
      </c>
      <c r="Q292" s="17"/>
    </row>
    <row r="293" spans="2:17" ht="18" hidden="1" customHeight="1" x14ac:dyDescent="0.3">
      <c r="B293" s="16">
        <v>36</v>
      </c>
      <c r="C293" s="68"/>
      <c r="D293" s="71"/>
      <c r="E293" s="327"/>
      <c r="F293" s="327"/>
      <c r="G293" s="68"/>
      <c r="H293" s="68"/>
      <c r="I293" s="68"/>
      <c r="J293" s="74"/>
      <c r="K293" s="130"/>
      <c r="L293" s="68"/>
      <c r="M293" s="17"/>
      <c r="N293" s="17"/>
      <c r="O293" s="324">
        <v>0</v>
      </c>
      <c r="P293" s="335">
        <f t="shared" si="7"/>
        <v>0</v>
      </c>
      <c r="Q293" s="17"/>
    </row>
    <row r="294" spans="2:17" ht="18" hidden="1" customHeight="1" x14ac:dyDescent="0.3">
      <c r="B294" s="16">
        <v>37</v>
      </c>
      <c r="C294" s="68"/>
      <c r="D294" s="71"/>
      <c r="E294" s="327"/>
      <c r="F294" s="327"/>
      <c r="G294" s="68"/>
      <c r="H294" s="68"/>
      <c r="I294" s="68"/>
      <c r="J294" s="74"/>
      <c r="K294" s="130"/>
      <c r="L294" s="68"/>
      <c r="M294" s="17"/>
      <c r="N294" s="17"/>
      <c r="O294" s="324">
        <v>0</v>
      </c>
      <c r="P294" s="335">
        <f t="shared" si="7"/>
        <v>0</v>
      </c>
      <c r="Q294" s="17"/>
    </row>
    <row r="295" spans="2:17" ht="18" hidden="1" customHeight="1" x14ac:dyDescent="0.3">
      <c r="B295" s="16">
        <v>38</v>
      </c>
      <c r="C295" s="68"/>
      <c r="D295" s="71"/>
      <c r="E295" s="327"/>
      <c r="F295" s="327"/>
      <c r="G295" s="68"/>
      <c r="H295" s="68"/>
      <c r="I295" s="68"/>
      <c r="J295" s="74"/>
      <c r="K295" s="130"/>
      <c r="L295" s="68"/>
      <c r="M295" s="17"/>
      <c r="N295" s="17"/>
      <c r="O295" s="324">
        <v>0</v>
      </c>
      <c r="P295" s="335">
        <f t="shared" si="7"/>
        <v>0</v>
      </c>
      <c r="Q295" s="17"/>
    </row>
    <row r="296" spans="2:17" ht="18" hidden="1" customHeight="1" x14ac:dyDescent="0.3">
      <c r="B296" s="16">
        <v>39</v>
      </c>
      <c r="C296" s="68"/>
      <c r="D296" s="71"/>
      <c r="E296" s="327"/>
      <c r="F296" s="327"/>
      <c r="G296" s="68"/>
      <c r="H296" s="68"/>
      <c r="I296" s="68"/>
      <c r="J296" s="74"/>
      <c r="K296" s="130"/>
      <c r="L296" s="68"/>
      <c r="M296" s="17"/>
      <c r="N296" s="17"/>
      <c r="O296" s="324">
        <v>0</v>
      </c>
      <c r="P296" s="335">
        <f t="shared" si="7"/>
        <v>0</v>
      </c>
      <c r="Q296" s="17"/>
    </row>
    <row r="297" spans="2:17" ht="18" hidden="1" customHeight="1" x14ac:dyDescent="0.3">
      <c r="B297" s="16">
        <v>40</v>
      </c>
      <c r="C297" s="68"/>
      <c r="D297" s="71"/>
      <c r="E297" s="327"/>
      <c r="F297" s="327"/>
      <c r="G297" s="68"/>
      <c r="H297" s="68"/>
      <c r="I297" s="68"/>
      <c r="J297" s="74"/>
      <c r="K297" s="130"/>
      <c r="L297" s="68"/>
      <c r="M297" s="17"/>
      <c r="N297" s="17"/>
      <c r="O297" s="324">
        <v>0</v>
      </c>
      <c r="P297" s="335">
        <f t="shared" si="7"/>
        <v>0</v>
      </c>
      <c r="Q297" s="17"/>
    </row>
    <row r="298" spans="2:17" ht="18" hidden="1" customHeight="1" x14ac:dyDescent="0.3">
      <c r="C298" s="81" t="s">
        <v>566</v>
      </c>
      <c r="D298" s="71"/>
      <c r="E298" s="327"/>
      <c r="F298" s="327"/>
      <c r="G298" s="68"/>
      <c r="H298" s="68"/>
      <c r="I298" s="68"/>
      <c r="J298" s="74"/>
      <c r="K298" s="130"/>
      <c r="L298" s="68"/>
      <c r="M298" s="17"/>
      <c r="N298" s="17"/>
      <c r="O298" s="324">
        <v>0</v>
      </c>
      <c r="P298" s="335">
        <f t="shared" si="7"/>
        <v>0</v>
      </c>
      <c r="Q298" s="17"/>
    </row>
    <row r="299" spans="2:17" hidden="1" x14ac:dyDescent="0.3">
      <c r="C299" s="54"/>
    </row>
    <row r="300" spans="2:17" hidden="1" x14ac:dyDescent="0.3">
      <c r="C300" s="54"/>
    </row>
    <row r="301" spans="2:17" ht="53.45" hidden="1" customHeight="1" x14ac:dyDescent="0.3">
      <c r="C301" s="54"/>
      <c r="P301" s="922" t="s">
        <v>753</v>
      </c>
      <c r="Q301" s="923"/>
    </row>
    <row r="302" spans="2:17" ht="49.5" hidden="1" customHeight="1" x14ac:dyDescent="0.3">
      <c r="B302" s="924" t="s">
        <v>757</v>
      </c>
      <c r="C302" s="925"/>
      <c r="D302" s="925"/>
      <c r="E302" s="925"/>
      <c r="F302" s="925"/>
      <c r="G302" s="925"/>
      <c r="H302" s="925"/>
      <c r="I302" s="925"/>
      <c r="J302" s="925"/>
      <c r="K302" s="925"/>
      <c r="L302" s="925"/>
      <c r="M302" s="925"/>
      <c r="N302" s="925"/>
      <c r="O302" s="926"/>
      <c r="P302" s="927">
        <f>SUM(P306:P367)</f>
        <v>0</v>
      </c>
      <c r="Q302" s="928"/>
    </row>
    <row r="303" spans="2:17" ht="41.1" hidden="1" customHeight="1" x14ac:dyDescent="0.3">
      <c r="B303" s="919" t="s">
        <v>182</v>
      </c>
      <c r="C303" s="920"/>
      <c r="D303" s="920"/>
      <c r="E303" s="920"/>
      <c r="F303" s="920"/>
      <c r="G303" s="920"/>
      <c r="H303" s="920"/>
      <c r="I303" s="920"/>
      <c r="J303" s="920"/>
      <c r="K303" s="920"/>
      <c r="L303" s="920"/>
      <c r="M303" s="920"/>
      <c r="N303" s="920"/>
      <c r="O303" s="920"/>
      <c r="P303" s="920"/>
      <c r="Q303" s="921"/>
    </row>
    <row r="304" spans="2:17" hidden="1" x14ac:dyDescent="0.3">
      <c r="B304" s="833" t="s">
        <v>35</v>
      </c>
      <c r="C304" s="844" t="s">
        <v>177</v>
      </c>
      <c r="D304" s="837" t="s">
        <v>466</v>
      </c>
      <c r="E304" s="844" t="s">
        <v>183</v>
      </c>
      <c r="F304" s="837" t="s">
        <v>100</v>
      </c>
      <c r="G304" s="837" t="s">
        <v>174</v>
      </c>
      <c r="H304" s="917" t="s">
        <v>171</v>
      </c>
      <c r="I304" s="918"/>
      <c r="J304" s="844" t="s">
        <v>173</v>
      </c>
      <c r="K304" s="837" t="s">
        <v>423</v>
      </c>
      <c r="L304" s="837" t="s">
        <v>465</v>
      </c>
      <c r="M304" s="837" t="s">
        <v>97</v>
      </c>
      <c r="N304" s="837" t="s">
        <v>168</v>
      </c>
      <c r="O304" s="837" t="s">
        <v>51</v>
      </c>
      <c r="P304" s="916" t="s">
        <v>422</v>
      </c>
      <c r="Q304" s="840" t="s">
        <v>169</v>
      </c>
    </row>
    <row r="305" spans="2:17" hidden="1" x14ac:dyDescent="0.3">
      <c r="B305" s="833"/>
      <c r="C305" s="844"/>
      <c r="D305" s="839"/>
      <c r="E305" s="844"/>
      <c r="F305" s="839"/>
      <c r="G305" s="839"/>
      <c r="H305" s="66" t="s">
        <v>172</v>
      </c>
      <c r="I305" s="287" t="s">
        <v>101</v>
      </c>
      <c r="J305" s="844"/>
      <c r="K305" s="839"/>
      <c r="L305" s="839"/>
      <c r="M305" s="839"/>
      <c r="N305" s="839"/>
      <c r="O305" s="839"/>
      <c r="P305" s="916"/>
      <c r="Q305" s="842"/>
    </row>
    <row r="306" spans="2:17" ht="17.25" hidden="1" x14ac:dyDescent="0.3">
      <c r="B306" s="122">
        <v>1</v>
      </c>
      <c r="C306" s="69"/>
      <c r="D306" s="323"/>
      <c r="E306" s="69"/>
      <c r="F306" s="69"/>
      <c r="G306" s="68"/>
      <c r="H306" s="68"/>
      <c r="I306" s="68"/>
      <c r="J306" s="68"/>
      <c r="K306" s="130"/>
      <c r="L306" s="68"/>
      <c r="M306" s="17"/>
      <c r="N306" s="17"/>
      <c r="O306" s="324">
        <v>0</v>
      </c>
      <c r="P306" s="335">
        <f>D306*O306</f>
        <v>0</v>
      </c>
      <c r="Q306" s="325"/>
    </row>
    <row r="307" spans="2:17" ht="17.25" hidden="1" x14ac:dyDescent="0.3">
      <c r="B307" s="122">
        <v>2</v>
      </c>
      <c r="C307" s="68"/>
      <c r="D307" s="326"/>
      <c r="E307" s="327"/>
      <c r="F307" s="327"/>
      <c r="G307" s="68"/>
      <c r="H307" s="68"/>
      <c r="I307" s="68"/>
      <c r="J307" s="68"/>
      <c r="K307" s="130"/>
      <c r="L307" s="68"/>
      <c r="M307" s="17"/>
      <c r="N307" s="17"/>
      <c r="O307" s="324">
        <v>0</v>
      </c>
      <c r="P307" s="335">
        <f t="shared" ref="P307:P367" si="8">D307*O307</f>
        <v>0</v>
      </c>
      <c r="Q307" s="17"/>
    </row>
    <row r="308" spans="2:17" ht="17.25" hidden="1" x14ac:dyDescent="0.3">
      <c r="B308" s="122">
        <v>3</v>
      </c>
      <c r="C308" s="68"/>
      <c r="D308" s="326"/>
      <c r="E308" s="327"/>
      <c r="F308" s="327"/>
      <c r="G308" s="68"/>
      <c r="H308" s="68"/>
      <c r="I308" s="68"/>
      <c r="J308" s="68"/>
      <c r="K308" s="130"/>
      <c r="L308" s="68"/>
      <c r="M308" s="17"/>
      <c r="N308" s="17"/>
      <c r="O308" s="324">
        <v>0</v>
      </c>
      <c r="P308" s="335">
        <f t="shared" si="8"/>
        <v>0</v>
      </c>
      <c r="Q308" s="17"/>
    </row>
    <row r="309" spans="2:17" ht="17.25" hidden="1" x14ac:dyDescent="0.3">
      <c r="B309" s="122">
        <v>4</v>
      </c>
      <c r="C309" s="68"/>
      <c r="D309" s="326"/>
      <c r="E309" s="327"/>
      <c r="F309" s="327"/>
      <c r="G309" s="68"/>
      <c r="H309" s="68"/>
      <c r="I309" s="68"/>
      <c r="J309" s="68"/>
      <c r="K309" s="130"/>
      <c r="L309" s="68"/>
      <c r="M309" s="17"/>
      <c r="N309" s="17"/>
      <c r="O309" s="324">
        <v>0</v>
      </c>
      <c r="P309" s="335">
        <f t="shared" si="8"/>
        <v>0</v>
      </c>
      <c r="Q309" s="17"/>
    </row>
    <row r="310" spans="2:17" ht="17.25" hidden="1" x14ac:dyDescent="0.3">
      <c r="B310" s="122">
        <v>5</v>
      </c>
      <c r="C310" s="68"/>
      <c r="D310" s="326"/>
      <c r="E310" s="327"/>
      <c r="F310" s="327"/>
      <c r="G310" s="68"/>
      <c r="H310" s="68"/>
      <c r="I310" s="68"/>
      <c r="J310" s="68"/>
      <c r="K310" s="130"/>
      <c r="L310" s="68"/>
      <c r="M310" s="17"/>
      <c r="N310" s="17"/>
      <c r="O310" s="324">
        <v>0</v>
      </c>
      <c r="P310" s="335">
        <f t="shared" si="8"/>
        <v>0</v>
      </c>
      <c r="Q310" s="17"/>
    </row>
    <row r="311" spans="2:17" ht="17.25" hidden="1" x14ac:dyDescent="0.3">
      <c r="B311" s="122">
        <v>6</v>
      </c>
      <c r="C311" s="68"/>
      <c r="D311" s="328"/>
      <c r="E311" s="327"/>
      <c r="F311" s="327"/>
      <c r="G311" s="68"/>
      <c r="H311" s="68"/>
      <c r="I311" s="68"/>
      <c r="J311" s="74"/>
      <c r="K311" s="130"/>
      <c r="L311" s="68"/>
      <c r="M311" s="17"/>
      <c r="N311" s="17"/>
      <c r="O311" s="324">
        <v>0</v>
      </c>
      <c r="P311" s="335">
        <f t="shared" si="8"/>
        <v>0</v>
      </c>
      <c r="Q311" s="17"/>
    </row>
    <row r="312" spans="2:17" ht="17.25" hidden="1" x14ac:dyDescent="0.3">
      <c r="B312" s="122">
        <v>7</v>
      </c>
      <c r="C312" s="68"/>
      <c r="D312" s="329"/>
      <c r="E312" s="327"/>
      <c r="F312" s="327"/>
      <c r="G312" s="68"/>
      <c r="H312" s="68"/>
      <c r="I312" s="68"/>
      <c r="J312" s="74"/>
      <c r="K312" s="130"/>
      <c r="L312" s="68"/>
      <c r="M312" s="17"/>
      <c r="N312" s="17"/>
      <c r="O312" s="324">
        <v>0</v>
      </c>
      <c r="P312" s="335">
        <f t="shared" si="8"/>
        <v>0</v>
      </c>
      <c r="Q312" s="17"/>
    </row>
    <row r="313" spans="2:17" ht="17.25" hidden="1" x14ac:dyDescent="0.3">
      <c r="B313" s="122">
        <v>8</v>
      </c>
      <c r="C313" s="68"/>
      <c r="D313" s="326"/>
      <c r="E313" s="327"/>
      <c r="F313" s="327"/>
      <c r="G313" s="68"/>
      <c r="H313" s="68"/>
      <c r="I313" s="68"/>
      <c r="J313" s="68"/>
      <c r="K313" s="130"/>
      <c r="L313" s="68"/>
      <c r="M313" s="17"/>
      <c r="N313" s="17"/>
      <c r="O313" s="324">
        <v>0</v>
      </c>
      <c r="P313" s="335">
        <f t="shared" si="8"/>
        <v>0</v>
      </c>
      <c r="Q313" s="17"/>
    </row>
    <row r="314" spans="2:17" ht="17.25" hidden="1" x14ac:dyDescent="0.3">
      <c r="B314" s="122">
        <v>9</v>
      </c>
      <c r="C314" s="68"/>
      <c r="D314" s="326"/>
      <c r="E314" s="327"/>
      <c r="F314" s="327"/>
      <c r="G314" s="68"/>
      <c r="H314" s="68"/>
      <c r="I314" s="68"/>
      <c r="J314" s="68"/>
      <c r="K314" s="130"/>
      <c r="L314" s="68"/>
      <c r="M314" s="17"/>
      <c r="N314" s="17"/>
      <c r="O314" s="324">
        <v>0</v>
      </c>
      <c r="P314" s="335">
        <f t="shared" si="8"/>
        <v>0</v>
      </c>
      <c r="Q314" s="17"/>
    </row>
    <row r="315" spans="2:17" ht="17.25" hidden="1" x14ac:dyDescent="0.3">
      <c r="B315" s="122">
        <v>10</v>
      </c>
      <c r="C315" s="68"/>
      <c r="D315" s="326"/>
      <c r="E315" s="327"/>
      <c r="F315" s="327"/>
      <c r="G315" s="68"/>
      <c r="H315" s="68"/>
      <c r="I315" s="68"/>
      <c r="J315" s="68"/>
      <c r="K315" s="130"/>
      <c r="L315" s="68"/>
      <c r="M315" s="17"/>
      <c r="N315" s="17"/>
      <c r="O315" s="324">
        <v>0</v>
      </c>
      <c r="P315" s="335">
        <f t="shared" si="8"/>
        <v>0</v>
      </c>
      <c r="Q315" s="17"/>
    </row>
    <row r="316" spans="2:17" ht="17.25" hidden="1" x14ac:dyDescent="0.3">
      <c r="B316" s="122">
        <v>11</v>
      </c>
      <c r="C316" s="68"/>
      <c r="D316" s="326"/>
      <c r="E316" s="327"/>
      <c r="F316" s="327"/>
      <c r="G316" s="68"/>
      <c r="H316" s="68"/>
      <c r="I316" s="68"/>
      <c r="J316" s="74"/>
      <c r="K316" s="130"/>
      <c r="L316" s="68"/>
      <c r="M316" s="17"/>
      <c r="N316" s="17"/>
      <c r="O316" s="324">
        <v>0</v>
      </c>
      <c r="P316" s="335">
        <f t="shared" si="8"/>
        <v>0</v>
      </c>
      <c r="Q316" s="17"/>
    </row>
    <row r="317" spans="2:17" ht="17.25" hidden="1" x14ac:dyDescent="0.3">
      <c r="B317" s="122">
        <v>12</v>
      </c>
      <c r="C317" s="68"/>
      <c r="D317" s="326"/>
      <c r="E317" s="327"/>
      <c r="F317" s="327"/>
      <c r="G317" s="68"/>
      <c r="H317" s="68"/>
      <c r="I317" s="68"/>
      <c r="J317" s="68"/>
      <c r="K317" s="130"/>
      <c r="L317" s="68"/>
      <c r="M317" s="17"/>
      <c r="N317" s="17"/>
      <c r="O317" s="324">
        <v>0</v>
      </c>
      <c r="P317" s="335">
        <f t="shared" si="8"/>
        <v>0</v>
      </c>
      <c r="Q317" s="17"/>
    </row>
    <row r="318" spans="2:17" ht="17.25" hidden="1" x14ac:dyDescent="0.3">
      <c r="B318" s="122">
        <v>13</v>
      </c>
      <c r="C318" s="68"/>
      <c r="D318" s="329"/>
      <c r="E318" s="327"/>
      <c r="F318" s="327"/>
      <c r="G318" s="68"/>
      <c r="H318" s="68"/>
      <c r="I318" s="68"/>
      <c r="J318" s="68"/>
      <c r="K318" s="130"/>
      <c r="L318" s="68"/>
      <c r="M318" s="17"/>
      <c r="N318" s="17"/>
      <c r="O318" s="324">
        <v>0</v>
      </c>
      <c r="P318" s="335">
        <f t="shared" si="8"/>
        <v>0</v>
      </c>
      <c r="Q318" s="17"/>
    </row>
    <row r="319" spans="2:17" ht="17.25" hidden="1" x14ac:dyDescent="0.3">
      <c r="B319" s="122">
        <v>14</v>
      </c>
      <c r="C319" s="68"/>
      <c r="D319" s="328"/>
      <c r="E319" s="327"/>
      <c r="F319" s="327"/>
      <c r="G319" s="68"/>
      <c r="H319" s="68"/>
      <c r="I319" s="68"/>
      <c r="J319" s="68"/>
      <c r="K319" s="130"/>
      <c r="L319" s="68"/>
      <c r="M319" s="17"/>
      <c r="N319" s="17"/>
      <c r="O319" s="324">
        <v>0</v>
      </c>
      <c r="P319" s="335">
        <f t="shared" si="8"/>
        <v>0</v>
      </c>
      <c r="Q319" s="17"/>
    </row>
    <row r="320" spans="2:17" ht="17.25" hidden="1" x14ac:dyDescent="0.3">
      <c r="B320" s="122">
        <v>15</v>
      </c>
      <c r="C320" s="68"/>
      <c r="D320" s="329"/>
      <c r="E320" s="327"/>
      <c r="F320" s="327"/>
      <c r="G320" s="68"/>
      <c r="H320" s="68"/>
      <c r="I320" s="68"/>
      <c r="J320" s="68"/>
      <c r="K320" s="130"/>
      <c r="L320" s="68"/>
      <c r="M320" s="17"/>
      <c r="N320" s="17"/>
      <c r="O320" s="324">
        <v>0</v>
      </c>
      <c r="P320" s="335">
        <f t="shared" si="8"/>
        <v>0</v>
      </c>
      <c r="Q320" s="17"/>
    </row>
    <row r="321" spans="2:17" ht="17.25" hidden="1" x14ac:dyDescent="0.3">
      <c r="B321" s="122">
        <v>16</v>
      </c>
      <c r="C321" s="68"/>
      <c r="D321" s="328"/>
      <c r="E321" s="327"/>
      <c r="F321" s="327"/>
      <c r="G321" s="68"/>
      <c r="H321" s="68"/>
      <c r="I321" s="68"/>
      <c r="J321" s="68"/>
      <c r="K321" s="130"/>
      <c r="L321" s="68"/>
      <c r="M321" s="17"/>
      <c r="N321" s="17"/>
      <c r="O321" s="324">
        <v>0</v>
      </c>
      <c r="P321" s="335">
        <f t="shared" si="8"/>
        <v>0</v>
      </c>
      <c r="Q321" s="17"/>
    </row>
    <row r="322" spans="2:17" ht="17.25" hidden="1" x14ac:dyDescent="0.3">
      <c r="B322" s="16">
        <v>17</v>
      </c>
      <c r="C322" s="68"/>
      <c r="D322" s="71"/>
      <c r="E322" s="327"/>
      <c r="F322" s="327"/>
      <c r="G322" s="68"/>
      <c r="H322" s="68"/>
      <c r="I322" s="68"/>
      <c r="J322" s="68"/>
      <c r="K322" s="130"/>
      <c r="L322" s="68"/>
      <c r="M322" s="17"/>
      <c r="N322" s="17"/>
      <c r="O322" s="324">
        <v>0</v>
      </c>
      <c r="P322" s="335">
        <f t="shared" si="8"/>
        <v>0</v>
      </c>
      <c r="Q322" s="17"/>
    </row>
    <row r="323" spans="2:17" ht="17.25" hidden="1" x14ac:dyDescent="0.3">
      <c r="B323" s="16">
        <v>18</v>
      </c>
      <c r="C323" s="68"/>
      <c r="D323" s="71"/>
      <c r="E323" s="327"/>
      <c r="F323" s="327"/>
      <c r="G323" s="68"/>
      <c r="H323" s="68"/>
      <c r="I323" s="68"/>
      <c r="J323" s="68"/>
      <c r="K323" s="130"/>
      <c r="L323" s="68"/>
      <c r="M323" s="17"/>
      <c r="N323" s="17"/>
      <c r="O323" s="324">
        <v>0</v>
      </c>
      <c r="P323" s="335">
        <f t="shared" si="8"/>
        <v>0</v>
      </c>
      <c r="Q323" s="17"/>
    </row>
    <row r="324" spans="2:17" ht="17.25" hidden="1" x14ac:dyDescent="0.3">
      <c r="B324" s="16">
        <v>19</v>
      </c>
      <c r="C324" s="68"/>
      <c r="D324" s="71"/>
      <c r="E324" s="327"/>
      <c r="F324" s="327"/>
      <c r="G324" s="68"/>
      <c r="H324" s="68"/>
      <c r="I324" s="68"/>
      <c r="J324" s="74"/>
      <c r="K324" s="130"/>
      <c r="L324" s="68"/>
      <c r="M324" s="17"/>
      <c r="N324" s="17"/>
      <c r="O324" s="324">
        <v>0</v>
      </c>
      <c r="P324" s="335">
        <f t="shared" si="8"/>
        <v>0</v>
      </c>
      <c r="Q324" s="17"/>
    </row>
    <row r="325" spans="2:17" ht="17.25" hidden="1" x14ac:dyDescent="0.3">
      <c r="B325" s="16">
        <v>20</v>
      </c>
      <c r="C325" s="68"/>
      <c r="D325" s="71"/>
      <c r="E325" s="327"/>
      <c r="F325" s="327"/>
      <c r="G325" s="68"/>
      <c r="H325" s="68"/>
      <c r="I325" s="68"/>
      <c r="J325" s="74"/>
      <c r="K325" s="130"/>
      <c r="L325" s="68"/>
      <c r="M325" s="17"/>
      <c r="N325" s="17"/>
      <c r="O325" s="324">
        <v>0</v>
      </c>
      <c r="P325" s="335">
        <f t="shared" si="8"/>
        <v>0</v>
      </c>
      <c r="Q325" s="17"/>
    </row>
    <row r="326" spans="2:17" ht="17.25" hidden="1" x14ac:dyDescent="0.3">
      <c r="B326" s="16">
        <v>21</v>
      </c>
      <c r="C326" s="68"/>
      <c r="D326" s="71"/>
      <c r="E326" s="327"/>
      <c r="F326" s="327"/>
      <c r="G326" s="68"/>
      <c r="H326" s="68"/>
      <c r="I326" s="68"/>
      <c r="J326" s="74"/>
      <c r="K326" s="130"/>
      <c r="L326" s="68"/>
      <c r="M326" s="17"/>
      <c r="N326" s="17"/>
      <c r="O326" s="324">
        <v>0</v>
      </c>
      <c r="P326" s="335">
        <f t="shared" si="8"/>
        <v>0</v>
      </c>
      <c r="Q326" s="17"/>
    </row>
    <row r="327" spans="2:17" ht="17.25" hidden="1" x14ac:dyDescent="0.3">
      <c r="B327" s="16">
        <v>22</v>
      </c>
      <c r="C327" s="68"/>
      <c r="D327" s="71"/>
      <c r="E327" s="327"/>
      <c r="F327" s="327"/>
      <c r="G327" s="68"/>
      <c r="H327" s="68"/>
      <c r="I327" s="68"/>
      <c r="J327" s="74"/>
      <c r="K327" s="130"/>
      <c r="L327" s="68"/>
      <c r="M327" s="17"/>
      <c r="N327" s="17"/>
      <c r="O327" s="324">
        <v>0</v>
      </c>
      <c r="P327" s="335">
        <f t="shared" si="8"/>
        <v>0</v>
      </c>
      <c r="Q327" s="17"/>
    </row>
    <row r="328" spans="2:17" ht="17.25" hidden="1" x14ac:dyDescent="0.3">
      <c r="B328" s="16">
        <v>23</v>
      </c>
      <c r="C328" s="68"/>
      <c r="D328" s="71"/>
      <c r="E328" s="327"/>
      <c r="F328" s="327"/>
      <c r="G328" s="68"/>
      <c r="H328" s="68"/>
      <c r="I328" s="68"/>
      <c r="J328" s="74"/>
      <c r="K328" s="130"/>
      <c r="L328" s="68"/>
      <c r="M328" s="17"/>
      <c r="N328" s="17"/>
      <c r="O328" s="324">
        <v>0</v>
      </c>
      <c r="P328" s="335">
        <f t="shared" si="8"/>
        <v>0</v>
      </c>
      <c r="Q328" s="17"/>
    </row>
    <row r="329" spans="2:17" ht="17.25" hidden="1" x14ac:dyDescent="0.3">
      <c r="B329" s="16">
        <v>24</v>
      </c>
      <c r="C329" s="68"/>
      <c r="D329" s="71"/>
      <c r="E329" s="327"/>
      <c r="F329" s="327"/>
      <c r="G329" s="68"/>
      <c r="H329" s="68"/>
      <c r="I329" s="68"/>
      <c r="J329" s="74"/>
      <c r="K329" s="130"/>
      <c r="L329" s="68"/>
      <c r="M329" s="17"/>
      <c r="N329" s="17"/>
      <c r="O329" s="324">
        <v>0</v>
      </c>
      <c r="P329" s="335">
        <f t="shared" si="8"/>
        <v>0</v>
      </c>
      <c r="Q329" s="17"/>
    </row>
    <row r="330" spans="2:17" ht="17.25" hidden="1" x14ac:dyDescent="0.3">
      <c r="B330" s="16">
        <v>25</v>
      </c>
      <c r="C330" s="68"/>
      <c r="D330" s="71"/>
      <c r="E330" s="327"/>
      <c r="F330" s="327"/>
      <c r="G330" s="68"/>
      <c r="H330" s="68"/>
      <c r="I330" s="68"/>
      <c r="J330" s="74"/>
      <c r="K330" s="130"/>
      <c r="L330" s="68"/>
      <c r="M330" s="17"/>
      <c r="N330" s="17"/>
      <c r="O330" s="324">
        <v>0</v>
      </c>
      <c r="P330" s="335">
        <f t="shared" si="8"/>
        <v>0</v>
      </c>
      <c r="Q330" s="17"/>
    </row>
    <row r="331" spans="2:17" ht="17.25" hidden="1" x14ac:dyDescent="0.3">
      <c r="B331" s="16">
        <v>26</v>
      </c>
      <c r="C331" s="68"/>
      <c r="D331" s="71"/>
      <c r="E331" s="327"/>
      <c r="F331" s="327"/>
      <c r="G331" s="68"/>
      <c r="H331" s="68"/>
      <c r="I331" s="68"/>
      <c r="J331" s="74"/>
      <c r="K331" s="130"/>
      <c r="L331" s="68"/>
      <c r="M331" s="17"/>
      <c r="N331" s="17"/>
      <c r="O331" s="324">
        <v>0</v>
      </c>
      <c r="P331" s="335">
        <f t="shared" si="8"/>
        <v>0</v>
      </c>
      <c r="Q331" s="17"/>
    </row>
    <row r="332" spans="2:17" ht="17.25" hidden="1" x14ac:dyDescent="0.3">
      <c r="B332" s="16">
        <v>27</v>
      </c>
      <c r="C332" s="68"/>
      <c r="D332" s="71"/>
      <c r="E332" s="327"/>
      <c r="F332" s="327"/>
      <c r="G332" s="68"/>
      <c r="H332" s="68"/>
      <c r="I332" s="68"/>
      <c r="J332" s="74"/>
      <c r="K332" s="130"/>
      <c r="L332" s="68"/>
      <c r="M332" s="17"/>
      <c r="N332" s="17"/>
      <c r="O332" s="324">
        <v>0</v>
      </c>
      <c r="P332" s="335">
        <f t="shared" si="8"/>
        <v>0</v>
      </c>
      <c r="Q332" s="17"/>
    </row>
    <row r="333" spans="2:17" ht="17.25" hidden="1" x14ac:dyDescent="0.3">
      <c r="B333" s="16">
        <v>28</v>
      </c>
      <c r="C333" s="68"/>
      <c r="D333" s="71"/>
      <c r="E333" s="327"/>
      <c r="F333" s="327"/>
      <c r="G333" s="68"/>
      <c r="H333" s="68"/>
      <c r="I333" s="68"/>
      <c r="J333" s="74"/>
      <c r="K333" s="130"/>
      <c r="L333" s="68"/>
      <c r="M333" s="17"/>
      <c r="N333" s="17"/>
      <c r="O333" s="324">
        <v>0</v>
      </c>
      <c r="P333" s="335">
        <f t="shared" si="8"/>
        <v>0</v>
      </c>
      <c r="Q333" s="17"/>
    </row>
    <row r="334" spans="2:17" ht="17.25" hidden="1" x14ac:dyDescent="0.3">
      <c r="B334" s="16">
        <v>29</v>
      </c>
      <c r="C334" s="68"/>
      <c r="D334" s="71"/>
      <c r="E334" s="327"/>
      <c r="F334" s="327"/>
      <c r="G334" s="68"/>
      <c r="H334" s="68"/>
      <c r="I334" s="68"/>
      <c r="J334" s="74"/>
      <c r="K334" s="130"/>
      <c r="L334" s="68"/>
      <c r="M334" s="17"/>
      <c r="N334" s="17"/>
      <c r="O334" s="324">
        <v>0</v>
      </c>
      <c r="P334" s="335">
        <f t="shared" si="8"/>
        <v>0</v>
      </c>
      <c r="Q334" s="17"/>
    </row>
    <row r="335" spans="2:17" ht="17.25" hidden="1" x14ac:dyDescent="0.3">
      <c r="B335" s="16">
        <v>30</v>
      </c>
      <c r="C335" s="68"/>
      <c r="D335" s="71"/>
      <c r="E335" s="327"/>
      <c r="F335" s="327"/>
      <c r="G335" s="68"/>
      <c r="H335" s="68"/>
      <c r="I335" s="68"/>
      <c r="J335" s="74"/>
      <c r="K335" s="130"/>
      <c r="L335" s="68"/>
      <c r="M335" s="17"/>
      <c r="N335" s="17"/>
      <c r="O335" s="324">
        <v>0</v>
      </c>
      <c r="P335" s="335">
        <f t="shared" si="8"/>
        <v>0</v>
      </c>
      <c r="Q335" s="17"/>
    </row>
    <row r="336" spans="2:17" ht="17.25" hidden="1" x14ac:dyDescent="0.3">
      <c r="B336" s="16">
        <v>31</v>
      </c>
      <c r="C336" s="68"/>
      <c r="D336" s="71"/>
      <c r="E336" s="327"/>
      <c r="F336" s="327"/>
      <c r="G336" s="68"/>
      <c r="H336" s="68"/>
      <c r="I336" s="68"/>
      <c r="J336" s="74"/>
      <c r="K336" s="130"/>
      <c r="L336" s="68"/>
      <c r="M336" s="17"/>
      <c r="N336" s="17"/>
      <c r="O336" s="324">
        <v>0</v>
      </c>
      <c r="P336" s="335">
        <f t="shared" si="8"/>
        <v>0</v>
      </c>
      <c r="Q336" s="17"/>
    </row>
    <row r="337" spans="2:17" ht="17.25" hidden="1" x14ac:dyDescent="0.3">
      <c r="B337" s="16">
        <v>32</v>
      </c>
      <c r="C337" s="68"/>
      <c r="D337" s="71"/>
      <c r="E337" s="327"/>
      <c r="F337" s="327"/>
      <c r="G337" s="68"/>
      <c r="H337" s="68"/>
      <c r="I337" s="68"/>
      <c r="J337" s="74"/>
      <c r="K337" s="130"/>
      <c r="L337" s="68"/>
      <c r="M337" s="17"/>
      <c r="N337" s="17"/>
      <c r="O337" s="324">
        <v>0</v>
      </c>
      <c r="P337" s="335">
        <f t="shared" si="8"/>
        <v>0</v>
      </c>
      <c r="Q337" s="17"/>
    </row>
    <row r="338" spans="2:17" ht="17.25" hidden="1" x14ac:dyDescent="0.3">
      <c r="B338" s="16">
        <v>33</v>
      </c>
      <c r="C338" s="68"/>
      <c r="D338" s="71"/>
      <c r="E338" s="327"/>
      <c r="F338" s="327"/>
      <c r="G338" s="68"/>
      <c r="H338" s="68"/>
      <c r="I338" s="68"/>
      <c r="J338" s="74"/>
      <c r="K338" s="130"/>
      <c r="L338" s="68"/>
      <c r="M338" s="17"/>
      <c r="N338" s="17"/>
      <c r="O338" s="324">
        <v>0</v>
      </c>
      <c r="P338" s="335">
        <f t="shared" si="8"/>
        <v>0</v>
      </c>
      <c r="Q338" s="17"/>
    </row>
    <row r="339" spans="2:17" ht="17.25" hidden="1" x14ac:dyDescent="0.3">
      <c r="B339" s="16">
        <v>34</v>
      </c>
      <c r="C339" s="68"/>
      <c r="D339" s="71"/>
      <c r="E339" s="327"/>
      <c r="F339" s="327"/>
      <c r="G339" s="68"/>
      <c r="H339" s="68"/>
      <c r="I339" s="68"/>
      <c r="J339" s="74"/>
      <c r="K339" s="130"/>
      <c r="L339" s="68"/>
      <c r="M339" s="17"/>
      <c r="N339" s="17"/>
      <c r="O339" s="324">
        <v>0</v>
      </c>
      <c r="P339" s="335">
        <f t="shared" si="8"/>
        <v>0</v>
      </c>
      <c r="Q339" s="17"/>
    </row>
    <row r="340" spans="2:17" ht="17.25" hidden="1" x14ac:dyDescent="0.3">
      <c r="B340" s="16">
        <v>35</v>
      </c>
      <c r="C340" s="68"/>
      <c r="D340" s="71"/>
      <c r="E340" s="327"/>
      <c r="F340" s="327"/>
      <c r="G340" s="68"/>
      <c r="H340" s="68"/>
      <c r="I340" s="68"/>
      <c r="J340" s="74"/>
      <c r="K340" s="130"/>
      <c r="L340" s="68"/>
      <c r="M340" s="17"/>
      <c r="N340" s="17"/>
      <c r="O340" s="324">
        <v>0</v>
      </c>
      <c r="P340" s="335">
        <f t="shared" si="8"/>
        <v>0</v>
      </c>
      <c r="Q340" s="17"/>
    </row>
    <row r="341" spans="2:17" ht="17.25" hidden="1" x14ac:dyDescent="0.3">
      <c r="B341" s="16">
        <v>36</v>
      </c>
      <c r="C341" s="68"/>
      <c r="D341" s="71"/>
      <c r="E341" s="327"/>
      <c r="F341" s="327"/>
      <c r="G341" s="68"/>
      <c r="H341" s="68"/>
      <c r="I341" s="68"/>
      <c r="J341" s="74"/>
      <c r="K341" s="130"/>
      <c r="L341" s="68"/>
      <c r="M341" s="17"/>
      <c r="N341" s="17"/>
      <c r="O341" s="324">
        <v>0</v>
      </c>
      <c r="P341" s="335">
        <f t="shared" si="8"/>
        <v>0</v>
      </c>
      <c r="Q341" s="17"/>
    </row>
    <row r="342" spans="2:17" ht="17.25" hidden="1" x14ac:dyDescent="0.3">
      <c r="B342" s="16">
        <v>37</v>
      </c>
      <c r="C342" s="68"/>
      <c r="D342" s="71"/>
      <c r="E342" s="327"/>
      <c r="F342" s="327"/>
      <c r="G342" s="68"/>
      <c r="H342" s="68"/>
      <c r="I342" s="68"/>
      <c r="J342" s="74"/>
      <c r="K342" s="130"/>
      <c r="L342" s="68"/>
      <c r="M342" s="17"/>
      <c r="N342" s="17"/>
      <c r="O342" s="324">
        <v>0</v>
      </c>
      <c r="P342" s="335">
        <f t="shared" si="8"/>
        <v>0</v>
      </c>
      <c r="Q342" s="17"/>
    </row>
    <row r="343" spans="2:17" ht="17.25" hidden="1" x14ac:dyDescent="0.3">
      <c r="B343" s="16">
        <v>38</v>
      </c>
      <c r="C343" s="68"/>
      <c r="D343" s="71"/>
      <c r="E343" s="327"/>
      <c r="F343" s="327"/>
      <c r="G343" s="68"/>
      <c r="H343" s="68"/>
      <c r="I343" s="68"/>
      <c r="J343" s="74"/>
      <c r="K343" s="130"/>
      <c r="L343" s="68"/>
      <c r="M343" s="17"/>
      <c r="N343" s="17"/>
      <c r="O343" s="324">
        <v>0</v>
      </c>
      <c r="P343" s="335">
        <f t="shared" si="8"/>
        <v>0</v>
      </c>
      <c r="Q343" s="17"/>
    </row>
    <row r="344" spans="2:17" ht="17.25" hidden="1" x14ac:dyDescent="0.3">
      <c r="B344" s="16">
        <v>39</v>
      </c>
      <c r="C344" s="68"/>
      <c r="D344" s="71"/>
      <c r="E344" s="327"/>
      <c r="F344" s="327"/>
      <c r="G344" s="68"/>
      <c r="H344" s="68"/>
      <c r="I344" s="68"/>
      <c r="J344" s="74"/>
      <c r="K344" s="130"/>
      <c r="L344" s="68"/>
      <c r="M344" s="17"/>
      <c r="N344" s="17"/>
      <c r="O344" s="324">
        <v>0</v>
      </c>
      <c r="P344" s="335">
        <f t="shared" si="8"/>
        <v>0</v>
      </c>
      <c r="Q344" s="17"/>
    </row>
    <row r="345" spans="2:17" ht="17.25" hidden="1" x14ac:dyDescent="0.3">
      <c r="B345" s="16">
        <v>40</v>
      </c>
      <c r="C345" s="68"/>
      <c r="D345" s="71"/>
      <c r="E345" s="327"/>
      <c r="F345" s="327"/>
      <c r="G345" s="68"/>
      <c r="H345" s="68"/>
      <c r="I345" s="68"/>
      <c r="J345" s="74"/>
      <c r="K345" s="130"/>
      <c r="L345" s="68"/>
      <c r="M345" s="17"/>
      <c r="N345" s="17"/>
      <c r="O345" s="324">
        <v>0</v>
      </c>
      <c r="P345" s="335">
        <f t="shared" si="8"/>
        <v>0</v>
      </c>
      <c r="Q345" s="17"/>
    </row>
    <row r="346" spans="2:17" ht="17.25" hidden="1" x14ac:dyDescent="0.3">
      <c r="B346" s="16">
        <v>41</v>
      </c>
      <c r="C346" s="68"/>
      <c r="D346" s="71"/>
      <c r="E346" s="327"/>
      <c r="F346" s="327"/>
      <c r="G346" s="68"/>
      <c r="H346" s="68"/>
      <c r="I346" s="68"/>
      <c r="J346" s="74"/>
      <c r="K346" s="130"/>
      <c r="L346" s="68"/>
      <c r="M346" s="17"/>
      <c r="N346" s="17"/>
      <c r="O346" s="324">
        <v>0</v>
      </c>
      <c r="P346" s="335">
        <f t="shared" si="8"/>
        <v>0</v>
      </c>
      <c r="Q346" s="17"/>
    </row>
    <row r="347" spans="2:17" ht="17.25" hidden="1" x14ac:dyDescent="0.3">
      <c r="B347" s="16">
        <v>42</v>
      </c>
      <c r="C347" s="68"/>
      <c r="D347" s="71"/>
      <c r="E347" s="327"/>
      <c r="F347" s="327"/>
      <c r="G347" s="68"/>
      <c r="H347" s="68"/>
      <c r="I347" s="68"/>
      <c r="J347" s="74"/>
      <c r="K347" s="130"/>
      <c r="L347" s="68"/>
      <c r="M347" s="17"/>
      <c r="N347" s="17"/>
      <c r="O347" s="324">
        <v>0</v>
      </c>
      <c r="P347" s="335">
        <f t="shared" si="8"/>
        <v>0</v>
      </c>
      <c r="Q347" s="17"/>
    </row>
    <row r="348" spans="2:17" ht="17.25" hidden="1" x14ac:dyDescent="0.3">
      <c r="B348" s="16">
        <v>43</v>
      </c>
      <c r="C348" s="68"/>
      <c r="D348" s="71"/>
      <c r="E348" s="327"/>
      <c r="F348" s="327"/>
      <c r="G348" s="68"/>
      <c r="H348" s="68"/>
      <c r="I348" s="68"/>
      <c r="J348" s="74"/>
      <c r="K348" s="130"/>
      <c r="L348" s="68"/>
      <c r="M348" s="17"/>
      <c r="N348" s="17"/>
      <c r="O348" s="324">
        <v>0</v>
      </c>
      <c r="P348" s="335">
        <f t="shared" si="8"/>
        <v>0</v>
      </c>
      <c r="Q348" s="17"/>
    </row>
    <row r="349" spans="2:17" ht="17.25" hidden="1" x14ac:dyDescent="0.3">
      <c r="B349" s="16">
        <v>44</v>
      </c>
      <c r="C349" s="68"/>
      <c r="D349" s="71"/>
      <c r="E349" s="327"/>
      <c r="F349" s="327"/>
      <c r="G349" s="68"/>
      <c r="H349" s="68"/>
      <c r="I349" s="68"/>
      <c r="J349" s="74"/>
      <c r="K349" s="130"/>
      <c r="L349" s="68"/>
      <c r="M349" s="17"/>
      <c r="N349" s="17"/>
      <c r="O349" s="324">
        <v>0</v>
      </c>
      <c r="P349" s="335">
        <f t="shared" si="8"/>
        <v>0</v>
      </c>
      <c r="Q349" s="17"/>
    </row>
    <row r="350" spans="2:17" ht="17.25" hidden="1" x14ac:dyDescent="0.3">
      <c r="B350" s="16">
        <v>45</v>
      </c>
      <c r="C350" s="68"/>
      <c r="D350" s="71"/>
      <c r="E350" s="327"/>
      <c r="F350" s="327"/>
      <c r="G350" s="68"/>
      <c r="H350" s="68"/>
      <c r="I350" s="68"/>
      <c r="J350" s="74"/>
      <c r="K350" s="130"/>
      <c r="L350" s="68"/>
      <c r="M350" s="17"/>
      <c r="N350" s="17"/>
      <c r="O350" s="324">
        <v>0</v>
      </c>
      <c r="P350" s="335">
        <f t="shared" si="8"/>
        <v>0</v>
      </c>
      <c r="Q350" s="17"/>
    </row>
    <row r="351" spans="2:17" ht="17.25" hidden="1" x14ac:dyDescent="0.3">
      <c r="B351" s="16">
        <v>46</v>
      </c>
      <c r="C351" s="68"/>
      <c r="D351" s="71"/>
      <c r="E351" s="327"/>
      <c r="F351" s="327"/>
      <c r="G351" s="68"/>
      <c r="H351" s="68"/>
      <c r="I351" s="68"/>
      <c r="J351" s="74"/>
      <c r="K351" s="130"/>
      <c r="L351" s="68"/>
      <c r="M351" s="17"/>
      <c r="N351" s="17"/>
      <c r="O351" s="324">
        <v>0</v>
      </c>
      <c r="P351" s="335">
        <f t="shared" si="8"/>
        <v>0</v>
      </c>
      <c r="Q351" s="17"/>
    </row>
    <row r="352" spans="2:17" ht="17.25" hidden="1" x14ac:dyDescent="0.3">
      <c r="B352" s="16">
        <v>47</v>
      </c>
      <c r="C352" s="68"/>
      <c r="D352" s="71"/>
      <c r="E352" s="327"/>
      <c r="F352" s="327"/>
      <c r="G352" s="68"/>
      <c r="H352" s="68"/>
      <c r="I352" s="68"/>
      <c r="J352" s="74"/>
      <c r="K352" s="130"/>
      <c r="L352" s="68"/>
      <c r="M352" s="17"/>
      <c r="N352" s="17"/>
      <c r="O352" s="324">
        <v>0</v>
      </c>
      <c r="P352" s="335">
        <f t="shared" si="8"/>
        <v>0</v>
      </c>
      <c r="Q352" s="17"/>
    </row>
    <row r="353" spans="2:17" ht="17.25" hidden="1" x14ac:dyDescent="0.3">
      <c r="B353" s="16">
        <v>48</v>
      </c>
      <c r="C353" s="68"/>
      <c r="D353" s="71"/>
      <c r="E353" s="327"/>
      <c r="F353" s="327"/>
      <c r="G353" s="68"/>
      <c r="H353" s="68"/>
      <c r="I353" s="68"/>
      <c r="J353" s="74"/>
      <c r="K353" s="130"/>
      <c r="L353" s="68"/>
      <c r="M353" s="17"/>
      <c r="N353" s="17"/>
      <c r="O353" s="324">
        <v>0</v>
      </c>
      <c r="P353" s="335">
        <f t="shared" si="8"/>
        <v>0</v>
      </c>
      <c r="Q353" s="17"/>
    </row>
    <row r="354" spans="2:17" ht="17.25" hidden="1" x14ac:dyDescent="0.3">
      <c r="B354" s="16">
        <v>49</v>
      </c>
      <c r="C354" s="68"/>
      <c r="D354" s="71"/>
      <c r="E354" s="327"/>
      <c r="F354" s="327"/>
      <c r="G354" s="68"/>
      <c r="H354" s="68"/>
      <c r="I354" s="68"/>
      <c r="J354" s="74"/>
      <c r="K354" s="130"/>
      <c r="L354" s="68"/>
      <c r="M354" s="17"/>
      <c r="N354" s="17"/>
      <c r="O354" s="324">
        <v>0</v>
      </c>
      <c r="P354" s="335">
        <f t="shared" si="8"/>
        <v>0</v>
      </c>
      <c r="Q354" s="17"/>
    </row>
    <row r="355" spans="2:17" ht="17.25" hidden="1" x14ac:dyDescent="0.3">
      <c r="B355" s="16">
        <v>50</v>
      </c>
      <c r="C355" s="68"/>
      <c r="D355" s="71"/>
      <c r="E355" s="327"/>
      <c r="F355" s="327"/>
      <c r="G355" s="68"/>
      <c r="H355" s="68"/>
      <c r="I355" s="68"/>
      <c r="J355" s="74"/>
      <c r="K355" s="130"/>
      <c r="L355" s="68"/>
      <c r="M355" s="17"/>
      <c r="N355" s="17"/>
      <c r="O355" s="324">
        <v>0</v>
      </c>
      <c r="P355" s="335">
        <f t="shared" si="8"/>
        <v>0</v>
      </c>
      <c r="Q355" s="17"/>
    </row>
    <row r="356" spans="2:17" ht="17.25" hidden="1" x14ac:dyDescent="0.3">
      <c r="B356" s="16">
        <v>51</v>
      </c>
      <c r="C356" s="68"/>
      <c r="D356" s="71"/>
      <c r="E356" s="327"/>
      <c r="F356" s="327"/>
      <c r="G356" s="68"/>
      <c r="H356" s="68"/>
      <c r="I356" s="68"/>
      <c r="J356" s="74"/>
      <c r="K356" s="130"/>
      <c r="L356" s="68"/>
      <c r="M356" s="17"/>
      <c r="N356" s="17"/>
      <c r="O356" s="324">
        <v>0</v>
      </c>
      <c r="P356" s="335">
        <f t="shared" si="8"/>
        <v>0</v>
      </c>
      <c r="Q356" s="17"/>
    </row>
    <row r="357" spans="2:17" ht="17.25" hidden="1" x14ac:dyDescent="0.3">
      <c r="B357" s="16">
        <v>52</v>
      </c>
      <c r="C357" s="68"/>
      <c r="D357" s="71"/>
      <c r="E357" s="327"/>
      <c r="F357" s="327"/>
      <c r="G357" s="68"/>
      <c r="H357" s="68"/>
      <c r="I357" s="68"/>
      <c r="J357" s="74"/>
      <c r="K357" s="130"/>
      <c r="L357" s="68"/>
      <c r="M357" s="17"/>
      <c r="N357" s="17"/>
      <c r="O357" s="324">
        <v>0</v>
      </c>
      <c r="P357" s="335">
        <f t="shared" si="8"/>
        <v>0</v>
      </c>
      <c r="Q357" s="17"/>
    </row>
    <row r="358" spans="2:17" ht="17.25" hidden="1" x14ac:dyDescent="0.3">
      <c r="B358" s="16">
        <v>53</v>
      </c>
      <c r="C358" s="68"/>
      <c r="D358" s="71"/>
      <c r="E358" s="327"/>
      <c r="F358" s="327"/>
      <c r="G358" s="68"/>
      <c r="H358" s="68"/>
      <c r="I358" s="68"/>
      <c r="J358" s="74"/>
      <c r="K358" s="130"/>
      <c r="L358" s="68"/>
      <c r="M358" s="17"/>
      <c r="N358" s="17"/>
      <c r="O358" s="324">
        <v>0</v>
      </c>
      <c r="P358" s="335">
        <f t="shared" si="8"/>
        <v>0</v>
      </c>
      <c r="Q358" s="17"/>
    </row>
    <row r="359" spans="2:17" ht="17.25" hidden="1" x14ac:dyDescent="0.3">
      <c r="B359" s="16">
        <v>54</v>
      </c>
      <c r="C359" s="68"/>
      <c r="D359" s="71"/>
      <c r="E359" s="327"/>
      <c r="F359" s="327"/>
      <c r="G359" s="68"/>
      <c r="H359" s="68"/>
      <c r="I359" s="68"/>
      <c r="J359" s="74"/>
      <c r="K359" s="130"/>
      <c r="L359" s="68"/>
      <c r="M359" s="17"/>
      <c r="N359" s="17"/>
      <c r="O359" s="324">
        <v>0</v>
      </c>
      <c r="P359" s="335">
        <f t="shared" si="8"/>
        <v>0</v>
      </c>
      <c r="Q359" s="17"/>
    </row>
    <row r="360" spans="2:17" ht="17.25" hidden="1" x14ac:dyDescent="0.3">
      <c r="B360" s="16">
        <v>55</v>
      </c>
      <c r="C360" s="68"/>
      <c r="D360" s="71"/>
      <c r="E360" s="327"/>
      <c r="F360" s="327"/>
      <c r="G360" s="68"/>
      <c r="H360" s="68"/>
      <c r="I360" s="68"/>
      <c r="J360" s="74"/>
      <c r="K360" s="130"/>
      <c r="L360" s="68"/>
      <c r="M360" s="17"/>
      <c r="N360" s="17"/>
      <c r="O360" s="324">
        <v>0</v>
      </c>
      <c r="P360" s="335">
        <f t="shared" si="8"/>
        <v>0</v>
      </c>
      <c r="Q360" s="17"/>
    </row>
    <row r="361" spans="2:17" ht="17.25" hidden="1" x14ac:dyDescent="0.3">
      <c r="B361" s="16">
        <v>56</v>
      </c>
      <c r="C361" s="68"/>
      <c r="D361" s="71"/>
      <c r="E361" s="327"/>
      <c r="F361" s="327"/>
      <c r="G361" s="68"/>
      <c r="H361" s="68"/>
      <c r="I361" s="68"/>
      <c r="J361" s="74"/>
      <c r="K361" s="130"/>
      <c r="L361" s="68"/>
      <c r="M361" s="17"/>
      <c r="N361" s="17"/>
      <c r="O361" s="324">
        <v>0</v>
      </c>
      <c r="P361" s="335">
        <f t="shared" si="8"/>
        <v>0</v>
      </c>
      <c r="Q361" s="17"/>
    </row>
    <row r="362" spans="2:17" ht="17.25" hidden="1" x14ac:dyDescent="0.3">
      <c r="B362" s="16">
        <v>57</v>
      </c>
      <c r="C362" s="68"/>
      <c r="D362" s="71"/>
      <c r="E362" s="327"/>
      <c r="F362" s="327"/>
      <c r="G362" s="68"/>
      <c r="H362" s="68"/>
      <c r="I362" s="68"/>
      <c r="J362" s="74"/>
      <c r="K362" s="130"/>
      <c r="L362" s="68"/>
      <c r="M362" s="17"/>
      <c r="N362" s="17"/>
      <c r="O362" s="324">
        <v>0</v>
      </c>
      <c r="P362" s="335">
        <f t="shared" si="8"/>
        <v>0</v>
      </c>
      <c r="Q362" s="17"/>
    </row>
    <row r="363" spans="2:17" ht="17.25" hidden="1" x14ac:dyDescent="0.3">
      <c r="B363" s="16">
        <v>58</v>
      </c>
      <c r="C363" s="68"/>
      <c r="D363" s="71"/>
      <c r="E363" s="327"/>
      <c r="F363" s="327"/>
      <c r="G363" s="68"/>
      <c r="H363" s="68"/>
      <c r="I363" s="68"/>
      <c r="J363" s="74"/>
      <c r="K363" s="130"/>
      <c r="L363" s="68"/>
      <c r="M363" s="17"/>
      <c r="N363" s="17"/>
      <c r="O363" s="324">
        <v>0</v>
      </c>
      <c r="P363" s="335">
        <f t="shared" si="8"/>
        <v>0</v>
      </c>
      <c r="Q363" s="17"/>
    </row>
    <row r="364" spans="2:17" ht="17.25" hidden="1" x14ac:dyDescent="0.3">
      <c r="B364" s="16">
        <v>59</v>
      </c>
      <c r="C364" s="68"/>
      <c r="D364" s="71"/>
      <c r="E364" s="327"/>
      <c r="F364" s="327"/>
      <c r="G364" s="68"/>
      <c r="H364" s="68"/>
      <c r="I364" s="68"/>
      <c r="J364" s="74"/>
      <c r="K364" s="130"/>
      <c r="L364" s="68"/>
      <c r="M364" s="17"/>
      <c r="N364" s="17"/>
      <c r="O364" s="324">
        <v>0</v>
      </c>
      <c r="P364" s="335">
        <f t="shared" si="8"/>
        <v>0</v>
      </c>
      <c r="Q364" s="17"/>
    </row>
    <row r="365" spans="2:17" ht="17.25" hidden="1" x14ac:dyDescent="0.3">
      <c r="B365" s="16">
        <v>60</v>
      </c>
      <c r="C365" s="68"/>
      <c r="D365" s="71"/>
      <c r="E365" s="327"/>
      <c r="F365" s="327"/>
      <c r="G365" s="68"/>
      <c r="H365" s="68"/>
      <c r="I365" s="68"/>
      <c r="J365" s="74"/>
      <c r="K365" s="130"/>
      <c r="L365" s="68"/>
      <c r="M365" s="17"/>
      <c r="N365" s="17"/>
      <c r="O365" s="324">
        <v>0</v>
      </c>
      <c r="P365" s="335">
        <f t="shared" si="8"/>
        <v>0</v>
      </c>
      <c r="Q365" s="17"/>
    </row>
    <row r="366" spans="2:17" ht="17.25" hidden="1" x14ac:dyDescent="0.3">
      <c r="B366" s="16">
        <v>61</v>
      </c>
      <c r="C366" s="68"/>
      <c r="D366" s="71"/>
      <c r="E366" s="327"/>
      <c r="F366" s="327"/>
      <c r="G366" s="68"/>
      <c r="H366" s="68"/>
      <c r="I366" s="68"/>
      <c r="J366" s="74"/>
      <c r="K366" s="130"/>
      <c r="L366" s="68"/>
      <c r="M366" s="17"/>
      <c r="N366" s="17"/>
      <c r="O366" s="324">
        <v>0</v>
      </c>
      <c r="P366" s="335">
        <f t="shared" si="8"/>
        <v>0</v>
      </c>
      <c r="Q366" s="17"/>
    </row>
    <row r="367" spans="2:17" ht="17.25" hidden="1" x14ac:dyDescent="0.3">
      <c r="C367" s="81" t="s">
        <v>566</v>
      </c>
      <c r="D367" s="71"/>
      <c r="E367" s="327"/>
      <c r="F367" s="327"/>
      <c r="G367" s="68"/>
      <c r="H367" s="68"/>
      <c r="I367" s="68"/>
      <c r="J367" s="74"/>
      <c r="K367" s="130"/>
      <c r="L367" s="68"/>
      <c r="M367" s="17"/>
      <c r="N367" s="17"/>
      <c r="O367" s="324">
        <v>0</v>
      </c>
      <c r="P367" s="335">
        <f t="shared" si="8"/>
        <v>0</v>
      </c>
      <c r="Q367" s="17"/>
    </row>
    <row r="368" spans="2:17" hidden="1" x14ac:dyDescent="0.3">
      <c r="C368" s="54"/>
    </row>
    <row r="369" spans="2:17" x14ac:dyDescent="0.3">
      <c r="C369" s="54"/>
    </row>
    <row r="370" spans="2:17" x14ac:dyDescent="0.3">
      <c r="C370" s="54"/>
    </row>
    <row r="371" spans="2:17" x14ac:dyDescent="0.3">
      <c r="C371" s="54"/>
    </row>
    <row r="372" spans="2:17" ht="52.5" customHeight="1" x14ac:dyDescent="0.3">
      <c r="C372" s="54"/>
      <c r="P372" s="922" t="s">
        <v>754</v>
      </c>
      <c r="Q372" s="923"/>
    </row>
    <row r="373" spans="2:17" ht="60" customHeight="1" x14ac:dyDescent="0.3">
      <c r="B373" s="924" t="s">
        <v>756</v>
      </c>
      <c r="C373" s="925"/>
      <c r="D373" s="925"/>
      <c r="E373" s="925"/>
      <c r="F373" s="925"/>
      <c r="G373" s="925"/>
      <c r="H373" s="925"/>
      <c r="I373" s="925"/>
      <c r="J373" s="925"/>
      <c r="K373" s="925"/>
      <c r="L373" s="925"/>
      <c r="M373" s="925"/>
      <c r="N373" s="925"/>
      <c r="O373" s="926"/>
      <c r="P373" s="927">
        <f>SUM(P377:P438)</f>
        <v>23592851.689999998</v>
      </c>
      <c r="Q373" s="928"/>
    </row>
    <row r="374" spans="2:17" x14ac:dyDescent="0.3">
      <c r="B374" s="919" t="s">
        <v>182</v>
      </c>
      <c r="C374" s="920"/>
      <c r="D374" s="920"/>
      <c r="E374" s="920"/>
      <c r="F374" s="920"/>
      <c r="G374" s="920"/>
      <c r="H374" s="920"/>
      <c r="I374" s="920"/>
      <c r="J374" s="920"/>
      <c r="K374" s="920"/>
      <c r="L374" s="920"/>
      <c r="M374" s="920"/>
      <c r="N374" s="920"/>
      <c r="O374" s="920"/>
      <c r="P374" s="920"/>
      <c r="Q374" s="921"/>
    </row>
    <row r="375" spans="2:17" x14ac:dyDescent="0.3">
      <c r="B375" s="833" t="s">
        <v>35</v>
      </c>
      <c r="C375" s="844" t="s">
        <v>177</v>
      </c>
      <c r="D375" s="837" t="s">
        <v>466</v>
      </c>
      <c r="E375" s="844" t="s">
        <v>183</v>
      </c>
      <c r="F375" s="837" t="s">
        <v>100</v>
      </c>
      <c r="G375" s="837" t="s">
        <v>174</v>
      </c>
      <c r="H375" s="917" t="s">
        <v>171</v>
      </c>
      <c r="I375" s="918"/>
      <c r="J375" s="844" t="s">
        <v>173</v>
      </c>
      <c r="K375" s="837" t="s">
        <v>423</v>
      </c>
      <c r="L375" s="837" t="s">
        <v>465</v>
      </c>
      <c r="M375" s="837" t="s">
        <v>97</v>
      </c>
      <c r="N375" s="837" t="s">
        <v>168</v>
      </c>
      <c r="O375" s="837" t="s">
        <v>51</v>
      </c>
      <c r="P375" s="916" t="s">
        <v>422</v>
      </c>
      <c r="Q375" s="840" t="s">
        <v>169</v>
      </c>
    </row>
    <row r="376" spans="2:17" x14ac:dyDescent="0.3">
      <c r="B376" s="833"/>
      <c r="C376" s="844"/>
      <c r="D376" s="839"/>
      <c r="E376" s="844"/>
      <c r="F376" s="839"/>
      <c r="G376" s="839"/>
      <c r="H376" s="66" t="s">
        <v>172</v>
      </c>
      <c r="I376" s="287" t="s">
        <v>101</v>
      </c>
      <c r="J376" s="844"/>
      <c r="K376" s="839"/>
      <c r="L376" s="839"/>
      <c r="M376" s="839"/>
      <c r="N376" s="839"/>
      <c r="O376" s="839"/>
      <c r="P376" s="916"/>
      <c r="Q376" s="842"/>
    </row>
    <row r="377" spans="2:17" ht="34.5" x14ac:dyDescent="0.3">
      <c r="B377" s="122">
        <v>1</v>
      </c>
      <c r="C377" s="446" t="s">
        <v>1159</v>
      </c>
      <c r="D377" s="550">
        <v>40</v>
      </c>
      <c r="E377" s="446" t="s">
        <v>1155</v>
      </c>
      <c r="F377" s="446" t="s">
        <v>1162</v>
      </c>
      <c r="G377" s="446" t="s">
        <v>1162</v>
      </c>
      <c r="H377" s="446" t="s">
        <v>1162</v>
      </c>
      <c r="I377" s="446" t="s">
        <v>1162</v>
      </c>
      <c r="J377" s="446" t="s">
        <v>1162</v>
      </c>
      <c r="K377" s="130" t="s">
        <v>867</v>
      </c>
      <c r="L377" s="68" t="s">
        <v>728</v>
      </c>
      <c r="M377" s="17" t="s">
        <v>1068</v>
      </c>
      <c r="N377" s="17" t="s">
        <v>1169</v>
      </c>
      <c r="O377" s="484">
        <v>283750</v>
      </c>
      <c r="P377" s="335">
        <f>D377*O377</f>
        <v>11350000</v>
      </c>
      <c r="Q377" s="325"/>
    </row>
    <row r="378" spans="2:17" ht="34.5" x14ac:dyDescent="0.3">
      <c r="B378" s="122">
        <v>2</v>
      </c>
      <c r="C378" s="446" t="s">
        <v>1160</v>
      </c>
      <c r="D378" s="550">
        <v>40</v>
      </c>
      <c r="E378" s="446" t="s">
        <v>1155</v>
      </c>
      <c r="F378" s="446" t="s">
        <v>1162</v>
      </c>
      <c r="G378" s="446" t="s">
        <v>1162</v>
      </c>
      <c r="H378" s="446" t="s">
        <v>1162</v>
      </c>
      <c r="I378" s="446" t="s">
        <v>1162</v>
      </c>
      <c r="J378" s="446" t="s">
        <v>1162</v>
      </c>
      <c r="K378" s="130" t="s">
        <v>867</v>
      </c>
      <c r="L378" s="68" t="s">
        <v>728</v>
      </c>
      <c r="M378" s="441" t="s">
        <v>1068</v>
      </c>
      <c r="N378" s="441" t="s">
        <v>1169</v>
      </c>
      <c r="O378" s="484">
        <v>306071.29225</v>
      </c>
      <c r="P378" s="335">
        <f t="shared" ref="P378:P438" si="9">D378*O378</f>
        <v>12242851.689999999</v>
      </c>
      <c r="Q378" s="17"/>
    </row>
    <row r="379" spans="2:17" ht="17.25" hidden="1" x14ac:dyDescent="0.3">
      <c r="B379" s="122">
        <v>3</v>
      </c>
      <c r="C379" s="68"/>
      <c r="D379" s="326"/>
      <c r="E379" s="327"/>
      <c r="F379" s="327"/>
      <c r="G379" s="68"/>
      <c r="H379" s="68"/>
      <c r="I379" s="68"/>
      <c r="J379" s="68"/>
      <c r="K379" s="130"/>
      <c r="L379" s="68"/>
      <c r="M379" s="17"/>
      <c r="N379" s="17"/>
      <c r="O379" s="324">
        <v>0</v>
      </c>
      <c r="P379" s="335">
        <f t="shared" si="9"/>
        <v>0</v>
      </c>
      <c r="Q379" s="17"/>
    </row>
    <row r="380" spans="2:17" ht="17.25" hidden="1" x14ac:dyDescent="0.3">
      <c r="B380" s="122">
        <v>4</v>
      </c>
      <c r="C380" s="68"/>
      <c r="D380" s="326"/>
      <c r="E380" s="327"/>
      <c r="F380" s="327"/>
      <c r="G380" s="68"/>
      <c r="H380" s="68"/>
      <c r="I380" s="68"/>
      <c r="J380" s="68"/>
      <c r="K380" s="130"/>
      <c r="L380" s="68"/>
      <c r="M380" s="17"/>
      <c r="N380" s="17"/>
      <c r="O380" s="324">
        <v>0</v>
      </c>
      <c r="P380" s="335">
        <f t="shared" si="9"/>
        <v>0</v>
      </c>
      <c r="Q380" s="17"/>
    </row>
    <row r="381" spans="2:17" ht="17.25" hidden="1" x14ac:dyDescent="0.3">
      <c r="B381" s="122">
        <v>5</v>
      </c>
      <c r="C381" s="68"/>
      <c r="D381" s="326"/>
      <c r="E381" s="327"/>
      <c r="F381" s="327"/>
      <c r="G381" s="68"/>
      <c r="H381" s="68"/>
      <c r="I381" s="68"/>
      <c r="J381" s="68"/>
      <c r="K381" s="130"/>
      <c r="L381" s="68"/>
      <c r="M381" s="17"/>
      <c r="N381" s="17"/>
      <c r="O381" s="324">
        <v>0</v>
      </c>
      <c r="P381" s="335">
        <f t="shared" si="9"/>
        <v>0</v>
      </c>
      <c r="Q381" s="17"/>
    </row>
    <row r="382" spans="2:17" ht="17.25" hidden="1" x14ac:dyDescent="0.3">
      <c r="B382" s="122">
        <v>6</v>
      </c>
      <c r="C382" s="68"/>
      <c r="D382" s="328"/>
      <c r="E382" s="327"/>
      <c r="F382" s="327"/>
      <c r="G382" s="68"/>
      <c r="H382" s="68"/>
      <c r="I382" s="68"/>
      <c r="J382" s="74"/>
      <c r="K382" s="130"/>
      <c r="L382" s="68"/>
      <c r="M382" s="17"/>
      <c r="N382" s="17"/>
      <c r="O382" s="324">
        <v>0</v>
      </c>
      <c r="P382" s="335">
        <f t="shared" si="9"/>
        <v>0</v>
      </c>
      <c r="Q382" s="17"/>
    </row>
    <row r="383" spans="2:17" ht="17.25" hidden="1" x14ac:dyDescent="0.3">
      <c r="B383" s="122">
        <v>7</v>
      </c>
      <c r="C383" s="68"/>
      <c r="D383" s="329"/>
      <c r="E383" s="327"/>
      <c r="F383" s="327"/>
      <c r="G383" s="68"/>
      <c r="H383" s="68"/>
      <c r="I383" s="68"/>
      <c r="J383" s="74"/>
      <c r="K383" s="130"/>
      <c r="L383" s="68"/>
      <c r="M383" s="17"/>
      <c r="N383" s="17"/>
      <c r="O383" s="324">
        <v>0</v>
      </c>
      <c r="P383" s="335">
        <f t="shared" si="9"/>
        <v>0</v>
      </c>
      <c r="Q383" s="17"/>
    </row>
    <row r="384" spans="2:17" ht="17.25" hidden="1" x14ac:dyDescent="0.3">
      <c r="B384" s="122">
        <v>8</v>
      </c>
      <c r="C384" s="68"/>
      <c r="D384" s="326"/>
      <c r="E384" s="327"/>
      <c r="F384" s="327"/>
      <c r="G384" s="68"/>
      <c r="H384" s="68"/>
      <c r="I384" s="68"/>
      <c r="J384" s="68"/>
      <c r="K384" s="130"/>
      <c r="L384" s="68"/>
      <c r="M384" s="17"/>
      <c r="N384" s="17"/>
      <c r="O384" s="324">
        <v>0</v>
      </c>
      <c r="P384" s="335">
        <f t="shared" si="9"/>
        <v>0</v>
      </c>
      <c r="Q384" s="17"/>
    </row>
    <row r="385" spans="2:17" ht="17.25" hidden="1" x14ac:dyDescent="0.3">
      <c r="B385" s="122">
        <v>9</v>
      </c>
      <c r="C385" s="68"/>
      <c r="D385" s="326"/>
      <c r="E385" s="327"/>
      <c r="F385" s="327"/>
      <c r="G385" s="68"/>
      <c r="H385" s="68"/>
      <c r="I385" s="68"/>
      <c r="J385" s="68"/>
      <c r="K385" s="130"/>
      <c r="L385" s="68"/>
      <c r="M385" s="17"/>
      <c r="N385" s="17"/>
      <c r="O385" s="324">
        <v>0</v>
      </c>
      <c r="P385" s="335">
        <f t="shared" si="9"/>
        <v>0</v>
      </c>
      <c r="Q385" s="17"/>
    </row>
    <row r="386" spans="2:17" ht="17.25" hidden="1" x14ac:dyDescent="0.3">
      <c r="B386" s="122">
        <v>10</v>
      </c>
      <c r="C386" s="68"/>
      <c r="D386" s="326"/>
      <c r="E386" s="327"/>
      <c r="F386" s="327"/>
      <c r="G386" s="68"/>
      <c r="H386" s="68"/>
      <c r="I386" s="68"/>
      <c r="J386" s="68"/>
      <c r="K386" s="130"/>
      <c r="L386" s="68"/>
      <c r="M386" s="17"/>
      <c r="N386" s="17"/>
      <c r="O386" s="324">
        <v>0</v>
      </c>
      <c r="P386" s="335">
        <f t="shared" si="9"/>
        <v>0</v>
      </c>
      <c r="Q386" s="17"/>
    </row>
    <row r="387" spans="2:17" ht="17.25" hidden="1" x14ac:dyDescent="0.3">
      <c r="B387" s="122">
        <v>11</v>
      </c>
      <c r="C387" s="68"/>
      <c r="D387" s="326"/>
      <c r="E387" s="327"/>
      <c r="F387" s="327"/>
      <c r="G387" s="68"/>
      <c r="H387" s="68"/>
      <c r="I387" s="68"/>
      <c r="J387" s="74"/>
      <c r="K387" s="130"/>
      <c r="L387" s="68"/>
      <c r="M387" s="17"/>
      <c r="N387" s="17"/>
      <c r="O387" s="324">
        <v>0</v>
      </c>
      <c r="P387" s="335">
        <f t="shared" si="9"/>
        <v>0</v>
      </c>
      <c r="Q387" s="17"/>
    </row>
    <row r="388" spans="2:17" ht="17.25" hidden="1" x14ac:dyDescent="0.3">
      <c r="B388" s="122">
        <v>12</v>
      </c>
      <c r="C388" s="68"/>
      <c r="D388" s="326"/>
      <c r="E388" s="327"/>
      <c r="F388" s="327"/>
      <c r="G388" s="68"/>
      <c r="H388" s="68"/>
      <c r="I388" s="68"/>
      <c r="J388" s="68"/>
      <c r="K388" s="130"/>
      <c r="L388" s="68"/>
      <c r="M388" s="17"/>
      <c r="N388" s="17"/>
      <c r="O388" s="324">
        <v>0</v>
      </c>
      <c r="P388" s="335">
        <f t="shared" si="9"/>
        <v>0</v>
      </c>
      <c r="Q388" s="17"/>
    </row>
    <row r="389" spans="2:17" ht="17.25" hidden="1" x14ac:dyDescent="0.3">
      <c r="B389" s="122">
        <v>13</v>
      </c>
      <c r="C389" s="68"/>
      <c r="D389" s="329"/>
      <c r="E389" s="327"/>
      <c r="F389" s="327"/>
      <c r="G389" s="68"/>
      <c r="H389" s="68"/>
      <c r="I389" s="68"/>
      <c r="J389" s="68"/>
      <c r="K389" s="130"/>
      <c r="L389" s="68"/>
      <c r="M389" s="17"/>
      <c r="N389" s="17"/>
      <c r="O389" s="324">
        <v>0</v>
      </c>
      <c r="P389" s="335">
        <f t="shared" si="9"/>
        <v>0</v>
      </c>
      <c r="Q389" s="17"/>
    </row>
    <row r="390" spans="2:17" ht="17.25" hidden="1" x14ac:dyDescent="0.3">
      <c r="B390" s="122">
        <v>14</v>
      </c>
      <c r="C390" s="68"/>
      <c r="D390" s="328"/>
      <c r="E390" s="327"/>
      <c r="F390" s="327"/>
      <c r="G390" s="68"/>
      <c r="H390" s="68"/>
      <c r="I390" s="68"/>
      <c r="J390" s="68"/>
      <c r="K390" s="130"/>
      <c r="L390" s="68"/>
      <c r="M390" s="17"/>
      <c r="N390" s="17"/>
      <c r="O390" s="324">
        <v>0</v>
      </c>
      <c r="P390" s="335">
        <f t="shared" si="9"/>
        <v>0</v>
      </c>
      <c r="Q390" s="17"/>
    </row>
    <row r="391" spans="2:17" ht="17.25" hidden="1" x14ac:dyDescent="0.3">
      <c r="B391" s="122">
        <v>15</v>
      </c>
      <c r="C391" s="68"/>
      <c r="D391" s="329"/>
      <c r="E391" s="327"/>
      <c r="F391" s="327"/>
      <c r="G391" s="68"/>
      <c r="H391" s="68"/>
      <c r="I391" s="68"/>
      <c r="J391" s="68"/>
      <c r="K391" s="130"/>
      <c r="L391" s="68"/>
      <c r="M391" s="17"/>
      <c r="N391" s="17"/>
      <c r="O391" s="324">
        <v>0</v>
      </c>
      <c r="P391" s="335">
        <f t="shared" si="9"/>
        <v>0</v>
      </c>
      <c r="Q391" s="17"/>
    </row>
    <row r="392" spans="2:17" ht="17.25" hidden="1" x14ac:dyDescent="0.3">
      <c r="B392" s="122">
        <v>16</v>
      </c>
      <c r="C392" s="68"/>
      <c r="D392" s="328"/>
      <c r="E392" s="327"/>
      <c r="F392" s="327"/>
      <c r="G392" s="68"/>
      <c r="H392" s="68"/>
      <c r="I392" s="68"/>
      <c r="J392" s="68"/>
      <c r="K392" s="130"/>
      <c r="L392" s="68"/>
      <c r="M392" s="17"/>
      <c r="N392" s="17"/>
      <c r="O392" s="324">
        <v>0</v>
      </c>
      <c r="P392" s="335">
        <f t="shared" si="9"/>
        <v>0</v>
      </c>
      <c r="Q392" s="17"/>
    </row>
    <row r="393" spans="2:17" ht="17.25" hidden="1" x14ac:dyDescent="0.3">
      <c r="B393" s="16">
        <v>17</v>
      </c>
      <c r="C393" s="68"/>
      <c r="D393" s="71"/>
      <c r="E393" s="327"/>
      <c r="F393" s="327"/>
      <c r="G393" s="68"/>
      <c r="H393" s="68"/>
      <c r="I393" s="68"/>
      <c r="J393" s="68"/>
      <c r="K393" s="130"/>
      <c r="L393" s="68"/>
      <c r="M393" s="17"/>
      <c r="N393" s="17"/>
      <c r="O393" s="324">
        <v>0</v>
      </c>
      <c r="P393" s="335">
        <f t="shared" si="9"/>
        <v>0</v>
      </c>
      <c r="Q393" s="17"/>
    </row>
    <row r="394" spans="2:17" ht="17.25" hidden="1" x14ac:dyDescent="0.3">
      <c r="B394" s="16">
        <v>18</v>
      </c>
      <c r="C394" s="68"/>
      <c r="D394" s="71"/>
      <c r="E394" s="327"/>
      <c r="F394" s="327"/>
      <c r="G394" s="68"/>
      <c r="H394" s="68"/>
      <c r="I394" s="68"/>
      <c r="J394" s="68"/>
      <c r="K394" s="130"/>
      <c r="L394" s="68"/>
      <c r="M394" s="17"/>
      <c r="N394" s="17"/>
      <c r="O394" s="324">
        <v>0</v>
      </c>
      <c r="P394" s="335">
        <f t="shared" si="9"/>
        <v>0</v>
      </c>
      <c r="Q394" s="17"/>
    </row>
    <row r="395" spans="2:17" ht="17.25" hidden="1" x14ac:dyDescent="0.3">
      <c r="B395" s="16">
        <v>19</v>
      </c>
      <c r="C395" s="68"/>
      <c r="D395" s="71"/>
      <c r="E395" s="327"/>
      <c r="F395" s="327"/>
      <c r="G395" s="68"/>
      <c r="H395" s="68"/>
      <c r="I395" s="68"/>
      <c r="J395" s="74"/>
      <c r="K395" s="130"/>
      <c r="L395" s="68"/>
      <c r="M395" s="17"/>
      <c r="N395" s="17"/>
      <c r="O395" s="324">
        <v>0</v>
      </c>
      <c r="P395" s="335">
        <f t="shared" si="9"/>
        <v>0</v>
      </c>
      <c r="Q395" s="17"/>
    </row>
    <row r="396" spans="2:17" ht="17.25" hidden="1" x14ac:dyDescent="0.3">
      <c r="B396" s="16">
        <v>20</v>
      </c>
      <c r="C396" s="68"/>
      <c r="D396" s="71"/>
      <c r="E396" s="327"/>
      <c r="F396" s="327"/>
      <c r="G396" s="68"/>
      <c r="H396" s="68"/>
      <c r="I396" s="68"/>
      <c r="J396" s="74"/>
      <c r="K396" s="130"/>
      <c r="L396" s="68"/>
      <c r="M396" s="17"/>
      <c r="N396" s="17"/>
      <c r="O396" s="324">
        <v>0</v>
      </c>
      <c r="P396" s="335">
        <f t="shared" si="9"/>
        <v>0</v>
      </c>
      <c r="Q396" s="17"/>
    </row>
    <row r="397" spans="2:17" ht="17.25" hidden="1" x14ac:dyDescent="0.3">
      <c r="B397" s="16">
        <v>21</v>
      </c>
      <c r="C397" s="68"/>
      <c r="D397" s="71"/>
      <c r="E397" s="327"/>
      <c r="F397" s="327"/>
      <c r="G397" s="68"/>
      <c r="H397" s="68"/>
      <c r="I397" s="68"/>
      <c r="J397" s="74"/>
      <c r="K397" s="130"/>
      <c r="L397" s="68"/>
      <c r="M397" s="17"/>
      <c r="N397" s="17"/>
      <c r="O397" s="324">
        <v>0</v>
      </c>
      <c r="P397" s="335">
        <f t="shared" si="9"/>
        <v>0</v>
      </c>
      <c r="Q397" s="17"/>
    </row>
    <row r="398" spans="2:17" ht="17.25" hidden="1" x14ac:dyDescent="0.3">
      <c r="B398" s="16">
        <v>22</v>
      </c>
      <c r="C398" s="68"/>
      <c r="D398" s="71"/>
      <c r="E398" s="327"/>
      <c r="F398" s="327"/>
      <c r="G398" s="68"/>
      <c r="H398" s="68"/>
      <c r="I398" s="68"/>
      <c r="J398" s="74"/>
      <c r="K398" s="130"/>
      <c r="L398" s="68"/>
      <c r="M398" s="17"/>
      <c r="N398" s="17"/>
      <c r="O398" s="324">
        <v>0</v>
      </c>
      <c r="P398" s="335">
        <f t="shared" si="9"/>
        <v>0</v>
      </c>
      <c r="Q398" s="17"/>
    </row>
    <row r="399" spans="2:17" ht="17.25" hidden="1" x14ac:dyDescent="0.3">
      <c r="B399" s="16">
        <v>23</v>
      </c>
      <c r="C399" s="68"/>
      <c r="D399" s="71"/>
      <c r="E399" s="327"/>
      <c r="F399" s="327"/>
      <c r="G399" s="68"/>
      <c r="H399" s="68"/>
      <c r="I399" s="68"/>
      <c r="J399" s="74"/>
      <c r="K399" s="130"/>
      <c r="L399" s="68"/>
      <c r="M399" s="17"/>
      <c r="N399" s="17"/>
      <c r="O399" s="324">
        <v>0</v>
      </c>
      <c r="P399" s="335">
        <f t="shared" si="9"/>
        <v>0</v>
      </c>
      <c r="Q399" s="17"/>
    </row>
    <row r="400" spans="2:17" ht="17.25" hidden="1" x14ac:dyDescent="0.3">
      <c r="B400" s="16">
        <v>24</v>
      </c>
      <c r="C400" s="68"/>
      <c r="D400" s="71"/>
      <c r="E400" s="327"/>
      <c r="F400" s="327"/>
      <c r="G400" s="68"/>
      <c r="H400" s="68"/>
      <c r="I400" s="68"/>
      <c r="J400" s="74"/>
      <c r="K400" s="130"/>
      <c r="L400" s="68"/>
      <c r="M400" s="17"/>
      <c r="N400" s="17"/>
      <c r="O400" s="324">
        <v>0</v>
      </c>
      <c r="P400" s="335">
        <f t="shared" si="9"/>
        <v>0</v>
      </c>
      <c r="Q400" s="17"/>
    </row>
    <row r="401" spans="2:17" ht="17.25" hidden="1" x14ac:dyDescent="0.3">
      <c r="B401" s="16">
        <v>25</v>
      </c>
      <c r="C401" s="68"/>
      <c r="D401" s="71"/>
      <c r="E401" s="327"/>
      <c r="F401" s="327"/>
      <c r="G401" s="68"/>
      <c r="H401" s="68"/>
      <c r="I401" s="68"/>
      <c r="J401" s="74"/>
      <c r="K401" s="130"/>
      <c r="L401" s="68"/>
      <c r="M401" s="17"/>
      <c r="N401" s="17"/>
      <c r="O401" s="324">
        <v>0</v>
      </c>
      <c r="P401" s="335">
        <f t="shared" si="9"/>
        <v>0</v>
      </c>
      <c r="Q401" s="17"/>
    </row>
    <row r="402" spans="2:17" ht="17.25" hidden="1" x14ac:dyDescent="0.3">
      <c r="B402" s="16">
        <v>26</v>
      </c>
      <c r="C402" s="68"/>
      <c r="D402" s="71"/>
      <c r="E402" s="327"/>
      <c r="F402" s="327"/>
      <c r="G402" s="68"/>
      <c r="H402" s="68"/>
      <c r="I402" s="68"/>
      <c r="J402" s="74"/>
      <c r="K402" s="130"/>
      <c r="L402" s="68"/>
      <c r="M402" s="17"/>
      <c r="N402" s="17"/>
      <c r="O402" s="324">
        <v>0</v>
      </c>
      <c r="P402" s="335">
        <f t="shared" si="9"/>
        <v>0</v>
      </c>
      <c r="Q402" s="17"/>
    </row>
    <row r="403" spans="2:17" ht="17.25" hidden="1" x14ac:dyDescent="0.3">
      <c r="B403" s="16">
        <v>27</v>
      </c>
      <c r="C403" s="68"/>
      <c r="D403" s="71"/>
      <c r="E403" s="327"/>
      <c r="F403" s="327"/>
      <c r="G403" s="68"/>
      <c r="H403" s="68"/>
      <c r="I403" s="68"/>
      <c r="J403" s="74"/>
      <c r="K403" s="130"/>
      <c r="L403" s="68"/>
      <c r="M403" s="17"/>
      <c r="N403" s="17"/>
      <c r="O403" s="324">
        <v>0</v>
      </c>
      <c r="P403" s="335">
        <f t="shared" si="9"/>
        <v>0</v>
      </c>
      <c r="Q403" s="17"/>
    </row>
    <row r="404" spans="2:17" ht="17.25" hidden="1" x14ac:dyDescent="0.3">
      <c r="B404" s="16">
        <v>28</v>
      </c>
      <c r="C404" s="68"/>
      <c r="D404" s="71"/>
      <c r="E404" s="327"/>
      <c r="F404" s="327"/>
      <c r="G404" s="68"/>
      <c r="H404" s="68"/>
      <c r="I404" s="68"/>
      <c r="J404" s="74"/>
      <c r="K404" s="130"/>
      <c r="L404" s="68"/>
      <c r="M404" s="17"/>
      <c r="N404" s="17"/>
      <c r="O404" s="324">
        <v>0</v>
      </c>
      <c r="P404" s="335">
        <f t="shared" si="9"/>
        <v>0</v>
      </c>
      <c r="Q404" s="17"/>
    </row>
    <row r="405" spans="2:17" ht="17.25" hidden="1" x14ac:dyDescent="0.3">
      <c r="B405" s="16">
        <v>29</v>
      </c>
      <c r="C405" s="68"/>
      <c r="D405" s="71"/>
      <c r="E405" s="327"/>
      <c r="F405" s="327"/>
      <c r="G405" s="68"/>
      <c r="H405" s="68"/>
      <c r="I405" s="68"/>
      <c r="J405" s="74"/>
      <c r="K405" s="130"/>
      <c r="L405" s="68"/>
      <c r="M405" s="17"/>
      <c r="N405" s="17"/>
      <c r="O405" s="324">
        <v>0</v>
      </c>
      <c r="P405" s="335">
        <f t="shared" si="9"/>
        <v>0</v>
      </c>
      <c r="Q405" s="17"/>
    </row>
    <row r="406" spans="2:17" ht="17.25" hidden="1" x14ac:dyDescent="0.3">
      <c r="B406" s="16">
        <v>30</v>
      </c>
      <c r="C406" s="68"/>
      <c r="D406" s="71"/>
      <c r="E406" s="327"/>
      <c r="F406" s="327"/>
      <c r="G406" s="68"/>
      <c r="H406" s="68"/>
      <c r="I406" s="68"/>
      <c r="J406" s="74"/>
      <c r="K406" s="130"/>
      <c r="L406" s="68"/>
      <c r="M406" s="17"/>
      <c r="N406" s="17"/>
      <c r="O406" s="324">
        <v>0</v>
      </c>
      <c r="P406" s="335">
        <f t="shared" si="9"/>
        <v>0</v>
      </c>
      <c r="Q406" s="17"/>
    </row>
    <row r="407" spans="2:17" ht="17.25" hidden="1" x14ac:dyDescent="0.3">
      <c r="B407" s="16">
        <v>31</v>
      </c>
      <c r="C407" s="68"/>
      <c r="D407" s="71"/>
      <c r="E407" s="327"/>
      <c r="F407" s="327"/>
      <c r="G407" s="68"/>
      <c r="H407" s="68"/>
      <c r="I407" s="68"/>
      <c r="J407" s="74"/>
      <c r="K407" s="130"/>
      <c r="L407" s="68"/>
      <c r="M407" s="17"/>
      <c r="N407" s="17"/>
      <c r="O407" s="324">
        <v>0</v>
      </c>
      <c r="P407" s="335">
        <f t="shared" si="9"/>
        <v>0</v>
      </c>
      <c r="Q407" s="17"/>
    </row>
    <row r="408" spans="2:17" ht="17.25" hidden="1" x14ac:dyDescent="0.3">
      <c r="B408" s="16">
        <v>32</v>
      </c>
      <c r="C408" s="68"/>
      <c r="D408" s="71"/>
      <c r="E408" s="327"/>
      <c r="F408" s="327"/>
      <c r="G408" s="68"/>
      <c r="H408" s="68"/>
      <c r="I408" s="68"/>
      <c r="J408" s="74"/>
      <c r="K408" s="130"/>
      <c r="L408" s="68"/>
      <c r="M408" s="17"/>
      <c r="N408" s="17"/>
      <c r="O408" s="324">
        <v>0</v>
      </c>
      <c r="P408" s="335">
        <f t="shared" si="9"/>
        <v>0</v>
      </c>
      <c r="Q408" s="17"/>
    </row>
    <row r="409" spans="2:17" ht="17.25" hidden="1" x14ac:dyDescent="0.3">
      <c r="B409" s="16">
        <v>33</v>
      </c>
      <c r="C409" s="68"/>
      <c r="D409" s="71"/>
      <c r="E409" s="327"/>
      <c r="F409" s="327"/>
      <c r="G409" s="68"/>
      <c r="H409" s="68"/>
      <c r="I409" s="68"/>
      <c r="J409" s="74"/>
      <c r="K409" s="130"/>
      <c r="L409" s="68"/>
      <c r="M409" s="17"/>
      <c r="N409" s="17"/>
      <c r="O409" s="324">
        <v>0</v>
      </c>
      <c r="P409" s="335">
        <f t="shared" si="9"/>
        <v>0</v>
      </c>
      <c r="Q409" s="17"/>
    </row>
    <row r="410" spans="2:17" ht="17.25" hidden="1" x14ac:dyDescent="0.3">
      <c r="B410" s="16">
        <v>34</v>
      </c>
      <c r="C410" s="68"/>
      <c r="D410" s="71"/>
      <c r="E410" s="327"/>
      <c r="F410" s="327"/>
      <c r="G410" s="68"/>
      <c r="H410" s="68"/>
      <c r="I410" s="68"/>
      <c r="J410" s="74"/>
      <c r="K410" s="130"/>
      <c r="L410" s="68"/>
      <c r="M410" s="17"/>
      <c r="N410" s="17"/>
      <c r="O410" s="324">
        <v>0</v>
      </c>
      <c r="P410" s="335">
        <f t="shared" si="9"/>
        <v>0</v>
      </c>
      <c r="Q410" s="17"/>
    </row>
    <row r="411" spans="2:17" ht="17.25" hidden="1" x14ac:dyDescent="0.3">
      <c r="B411" s="16">
        <v>35</v>
      </c>
      <c r="C411" s="68"/>
      <c r="D411" s="71"/>
      <c r="E411" s="327"/>
      <c r="F411" s="327"/>
      <c r="G411" s="68"/>
      <c r="H411" s="68"/>
      <c r="I411" s="68"/>
      <c r="J411" s="74"/>
      <c r="K411" s="130"/>
      <c r="L411" s="68"/>
      <c r="M411" s="17"/>
      <c r="N411" s="17"/>
      <c r="O411" s="324">
        <v>0</v>
      </c>
      <c r="P411" s="335">
        <f t="shared" si="9"/>
        <v>0</v>
      </c>
      <c r="Q411" s="17"/>
    </row>
    <row r="412" spans="2:17" ht="17.25" hidden="1" x14ac:dyDescent="0.3">
      <c r="B412" s="16">
        <v>36</v>
      </c>
      <c r="C412" s="68"/>
      <c r="D412" s="71"/>
      <c r="E412" s="327"/>
      <c r="F412" s="327"/>
      <c r="G412" s="68"/>
      <c r="H412" s="68"/>
      <c r="I412" s="68"/>
      <c r="J412" s="74"/>
      <c r="K412" s="130"/>
      <c r="L412" s="68"/>
      <c r="M412" s="17"/>
      <c r="N412" s="17"/>
      <c r="O412" s="324">
        <v>0</v>
      </c>
      <c r="P412" s="335">
        <f t="shared" si="9"/>
        <v>0</v>
      </c>
      <c r="Q412" s="17"/>
    </row>
    <row r="413" spans="2:17" ht="17.25" hidden="1" x14ac:dyDescent="0.3">
      <c r="B413" s="16">
        <v>37</v>
      </c>
      <c r="C413" s="68"/>
      <c r="D413" s="71"/>
      <c r="E413" s="327"/>
      <c r="F413" s="327"/>
      <c r="G413" s="68"/>
      <c r="H413" s="68"/>
      <c r="I413" s="68"/>
      <c r="J413" s="74"/>
      <c r="K413" s="130"/>
      <c r="L413" s="68"/>
      <c r="M413" s="17"/>
      <c r="N413" s="17"/>
      <c r="O413" s="324">
        <v>0</v>
      </c>
      <c r="P413" s="335">
        <f t="shared" si="9"/>
        <v>0</v>
      </c>
      <c r="Q413" s="17"/>
    </row>
    <row r="414" spans="2:17" ht="17.25" hidden="1" x14ac:dyDescent="0.3">
      <c r="B414" s="16">
        <v>38</v>
      </c>
      <c r="C414" s="68"/>
      <c r="D414" s="71"/>
      <c r="E414" s="327"/>
      <c r="F414" s="327"/>
      <c r="G414" s="68"/>
      <c r="H414" s="68"/>
      <c r="I414" s="68"/>
      <c r="J414" s="74"/>
      <c r="K414" s="130"/>
      <c r="L414" s="68"/>
      <c r="M414" s="17"/>
      <c r="N414" s="17"/>
      <c r="O414" s="324">
        <v>0</v>
      </c>
      <c r="P414" s="335">
        <f t="shared" si="9"/>
        <v>0</v>
      </c>
      <c r="Q414" s="17"/>
    </row>
    <row r="415" spans="2:17" ht="17.25" hidden="1" x14ac:dyDescent="0.3">
      <c r="B415" s="16">
        <v>39</v>
      </c>
      <c r="C415" s="68"/>
      <c r="D415" s="71"/>
      <c r="E415" s="327"/>
      <c r="F415" s="327"/>
      <c r="G415" s="68"/>
      <c r="H415" s="68"/>
      <c r="I415" s="68"/>
      <c r="J415" s="74"/>
      <c r="K415" s="130"/>
      <c r="L415" s="68"/>
      <c r="M415" s="17"/>
      <c r="N415" s="17"/>
      <c r="O415" s="324">
        <v>0</v>
      </c>
      <c r="P415" s="335">
        <f t="shared" si="9"/>
        <v>0</v>
      </c>
      <c r="Q415" s="17"/>
    </row>
    <row r="416" spans="2:17" ht="17.25" hidden="1" x14ac:dyDescent="0.3">
      <c r="B416" s="16">
        <v>40</v>
      </c>
      <c r="C416" s="68"/>
      <c r="D416" s="71"/>
      <c r="E416" s="327"/>
      <c r="F416" s="327"/>
      <c r="G416" s="68"/>
      <c r="H416" s="68"/>
      <c r="I416" s="68"/>
      <c r="J416" s="74"/>
      <c r="K416" s="130"/>
      <c r="L416" s="68"/>
      <c r="M416" s="17"/>
      <c r="N416" s="17"/>
      <c r="O416" s="324">
        <v>0</v>
      </c>
      <c r="P416" s="335">
        <f t="shared" si="9"/>
        <v>0</v>
      </c>
      <c r="Q416" s="17"/>
    </row>
    <row r="417" spans="2:17" ht="17.25" hidden="1" x14ac:dyDescent="0.3">
      <c r="B417" s="16">
        <v>41</v>
      </c>
      <c r="C417" s="68"/>
      <c r="D417" s="71"/>
      <c r="E417" s="327"/>
      <c r="F417" s="327"/>
      <c r="G417" s="68"/>
      <c r="H417" s="68"/>
      <c r="I417" s="68"/>
      <c r="J417" s="74"/>
      <c r="K417" s="130"/>
      <c r="L417" s="68"/>
      <c r="M417" s="17"/>
      <c r="N417" s="17"/>
      <c r="O417" s="324">
        <v>0</v>
      </c>
      <c r="P417" s="335">
        <f t="shared" si="9"/>
        <v>0</v>
      </c>
      <c r="Q417" s="17"/>
    </row>
    <row r="418" spans="2:17" ht="17.25" hidden="1" x14ac:dyDescent="0.3">
      <c r="B418" s="16">
        <v>42</v>
      </c>
      <c r="C418" s="68"/>
      <c r="D418" s="71"/>
      <c r="E418" s="327"/>
      <c r="F418" s="327"/>
      <c r="G418" s="68"/>
      <c r="H418" s="68"/>
      <c r="I418" s="68"/>
      <c r="J418" s="74"/>
      <c r="K418" s="130"/>
      <c r="L418" s="68"/>
      <c r="M418" s="17"/>
      <c r="N418" s="17"/>
      <c r="O418" s="324">
        <v>0</v>
      </c>
      <c r="P418" s="335">
        <f t="shared" si="9"/>
        <v>0</v>
      </c>
      <c r="Q418" s="17"/>
    </row>
    <row r="419" spans="2:17" ht="17.25" hidden="1" x14ac:dyDescent="0.3">
      <c r="B419" s="16">
        <v>43</v>
      </c>
      <c r="C419" s="68"/>
      <c r="D419" s="71"/>
      <c r="E419" s="327"/>
      <c r="F419" s="327"/>
      <c r="G419" s="68"/>
      <c r="H419" s="68"/>
      <c r="I419" s="68"/>
      <c r="J419" s="74"/>
      <c r="K419" s="130"/>
      <c r="L419" s="68"/>
      <c r="M419" s="17"/>
      <c r="N419" s="17"/>
      <c r="O419" s="324">
        <v>0</v>
      </c>
      <c r="P419" s="335">
        <f t="shared" si="9"/>
        <v>0</v>
      </c>
      <c r="Q419" s="17"/>
    </row>
    <row r="420" spans="2:17" ht="17.25" hidden="1" x14ac:dyDescent="0.3">
      <c r="B420" s="16">
        <v>44</v>
      </c>
      <c r="C420" s="68"/>
      <c r="D420" s="71"/>
      <c r="E420" s="327"/>
      <c r="F420" s="327"/>
      <c r="G420" s="68"/>
      <c r="H420" s="68"/>
      <c r="I420" s="68"/>
      <c r="J420" s="74"/>
      <c r="K420" s="130"/>
      <c r="L420" s="68"/>
      <c r="M420" s="17"/>
      <c r="N420" s="17"/>
      <c r="O420" s="324">
        <v>0</v>
      </c>
      <c r="P420" s="335">
        <f t="shared" si="9"/>
        <v>0</v>
      </c>
      <c r="Q420" s="17"/>
    </row>
    <row r="421" spans="2:17" ht="17.25" hidden="1" x14ac:dyDescent="0.3">
      <c r="B421" s="16">
        <v>45</v>
      </c>
      <c r="C421" s="68"/>
      <c r="D421" s="71"/>
      <c r="E421" s="327"/>
      <c r="F421" s="327"/>
      <c r="G421" s="68"/>
      <c r="H421" s="68"/>
      <c r="I421" s="68"/>
      <c r="J421" s="74"/>
      <c r="K421" s="130"/>
      <c r="L421" s="68"/>
      <c r="M421" s="17"/>
      <c r="N421" s="17"/>
      <c r="O421" s="324">
        <v>0</v>
      </c>
      <c r="P421" s="335">
        <f t="shared" si="9"/>
        <v>0</v>
      </c>
      <c r="Q421" s="17"/>
    </row>
    <row r="422" spans="2:17" ht="17.25" hidden="1" x14ac:dyDescent="0.3">
      <c r="B422" s="16">
        <v>46</v>
      </c>
      <c r="C422" s="68"/>
      <c r="D422" s="71"/>
      <c r="E422" s="327"/>
      <c r="F422" s="327"/>
      <c r="G422" s="68"/>
      <c r="H422" s="68"/>
      <c r="I422" s="68"/>
      <c r="J422" s="74"/>
      <c r="K422" s="130"/>
      <c r="L422" s="68"/>
      <c r="M422" s="17"/>
      <c r="N422" s="17"/>
      <c r="O422" s="324">
        <v>0</v>
      </c>
      <c r="P422" s="335">
        <f t="shared" si="9"/>
        <v>0</v>
      </c>
      <c r="Q422" s="17"/>
    </row>
    <row r="423" spans="2:17" ht="17.25" hidden="1" x14ac:dyDescent="0.3">
      <c r="B423" s="16">
        <v>47</v>
      </c>
      <c r="C423" s="68"/>
      <c r="D423" s="71"/>
      <c r="E423" s="327"/>
      <c r="F423" s="327"/>
      <c r="G423" s="68"/>
      <c r="H423" s="68"/>
      <c r="I423" s="68"/>
      <c r="J423" s="74"/>
      <c r="K423" s="130"/>
      <c r="L423" s="68"/>
      <c r="M423" s="17"/>
      <c r="N423" s="17"/>
      <c r="O423" s="324">
        <v>0</v>
      </c>
      <c r="P423" s="335">
        <f t="shared" si="9"/>
        <v>0</v>
      </c>
      <c r="Q423" s="17"/>
    </row>
    <row r="424" spans="2:17" ht="17.25" hidden="1" x14ac:dyDescent="0.3">
      <c r="B424" s="16">
        <v>48</v>
      </c>
      <c r="C424" s="68"/>
      <c r="D424" s="71"/>
      <c r="E424" s="327"/>
      <c r="F424" s="327"/>
      <c r="G424" s="68"/>
      <c r="H424" s="68"/>
      <c r="I424" s="68"/>
      <c r="J424" s="74"/>
      <c r="K424" s="130"/>
      <c r="L424" s="68"/>
      <c r="M424" s="17"/>
      <c r="N424" s="17"/>
      <c r="O424" s="324">
        <v>0</v>
      </c>
      <c r="P424" s="335">
        <f t="shared" si="9"/>
        <v>0</v>
      </c>
      <c r="Q424" s="17"/>
    </row>
    <row r="425" spans="2:17" ht="17.25" hidden="1" x14ac:dyDescent="0.3">
      <c r="B425" s="16">
        <v>49</v>
      </c>
      <c r="C425" s="68"/>
      <c r="D425" s="71"/>
      <c r="E425" s="327"/>
      <c r="F425" s="327"/>
      <c r="G425" s="68"/>
      <c r="H425" s="68"/>
      <c r="I425" s="68"/>
      <c r="J425" s="74"/>
      <c r="K425" s="130"/>
      <c r="L425" s="68"/>
      <c r="M425" s="17"/>
      <c r="N425" s="17"/>
      <c r="O425" s="324">
        <v>0</v>
      </c>
      <c r="P425" s="335">
        <f t="shared" si="9"/>
        <v>0</v>
      </c>
      <c r="Q425" s="17"/>
    </row>
    <row r="426" spans="2:17" ht="17.25" hidden="1" x14ac:dyDescent="0.3">
      <c r="B426" s="16">
        <v>50</v>
      </c>
      <c r="C426" s="68"/>
      <c r="D426" s="71"/>
      <c r="E426" s="327"/>
      <c r="F426" s="327"/>
      <c r="G426" s="68"/>
      <c r="H426" s="68"/>
      <c r="I426" s="68"/>
      <c r="J426" s="74"/>
      <c r="K426" s="130"/>
      <c r="L426" s="68"/>
      <c r="M426" s="17"/>
      <c r="N426" s="17"/>
      <c r="O426" s="324">
        <v>0</v>
      </c>
      <c r="P426" s="335">
        <f t="shared" si="9"/>
        <v>0</v>
      </c>
      <c r="Q426" s="17"/>
    </row>
    <row r="427" spans="2:17" ht="17.25" hidden="1" x14ac:dyDescent="0.3">
      <c r="B427" s="16">
        <v>51</v>
      </c>
      <c r="C427" s="68"/>
      <c r="D427" s="71"/>
      <c r="E427" s="327"/>
      <c r="F427" s="327"/>
      <c r="G427" s="68"/>
      <c r="H427" s="68"/>
      <c r="I427" s="68"/>
      <c r="J427" s="74"/>
      <c r="K427" s="130"/>
      <c r="L427" s="68"/>
      <c r="M427" s="17"/>
      <c r="N427" s="17"/>
      <c r="O427" s="324">
        <v>0</v>
      </c>
      <c r="P427" s="335">
        <f t="shared" si="9"/>
        <v>0</v>
      </c>
      <c r="Q427" s="17"/>
    </row>
    <row r="428" spans="2:17" ht="17.25" hidden="1" x14ac:dyDescent="0.3">
      <c r="B428" s="16">
        <v>52</v>
      </c>
      <c r="C428" s="68"/>
      <c r="D428" s="71"/>
      <c r="E428" s="327"/>
      <c r="F428" s="327"/>
      <c r="G428" s="68"/>
      <c r="H428" s="68"/>
      <c r="I428" s="68"/>
      <c r="J428" s="74"/>
      <c r="K428" s="130"/>
      <c r="L428" s="68"/>
      <c r="M428" s="17"/>
      <c r="N428" s="17"/>
      <c r="O428" s="324">
        <v>0</v>
      </c>
      <c r="P428" s="335">
        <f t="shared" si="9"/>
        <v>0</v>
      </c>
      <c r="Q428" s="17"/>
    </row>
    <row r="429" spans="2:17" ht="17.25" hidden="1" x14ac:dyDescent="0.3">
      <c r="B429" s="16">
        <v>53</v>
      </c>
      <c r="C429" s="68"/>
      <c r="D429" s="71"/>
      <c r="E429" s="327"/>
      <c r="F429" s="327"/>
      <c r="G429" s="68"/>
      <c r="H429" s="68"/>
      <c r="I429" s="68"/>
      <c r="J429" s="74"/>
      <c r="K429" s="130"/>
      <c r="L429" s="68"/>
      <c r="M429" s="17"/>
      <c r="N429" s="17"/>
      <c r="O429" s="324">
        <v>0</v>
      </c>
      <c r="P429" s="335">
        <f t="shared" si="9"/>
        <v>0</v>
      </c>
      <c r="Q429" s="17"/>
    </row>
    <row r="430" spans="2:17" ht="17.25" hidden="1" x14ac:dyDescent="0.3">
      <c r="B430" s="16">
        <v>54</v>
      </c>
      <c r="C430" s="68"/>
      <c r="D430" s="71"/>
      <c r="E430" s="327"/>
      <c r="F430" s="327"/>
      <c r="G430" s="68"/>
      <c r="H430" s="68"/>
      <c r="I430" s="68"/>
      <c r="J430" s="74"/>
      <c r="K430" s="130"/>
      <c r="L430" s="68"/>
      <c r="M430" s="17"/>
      <c r="N430" s="17"/>
      <c r="O430" s="324">
        <v>0</v>
      </c>
      <c r="P430" s="335">
        <f t="shared" si="9"/>
        <v>0</v>
      </c>
      <c r="Q430" s="17"/>
    </row>
    <row r="431" spans="2:17" ht="17.25" hidden="1" x14ac:dyDescent="0.3">
      <c r="B431" s="16">
        <v>55</v>
      </c>
      <c r="C431" s="68"/>
      <c r="D431" s="71"/>
      <c r="E431" s="327"/>
      <c r="F431" s="327"/>
      <c r="G431" s="68"/>
      <c r="H431" s="68"/>
      <c r="I431" s="68"/>
      <c r="J431" s="74"/>
      <c r="K431" s="130"/>
      <c r="L431" s="68"/>
      <c r="M431" s="17"/>
      <c r="N431" s="17"/>
      <c r="O431" s="324">
        <v>0</v>
      </c>
      <c r="P431" s="335">
        <f t="shared" si="9"/>
        <v>0</v>
      </c>
      <c r="Q431" s="17"/>
    </row>
    <row r="432" spans="2:17" ht="17.25" hidden="1" x14ac:dyDescent="0.3">
      <c r="B432" s="16">
        <v>56</v>
      </c>
      <c r="C432" s="68"/>
      <c r="D432" s="71"/>
      <c r="E432" s="327"/>
      <c r="F432" s="327"/>
      <c r="G432" s="68"/>
      <c r="H432" s="68"/>
      <c r="I432" s="68"/>
      <c r="J432" s="74"/>
      <c r="K432" s="130"/>
      <c r="L432" s="68"/>
      <c r="M432" s="17"/>
      <c r="N432" s="17"/>
      <c r="O432" s="324">
        <v>0</v>
      </c>
      <c r="P432" s="335">
        <f t="shared" si="9"/>
        <v>0</v>
      </c>
      <c r="Q432" s="17"/>
    </row>
    <row r="433" spans="2:17" ht="17.25" hidden="1" x14ac:dyDescent="0.3">
      <c r="B433" s="16">
        <v>57</v>
      </c>
      <c r="C433" s="68"/>
      <c r="D433" s="71"/>
      <c r="E433" s="327"/>
      <c r="F433" s="327"/>
      <c r="G433" s="68"/>
      <c r="H433" s="68"/>
      <c r="I433" s="68"/>
      <c r="J433" s="74"/>
      <c r="K433" s="130"/>
      <c r="L433" s="68"/>
      <c r="M433" s="17"/>
      <c r="N433" s="17"/>
      <c r="O433" s="324">
        <v>0</v>
      </c>
      <c r="P433" s="335">
        <f t="shared" si="9"/>
        <v>0</v>
      </c>
      <c r="Q433" s="17"/>
    </row>
    <row r="434" spans="2:17" ht="17.25" hidden="1" x14ac:dyDescent="0.3">
      <c r="B434" s="16">
        <v>58</v>
      </c>
      <c r="C434" s="68"/>
      <c r="D434" s="71"/>
      <c r="E434" s="327"/>
      <c r="F434" s="327"/>
      <c r="G434" s="68"/>
      <c r="H434" s="68"/>
      <c r="I434" s="68"/>
      <c r="J434" s="74"/>
      <c r="K434" s="130"/>
      <c r="L434" s="68"/>
      <c r="M434" s="17"/>
      <c r="N434" s="17"/>
      <c r="O434" s="324">
        <v>0</v>
      </c>
      <c r="P434" s="335">
        <f t="shared" si="9"/>
        <v>0</v>
      </c>
      <c r="Q434" s="17"/>
    </row>
    <row r="435" spans="2:17" ht="17.25" hidden="1" x14ac:dyDescent="0.3">
      <c r="B435" s="16">
        <v>59</v>
      </c>
      <c r="C435" s="68"/>
      <c r="D435" s="71"/>
      <c r="E435" s="327"/>
      <c r="F435" s="327"/>
      <c r="G435" s="68"/>
      <c r="H435" s="68"/>
      <c r="I435" s="68"/>
      <c r="J435" s="74"/>
      <c r="K435" s="130"/>
      <c r="L435" s="68"/>
      <c r="M435" s="17"/>
      <c r="N435" s="17"/>
      <c r="O435" s="324">
        <v>0</v>
      </c>
      <c r="P435" s="335">
        <f t="shared" si="9"/>
        <v>0</v>
      </c>
      <c r="Q435" s="17"/>
    </row>
    <row r="436" spans="2:17" ht="17.25" hidden="1" x14ac:dyDescent="0.3">
      <c r="B436" s="16">
        <v>60</v>
      </c>
      <c r="C436" s="68"/>
      <c r="D436" s="71"/>
      <c r="E436" s="327"/>
      <c r="F436" s="327"/>
      <c r="G436" s="68"/>
      <c r="H436" s="68"/>
      <c r="I436" s="68"/>
      <c r="J436" s="74"/>
      <c r="K436" s="130"/>
      <c r="L436" s="68"/>
      <c r="M436" s="17"/>
      <c r="N436" s="17"/>
      <c r="O436" s="324">
        <v>0</v>
      </c>
      <c r="P436" s="335">
        <f t="shared" si="9"/>
        <v>0</v>
      </c>
      <c r="Q436" s="17"/>
    </row>
    <row r="437" spans="2:17" ht="17.25" hidden="1" x14ac:dyDescent="0.3">
      <c r="B437" s="16">
        <v>61</v>
      </c>
      <c r="C437" s="68"/>
      <c r="D437" s="71"/>
      <c r="E437" s="327"/>
      <c r="F437" s="327"/>
      <c r="G437" s="68"/>
      <c r="H437" s="68"/>
      <c r="I437" s="68"/>
      <c r="J437" s="74"/>
      <c r="K437" s="130"/>
      <c r="L437" s="68"/>
      <c r="M437" s="17"/>
      <c r="N437" s="17"/>
      <c r="O437" s="324">
        <v>0</v>
      </c>
      <c r="P437" s="335">
        <f t="shared" si="9"/>
        <v>0</v>
      </c>
      <c r="Q437" s="17"/>
    </row>
    <row r="438" spans="2:17" ht="17.25" x14ac:dyDescent="0.3">
      <c r="C438" s="81" t="s">
        <v>566</v>
      </c>
      <c r="D438" s="71"/>
      <c r="E438" s="327"/>
      <c r="F438" s="327"/>
      <c r="G438" s="68"/>
      <c r="H438" s="68"/>
      <c r="I438" s="68"/>
      <c r="J438" s="74"/>
      <c r="K438" s="130"/>
      <c r="L438" s="68"/>
      <c r="M438" s="17"/>
      <c r="N438" s="17"/>
      <c r="O438" s="324">
        <v>0</v>
      </c>
      <c r="P438" s="335">
        <f t="shared" si="9"/>
        <v>0</v>
      </c>
      <c r="Q438" s="17"/>
    </row>
    <row r="439" spans="2:17" x14ac:dyDescent="0.3">
      <c r="C439" s="54"/>
    </row>
    <row r="440" spans="2:17" x14ac:dyDescent="0.3">
      <c r="C440" s="54"/>
    </row>
    <row r="441" spans="2:17" x14ac:dyDescent="0.3">
      <c r="C441" s="54"/>
    </row>
    <row r="442" spans="2:17" ht="50.1" customHeight="1" x14ac:dyDescent="0.3">
      <c r="C442" s="54"/>
      <c r="P442" s="922" t="s">
        <v>765</v>
      </c>
      <c r="Q442" s="923"/>
    </row>
    <row r="443" spans="2:17" ht="63.6" customHeight="1" x14ac:dyDescent="0.3">
      <c r="B443" s="924" t="s">
        <v>766</v>
      </c>
      <c r="C443" s="925"/>
      <c r="D443" s="925"/>
      <c r="E443" s="925"/>
      <c r="F443" s="925"/>
      <c r="G443" s="925"/>
      <c r="H443" s="925"/>
      <c r="I443" s="925"/>
      <c r="J443" s="925"/>
      <c r="K443" s="925"/>
      <c r="L443" s="925"/>
      <c r="M443" s="925"/>
      <c r="N443" s="925"/>
      <c r="O443" s="926"/>
      <c r="P443" s="927">
        <f>SUM(P447:P508)</f>
        <v>47500000</v>
      </c>
      <c r="Q443" s="928"/>
    </row>
    <row r="444" spans="2:17" x14ac:dyDescent="0.3">
      <c r="B444" s="919" t="s">
        <v>182</v>
      </c>
      <c r="C444" s="920"/>
      <c r="D444" s="920"/>
      <c r="E444" s="920"/>
      <c r="F444" s="920"/>
      <c r="G444" s="920"/>
      <c r="H444" s="920"/>
      <c r="I444" s="920"/>
      <c r="J444" s="920"/>
      <c r="K444" s="920"/>
      <c r="L444" s="920"/>
      <c r="M444" s="920"/>
      <c r="N444" s="920"/>
      <c r="O444" s="920"/>
      <c r="P444" s="920"/>
      <c r="Q444" s="921"/>
    </row>
    <row r="445" spans="2:17" x14ac:dyDescent="0.3">
      <c r="B445" s="833" t="s">
        <v>35</v>
      </c>
      <c r="C445" s="844" t="s">
        <v>177</v>
      </c>
      <c r="D445" s="837" t="s">
        <v>466</v>
      </c>
      <c r="E445" s="844" t="s">
        <v>183</v>
      </c>
      <c r="F445" s="837" t="s">
        <v>100</v>
      </c>
      <c r="G445" s="837" t="s">
        <v>174</v>
      </c>
      <c r="H445" s="917" t="s">
        <v>171</v>
      </c>
      <c r="I445" s="918"/>
      <c r="J445" s="844" t="s">
        <v>173</v>
      </c>
      <c r="K445" s="837" t="s">
        <v>423</v>
      </c>
      <c r="L445" s="837" t="s">
        <v>465</v>
      </c>
      <c r="M445" s="837" t="s">
        <v>97</v>
      </c>
      <c r="N445" s="837" t="s">
        <v>168</v>
      </c>
      <c r="O445" s="837" t="s">
        <v>51</v>
      </c>
      <c r="P445" s="916" t="s">
        <v>422</v>
      </c>
      <c r="Q445" s="840" t="s">
        <v>169</v>
      </c>
    </row>
    <row r="446" spans="2:17" x14ac:dyDescent="0.3">
      <c r="B446" s="833"/>
      <c r="C446" s="844"/>
      <c r="D446" s="839"/>
      <c r="E446" s="844"/>
      <c r="F446" s="839"/>
      <c r="G446" s="839"/>
      <c r="H446" s="66" t="s">
        <v>172</v>
      </c>
      <c r="I446" s="287" t="s">
        <v>101</v>
      </c>
      <c r="J446" s="844"/>
      <c r="K446" s="839"/>
      <c r="L446" s="839"/>
      <c r="M446" s="839"/>
      <c r="N446" s="839"/>
      <c r="O446" s="839"/>
      <c r="P446" s="916"/>
      <c r="Q446" s="842"/>
    </row>
    <row r="447" spans="2:17" ht="34.5" x14ac:dyDescent="0.3">
      <c r="B447" s="122">
        <v>1</v>
      </c>
      <c r="C447" s="446" t="s">
        <v>1158</v>
      </c>
      <c r="D447" s="550">
        <v>10</v>
      </c>
      <c r="E447" s="446" t="s">
        <v>1155</v>
      </c>
      <c r="F447" s="486" t="s">
        <v>779</v>
      </c>
      <c r="G447" s="445" t="s">
        <v>782</v>
      </c>
      <c r="H447" s="445" t="s">
        <v>779</v>
      </c>
      <c r="I447" s="445" t="s">
        <v>779</v>
      </c>
      <c r="J447" s="448"/>
      <c r="K447" s="471"/>
      <c r="L447" s="445"/>
      <c r="M447" s="441"/>
      <c r="N447" s="441"/>
      <c r="O447" s="484">
        <v>4750000</v>
      </c>
      <c r="P447" s="335">
        <f>D447*O447</f>
        <v>47500000</v>
      </c>
      <c r="Q447" s="325"/>
    </row>
    <row r="448" spans="2:17" ht="17.25" hidden="1" x14ac:dyDescent="0.3">
      <c r="B448" s="122">
        <v>2</v>
      </c>
      <c r="C448" s="68"/>
      <c r="D448" s="326"/>
      <c r="E448" s="327"/>
      <c r="F448" s="327"/>
      <c r="G448" s="68"/>
      <c r="H448" s="68"/>
      <c r="I448" s="68"/>
      <c r="J448" s="68"/>
      <c r="K448" s="130"/>
      <c r="L448" s="68"/>
      <c r="M448" s="17"/>
      <c r="N448" s="17"/>
      <c r="O448" s="324">
        <v>0</v>
      </c>
      <c r="P448" s="335">
        <f t="shared" ref="P448:P508" si="10">D448*O448</f>
        <v>0</v>
      </c>
      <c r="Q448" s="17"/>
    </row>
    <row r="449" spans="2:17" ht="17.25" hidden="1" x14ac:dyDescent="0.3">
      <c r="B449" s="122">
        <v>3</v>
      </c>
      <c r="C449" s="68"/>
      <c r="D449" s="326"/>
      <c r="E449" s="327"/>
      <c r="F449" s="327"/>
      <c r="G449" s="68"/>
      <c r="H449" s="68"/>
      <c r="I449" s="68"/>
      <c r="J449" s="68"/>
      <c r="K449" s="130"/>
      <c r="L449" s="68"/>
      <c r="M449" s="17"/>
      <c r="N449" s="17"/>
      <c r="O449" s="324">
        <v>0</v>
      </c>
      <c r="P449" s="335">
        <f t="shared" si="10"/>
        <v>0</v>
      </c>
      <c r="Q449" s="17"/>
    </row>
    <row r="450" spans="2:17" ht="17.25" hidden="1" x14ac:dyDescent="0.3">
      <c r="B450" s="122">
        <v>4</v>
      </c>
      <c r="C450" s="68"/>
      <c r="D450" s="326"/>
      <c r="E450" s="327"/>
      <c r="F450" s="327"/>
      <c r="G450" s="68"/>
      <c r="H450" s="68"/>
      <c r="I450" s="68"/>
      <c r="J450" s="68"/>
      <c r="K450" s="130"/>
      <c r="L450" s="68"/>
      <c r="M450" s="17"/>
      <c r="N450" s="17"/>
      <c r="O450" s="324">
        <v>0</v>
      </c>
      <c r="P450" s="335">
        <f t="shared" si="10"/>
        <v>0</v>
      </c>
      <c r="Q450" s="17"/>
    </row>
    <row r="451" spans="2:17" ht="17.25" hidden="1" x14ac:dyDescent="0.3">
      <c r="B451" s="122">
        <v>5</v>
      </c>
      <c r="C451" s="68"/>
      <c r="D451" s="326"/>
      <c r="E451" s="327"/>
      <c r="F451" s="327"/>
      <c r="G451" s="68"/>
      <c r="H451" s="68"/>
      <c r="I451" s="68"/>
      <c r="J451" s="68"/>
      <c r="K451" s="130"/>
      <c r="L451" s="68"/>
      <c r="M451" s="17"/>
      <c r="N451" s="17"/>
      <c r="O451" s="324">
        <v>0</v>
      </c>
      <c r="P451" s="335">
        <f t="shared" si="10"/>
        <v>0</v>
      </c>
      <c r="Q451" s="17"/>
    </row>
    <row r="452" spans="2:17" ht="17.25" hidden="1" x14ac:dyDescent="0.3">
      <c r="B452" s="122">
        <v>6</v>
      </c>
      <c r="C452" s="68"/>
      <c r="D452" s="328"/>
      <c r="E452" s="327"/>
      <c r="F452" s="327"/>
      <c r="G452" s="68"/>
      <c r="H452" s="68"/>
      <c r="I452" s="68"/>
      <c r="J452" s="74"/>
      <c r="K452" s="130"/>
      <c r="L452" s="68"/>
      <c r="M452" s="17"/>
      <c r="N452" s="17"/>
      <c r="O452" s="324">
        <v>0</v>
      </c>
      <c r="P452" s="335">
        <f t="shared" si="10"/>
        <v>0</v>
      </c>
      <c r="Q452" s="17"/>
    </row>
    <row r="453" spans="2:17" ht="17.25" hidden="1" x14ac:dyDescent="0.3">
      <c r="B453" s="122">
        <v>7</v>
      </c>
      <c r="C453" s="68"/>
      <c r="D453" s="329"/>
      <c r="E453" s="327"/>
      <c r="F453" s="327"/>
      <c r="G453" s="68"/>
      <c r="H453" s="68"/>
      <c r="I453" s="68"/>
      <c r="J453" s="74"/>
      <c r="K453" s="130"/>
      <c r="L453" s="68"/>
      <c r="M453" s="17"/>
      <c r="N453" s="17"/>
      <c r="O453" s="324">
        <v>0</v>
      </c>
      <c r="P453" s="335">
        <f t="shared" si="10"/>
        <v>0</v>
      </c>
      <c r="Q453" s="17"/>
    </row>
    <row r="454" spans="2:17" ht="17.25" hidden="1" x14ac:dyDescent="0.3">
      <c r="B454" s="122">
        <v>8</v>
      </c>
      <c r="C454" s="68"/>
      <c r="D454" s="326"/>
      <c r="E454" s="327"/>
      <c r="F454" s="327"/>
      <c r="G454" s="68"/>
      <c r="H454" s="68"/>
      <c r="I454" s="68"/>
      <c r="J454" s="68"/>
      <c r="K454" s="130"/>
      <c r="L454" s="68"/>
      <c r="M454" s="17"/>
      <c r="N454" s="17"/>
      <c r="O454" s="324">
        <v>0</v>
      </c>
      <c r="P454" s="335">
        <f t="shared" si="10"/>
        <v>0</v>
      </c>
      <c r="Q454" s="17"/>
    </row>
    <row r="455" spans="2:17" ht="17.25" hidden="1" x14ac:dyDescent="0.3">
      <c r="B455" s="122">
        <v>9</v>
      </c>
      <c r="C455" s="68"/>
      <c r="D455" s="326"/>
      <c r="E455" s="327"/>
      <c r="F455" s="327"/>
      <c r="G455" s="68"/>
      <c r="H455" s="68"/>
      <c r="I455" s="68"/>
      <c r="J455" s="68"/>
      <c r="K455" s="130"/>
      <c r="L455" s="68"/>
      <c r="M455" s="17"/>
      <c r="N455" s="17"/>
      <c r="O455" s="324">
        <v>0</v>
      </c>
      <c r="P455" s="335">
        <f t="shared" si="10"/>
        <v>0</v>
      </c>
      <c r="Q455" s="17"/>
    </row>
    <row r="456" spans="2:17" ht="17.25" hidden="1" x14ac:dyDescent="0.3">
      <c r="B456" s="122">
        <v>10</v>
      </c>
      <c r="C456" s="68"/>
      <c r="D456" s="326"/>
      <c r="E456" s="327"/>
      <c r="F456" s="327"/>
      <c r="G456" s="68"/>
      <c r="H456" s="68"/>
      <c r="I456" s="68"/>
      <c r="J456" s="68"/>
      <c r="K456" s="130"/>
      <c r="L456" s="68"/>
      <c r="M456" s="17"/>
      <c r="N456" s="17"/>
      <c r="O456" s="324">
        <v>0</v>
      </c>
      <c r="P456" s="335">
        <f t="shared" si="10"/>
        <v>0</v>
      </c>
      <c r="Q456" s="17"/>
    </row>
    <row r="457" spans="2:17" ht="17.25" hidden="1" x14ac:dyDescent="0.3">
      <c r="B457" s="122">
        <v>11</v>
      </c>
      <c r="C457" s="68"/>
      <c r="D457" s="326"/>
      <c r="E457" s="327"/>
      <c r="F457" s="327"/>
      <c r="G457" s="68"/>
      <c r="H457" s="68"/>
      <c r="I457" s="68"/>
      <c r="J457" s="74"/>
      <c r="K457" s="130"/>
      <c r="L457" s="68"/>
      <c r="M457" s="17"/>
      <c r="N457" s="17"/>
      <c r="O457" s="324">
        <v>0</v>
      </c>
      <c r="P457" s="335">
        <f t="shared" si="10"/>
        <v>0</v>
      </c>
      <c r="Q457" s="17"/>
    </row>
    <row r="458" spans="2:17" ht="17.25" hidden="1" x14ac:dyDescent="0.3">
      <c r="B458" s="122">
        <v>12</v>
      </c>
      <c r="C458" s="68"/>
      <c r="D458" s="326"/>
      <c r="E458" s="327"/>
      <c r="F458" s="327"/>
      <c r="G458" s="68"/>
      <c r="H458" s="68"/>
      <c r="I458" s="68"/>
      <c r="J458" s="68"/>
      <c r="K458" s="130"/>
      <c r="L458" s="68"/>
      <c r="M458" s="17"/>
      <c r="N458" s="17"/>
      <c r="O458" s="324">
        <v>0</v>
      </c>
      <c r="P458" s="335">
        <f t="shared" si="10"/>
        <v>0</v>
      </c>
      <c r="Q458" s="17"/>
    </row>
    <row r="459" spans="2:17" ht="17.25" hidden="1" x14ac:dyDescent="0.3">
      <c r="B459" s="122">
        <v>13</v>
      </c>
      <c r="C459" s="68"/>
      <c r="D459" s="329"/>
      <c r="E459" s="327"/>
      <c r="F459" s="327"/>
      <c r="G459" s="68"/>
      <c r="H459" s="68"/>
      <c r="I459" s="68"/>
      <c r="J459" s="68"/>
      <c r="K459" s="130"/>
      <c r="L459" s="68"/>
      <c r="M459" s="17"/>
      <c r="N459" s="17"/>
      <c r="O459" s="324">
        <v>0</v>
      </c>
      <c r="P459" s="335">
        <f t="shared" si="10"/>
        <v>0</v>
      </c>
      <c r="Q459" s="17"/>
    </row>
    <row r="460" spans="2:17" ht="17.25" hidden="1" x14ac:dyDescent="0.3">
      <c r="B460" s="122">
        <v>14</v>
      </c>
      <c r="C460" s="68"/>
      <c r="D460" s="328"/>
      <c r="E460" s="327"/>
      <c r="F460" s="327"/>
      <c r="G460" s="68"/>
      <c r="H460" s="68"/>
      <c r="I460" s="68"/>
      <c r="J460" s="68"/>
      <c r="K460" s="130"/>
      <c r="L460" s="68"/>
      <c r="M460" s="17"/>
      <c r="N460" s="17"/>
      <c r="O460" s="324">
        <v>0</v>
      </c>
      <c r="P460" s="335">
        <f t="shared" si="10"/>
        <v>0</v>
      </c>
      <c r="Q460" s="17"/>
    </row>
    <row r="461" spans="2:17" ht="17.25" hidden="1" x14ac:dyDescent="0.3">
      <c r="B461" s="122">
        <v>15</v>
      </c>
      <c r="C461" s="68"/>
      <c r="D461" s="329"/>
      <c r="E461" s="327"/>
      <c r="F461" s="327"/>
      <c r="G461" s="68"/>
      <c r="H461" s="68"/>
      <c r="I461" s="68"/>
      <c r="J461" s="68"/>
      <c r="K461" s="130"/>
      <c r="L461" s="68"/>
      <c r="M461" s="17"/>
      <c r="N461" s="17"/>
      <c r="O461" s="324">
        <v>0</v>
      </c>
      <c r="P461" s="335">
        <f t="shared" si="10"/>
        <v>0</v>
      </c>
      <c r="Q461" s="17"/>
    </row>
    <row r="462" spans="2:17" ht="17.25" hidden="1" x14ac:dyDescent="0.3">
      <c r="B462" s="122">
        <v>16</v>
      </c>
      <c r="C462" s="68"/>
      <c r="D462" s="328"/>
      <c r="E462" s="327"/>
      <c r="F462" s="327"/>
      <c r="G462" s="68"/>
      <c r="H462" s="68"/>
      <c r="I462" s="68"/>
      <c r="J462" s="68"/>
      <c r="K462" s="130"/>
      <c r="L462" s="68"/>
      <c r="M462" s="17"/>
      <c r="N462" s="17"/>
      <c r="O462" s="324">
        <v>0</v>
      </c>
      <c r="P462" s="335">
        <f t="shared" si="10"/>
        <v>0</v>
      </c>
      <c r="Q462" s="17"/>
    </row>
    <row r="463" spans="2:17" ht="17.25" hidden="1" x14ac:dyDescent="0.3">
      <c r="B463" s="16">
        <v>17</v>
      </c>
      <c r="C463" s="68"/>
      <c r="D463" s="71"/>
      <c r="E463" s="327"/>
      <c r="F463" s="327"/>
      <c r="G463" s="68"/>
      <c r="H463" s="68"/>
      <c r="I463" s="68"/>
      <c r="J463" s="68"/>
      <c r="K463" s="130"/>
      <c r="L463" s="68"/>
      <c r="M463" s="17"/>
      <c r="N463" s="17"/>
      <c r="O463" s="324">
        <v>0</v>
      </c>
      <c r="P463" s="335">
        <f t="shared" si="10"/>
        <v>0</v>
      </c>
      <c r="Q463" s="17"/>
    </row>
    <row r="464" spans="2:17" ht="17.25" hidden="1" x14ac:dyDescent="0.3">
      <c r="B464" s="16">
        <v>18</v>
      </c>
      <c r="C464" s="68"/>
      <c r="D464" s="71"/>
      <c r="E464" s="327"/>
      <c r="F464" s="327"/>
      <c r="G464" s="68"/>
      <c r="H464" s="68"/>
      <c r="I464" s="68"/>
      <c r="J464" s="68"/>
      <c r="K464" s="130"/>
      <c r="L464" s="68"/>
      <c r="M464" s="17"/>
      <c r="N464" s="17"/>
      <c r="O464" s="324">
        <v>0</v>
      </c>
      <c r="P464" s="335">
        <f t="shared" si="10"/>
        <v>0</v>
      </c>
      <c r="Q464" s="17"/>
    </row>
    <row r="465" spans="2:17" ht="17.25" hidden="1" x14ac:dyDescent="0.3">
      <c r="B465" s="16">
        <v>19</v>
      </c>
      <c r="C465" s="68"/>
      <c r="D465" s="71"/>
      <c r="E465" s="327"/>
      <c r="F465" s="327"/>
      <c r="G465" s="68"/>
      <c r="H465" s="68"/>
      <c r="I465" s="68"/>
      <c r="J465" s="74"/>
      <c r="K465" s="130"/>
      <c r="L465" s="68"/>
      <c r="M465" s="17"/>
      <c r="N465" s="17"/>
      <c r="O465" s="324">
        <v>0</v>
      </c>
      <c r="P465" s="335">
        <f t="shared" si="10"/>
        <v>0</v>
      </c>
      <c r="Q465" s="17"/>
    </row>
    <row r="466" spans="2:17" ht="17.25" hidden="1" x14ac:dyDescent="0.3">
      <c r="B466" s="16">
        <v>20</v>
      </c>
      <c r="C466" s="68"/>
      <c r="D466" s="71"/>
      <c r="E466" s="327"/>
      <c r="F466" s="327"/>
      <c r="G466" s="68"/>
      <c r="H466" s="68"/>
      <c r="I466" s="68"/>
      <c r="J466" s="74"/>
      <c r="K466" s="130"/>
      <c r="L466" s="68"/>
      <c r="M466" s="17"/>
      <c r="N466" s="17"/>
      <c r="O466" s="324">
        <v>0</v>
      </c>
      <c r="P466" s="335">
        <f t="shared" si="10"/>
        <v>0</v>
      </c>
      <c r="Q466" s="17"/>
    </row>
    <row r="467" spans="2:17" ht="17.25" hidden="1" x14ac:dyDescent="0.3">
      <c r="B467" s="16">
        <v>21</v>
      </c>
      <c r="C467" s="68"/>
      <c r="D467" s="71"/>
      <c r="E467" s="327"/>
      <c r="F467" s="327"/>
      <c r="G467" s="68"/>
      <c r="H467" s="68"/>
      <c r="I467" s="68"/>
      <c r="J467" s="74"/>
      <c r="K467" s="130"/>
      <c r="L467" s="68"/>
      <c r="M467" s="17"/>
      <c r="N467" s="17"/>
      <c r="O467" s="324">
        <v>0</v>
      </c>
      <c r="P467" s="335">
        <f t="shared" si="10"/>
        <v>0</v>
      </c>
      <c r="Q467" s="17"/>
    </row>
    <row r="468" spans="2:17" ht="17.25" hidden="1" x14ac:dyDescent="0.3">
      <c r="B468" s="16">
        <v>22</v>
      </c>
      <c r="C468" s="68"/>
      <c r="D468" s="71"/>
      <c r="E468" s="327"/>
      <c r="F468" s="327"/>
      <c r="G468" s="68"/>
      <c r="H468" s="68"/>
      <c r="I468" s="68"/>
      <c r="J468" s="74"/>
      <c r="K468" s="130"/>
      <c r="L468" s="68"/>
      <c r="M468" s="17"/>
      <c r="N468" s="17"/>
      <c r="O468" s="324">
        <v>0</v>
      </c>
      <c r="P468" s="335">
        <f t="shared" si="10"/>
        <v>0</v>
      </c>
      <c r="Q468" s="17"/>
    </row>
    <row r="469" spans="2:17" ht="17.25" hidden="1" x14ac:dyDescent="0.3">
      <c r="B469" s="16">
        <v>23</v>
      </c>
      <c r="C469" s="68"/>
      <c r="D469" s="71"/>
      <c r="E469" s="327"/>
      <c r="F469" s="327"/>
      <c r="G469" s="68"/>
      <c r="H469" s="68"/>
      <c r="I469" s="68"/>
      <c r="J469" s="74"/>
      <c r="K469" s="130"/>
      <c r="L469" s="68"/>
      <c r="M469" s="17"/>
      <c r="N469" s="17"/>
      <c r="O469" s="324">
        <v>0</v>
      </c>
      <c r="P469" s="335">
        <f t="shared" si="10"/>
        <v>0</v>
      </c>
      <c r="Q469" s="17"/>
    </row>
    <row r="470" spans="2:17" ht="17.25" hidden="1" x14ac:dyDescent="0.3">
      <c r="B470" s="16">
        <v>24</v>
      </c>
      <c r="C470" s="68"/>
      <c r="D470" s="71"/>
      <c r="E470" s="327"/>
      <c r="F470" s="327"/>
      <c r="G470" s="68"/>
      <c r="H470" s="68"/>
      <c r="I470" s="68"/>
      <c r="J470" s="74"/>
      <c r="K470" s="130"/>
      <c r="L470" s="68"/>
      <c r="M470" s="17"/>
      <c r="N470" s="17"/>
      <c r="O470" s="324">
        <v>0</v>
      </c>
      <c r="P470" s="335">
        <f t="shared" si="10"/>
        <v>0</v>
      </c>
      <c r="Q470" s="17"/>
    </row>
    <row r="471" spans="2:17" ht="17.25" hidden="1" x14ac:dyDescent="0.3">
      <c r="B471" s="16">
        <v>25</v>
      </c>
      <c r="C471" s="68"/>
      <c r="D471" s="71"/>
      <c r="E471" s="327"/>
      <c r="F471" s="327"/>
      <c r="G471" s="68"/>
      <c r="H471" s="68"/>
      <c r="I471" s="68"/>
      <c r="J471" s="74"/>
      <c r="K471" s="130"/>
      <c r="L471" s="68"/>
      <c r="M471" s="17"/>
      <c r="N471" s="17"/>
      <c r="O471" s="324">
        <v>0</v>
      </c>
      <c r="P471" s="335">
        <f t="shared" si="10"/>
        <v>0</v>
      </c>
      <c r="Q471" s="17"/>
    </row>
    <row r="472" spans="2:17" ht="17.25" hidden="1" x14ac:dyDescent="0.3">
      <c r="B472" s="16">
        <v>26</v>
      </c>
      <c r="C472" s="68"/>
      <c r="D472" s="71"/>
      <c r="E472" s="327"/>
      <c r="F472" s="327"/>
      <c r="G472" s="68"/>
      <c r="H472" s="68"/>
      <c r="I472" s="68"/>
      <c r="J472" s="74"/>
      <c r="K472" s="130"/>
      <c r="L472" s="68"/>
      <c r="M472" s="17"/>
      <c r="N472" s="17"/>
      <c r="O472" s="324">
        <v>0</v>
      </c>
      <c r="P472" s="335">
        <f t="shared" si="10"/>
        <v>0</v>
      </c>
      <c r="Q472" s="17"/>
    </row>
    <row r="473" spans="2:17" ht="17.25" hidden="1" x14ac:dyDescent="0.3">
      <c r="B473" s="16">
        <v>27</v>
      </c>
      <c r="C473" s="68"/>
      <c r="D473" s="71"/>
      <c r="E473" s="327"/>
      <c r="F473" s="327"/>
      <c r="G473" s="68"/>
      <c r="H473" s="68"/>
      <c r="I473" s="68"/>
      <c r="J473" s="74"/>
      <c r="K473" s="130"/>
      <c r="L473" s="68"/>
      <c r="M473" s="17"/>
      <c r="N473" s="17"/>
      <c r="O473" s="324">
        <v>0</v>
      </c>
      <c r="P473" s="335">
        <f t="shared" si="10"/>
        <v>0</v>
      </c>
      <c r="Q473" s="17"/>
    </row>
    <row r="474" spans="2:17" ht="17.25" hidden="1" x14ac:dyDescent="0.3">
      <c r="B474" s="16">
        <v>28</v>
      </c>
      <c r="C474" s="68"/>
      <c r="D474" s="71"/>
      <c r="E474" s="327"/>
      <c r="F474" s="327"/>
      <c r="G474" s="68"/>
      <c r="H474" s="68"/>
      <c r="I474" s="68"/>
      <c r="J474" s="74"/>
      <c r="K474" s="130"/>
      <c r="L474" s="68"/>
      <c r="M474" s="17"/>
      <c r="N474" s="17"/>
      <c r="O474" s="324">
        <v>0</v>
      </c>
      <c r="P474" s="335">
        <f t="shared" si="10"/>
        <v>0</v>
      </c>
      <c r="Q474" s="17"/>
    </row>
    <row r="475" spans="2:17" ht="17.25" hidden="1" x14ac:dyDescent="0.3">
      <c r="B475" s="16">
        <v>29</v>
      </c>
      <c r="C475" s="68"/>
      <c r="D475" s="71"/>
      <c r="E475" s="327"/>
      <c r="F475" s="327"/>
      <c r="G475" s="68"/>
      <c r="H475" s="68"/>
      <c r="I475" s="68"/>
      <c r="J475" s="74"/>
      <c r="K475" s="130"/>
      <c r="L475" s="68"/>
      <c r="M475" s="17"/>
      <c r="N475" s="17"/>
      <c r="O475" s="324">
        <v>0</v>
      </c>
      <c r="P475" s="335">
        <f t="shared" si="10"/>
        <v>0</v>
      </c>
      <c r="Q475" s="17"/>
    </row>
    <row r="476" spans="2:17" ht="17.25" hidden="1" x14ac:dyDescent="0.3">
      <c r="B476" s="16">
        <v>30</v>
      </c>
      <c r="C476" s="68"/>
      <c r="D476" s="71"/>
      <c r="E476" s="327"/>
      <c r="F476" s="327"/>
      <c r="G476" s="68"/>
      <c r="H476" s="68"/>
      <c r="I476" s="68"/>
      <c r="J476" s="74"/>
      <c r="K476" s="130"/>
      <c r="L476" s="68"/>
      <c r="M476" s="17"/>
      <c r="N476" s="17"/>
      <c r="O476" s="324">
        <v>0</v>
      </c>
      <c r="P476" s="335">
        <f t="shared" si="10"/>
        <v>0</v>
      </c>
      <c r="Q476" s="17"/>
    </row>
    <row r="477" spans="2:17" ht="17.25" hidden="1" x14ac:dyDescent="0.3">
      <c r="B477" s="16">
        <v>31</v>
      </c>
      <c r="C477" s="68"/>
      <c r="D477" s="71"/>
      <c r="E477" s="327"/>
      <c r="F477" s="327"/>
      <c r="G477" s="68"/>
      <c r="H477" s="68"/>
      <c r="I477" s="68"/>
      <c r="J477" s="74"/>
      <c r="K477" s="130"/>
      <c r="L477" s="68"/>
      <c r="M477" s="17"/>
      <c r="N477" s="17"/>
      <c r="O477" s="324">
        <v>0</v>
      </c>
      <c r="P477" s="335">
        <f t="shared" si="10"/>
        <v>0</v>
      </c>
      <c r="Q477" s="17"/>
    </row>
    <row r="478" spans="2:17" ht="17.25" hidden="1" x14ac:dyDescent="0.3">
      <c r="B478" s="16">
        <v>32</v>
      </c>
      <c r="C478" s="68"/>
      <c r="D478" s="71"/>
      <c r="E478" s="327"/>
      <c r="F478" s="327"/>
      <c r="G478" s="68"/>
      <c r="H478" s="68"/>
      <c r="I478" s="68"/>
      <c r="J478" s="74"/>
      <c r="K478" s="130"/>
      <c r="L478" s="68"/>
      <c r="M478" s="17"/>
      <c r="N478" s="17"/>
      <c r="O478" s="324">
        <v>0</v>
      </c>
      <c r="P478" s="335">
        <f t="shared" si="10"/>
        <v>0</v>
      </c>
      <c r="Q478" s="17"/>
    </row>
    <row r="479" spans="2:17" ht="17.25" hidden="1" x14ac:dyDescent="0.3">
      <c r="B479" s="16">
        <v>33</v>
      </c>
      <c r="C479" s="68"/>
      <c r="D479" s="71"/>
      <c r="E479" s="327"/>
      <c r="F479" s="327"/>
      <c r="G479" s="68"/>
      <c r="H479" s="68"/>
      <c r="I479" s="68"/>
      <c r="J479" s="74"/>
      <c r="K479" s="130"/>
      <c r="L479" s="68"/>
      <c r="M479" s="17"/>
      <c r="N479" s="17"/>
      <c r="O479" s="324">
        <v>0</v>
      </c>
      <c r="P479" s="335">
        <f t="shared" si="10"/>
        <v>0</v>
      </c>
      <c r="Q479" s="17"/>
    </row>
    <row r="480" spans="2:17" ht="17.25" hidden="1" x14ac:dyDescent="0.3">
      <c r="B480" s="16">
        <v>34</v>
      </c>
      <c r="C480" s="68"/>
      <c r="D480" s="71"/>
      <c r="E480" s="327"/>
      <c r="F480" s="327"/>
      <c r="G480" s="68"/>
      <c r="H480" s="68"/>
      <c r="I480" s="68"/>
      <c r="J480" s="74"/>
      <c r="K480" s="130"/>
      <c r="L480" s="68"/>
      <c r="M480" s="17"/>
      <c r="N480" s="17"/>
      <c r="O480" s="324">
        <v>0</v>
      </c>
      <c r="P480" s="335">
        <f t="shared" si="10"/>
        <v>0</v>
      </c>
      <c r="Q480" s="17"/>
    </row>
    <row r="481" spans="2:17" ht="17.25" hidden="1" x14ac:dyDescent="0.3">
      <c r="B481" s="16">
        <v>35</v>
      </c>
      <c r="C481" s="68"/>
      <c r="D481" s="71"/>
      <c r="E481" s="327"/>
      <c r="F481" s="327"/>
      <c r="G481" s="68"/>
      <c r="H481" s="68"/>
      <c r="I481" s="68"/>
      <c r="J481" s="74"/>
      <c r="K481" s="130"/>
      <c r="L481" s="68"/>
      <c r="M481" s="17"/>
      <c r="N481" s="17"/>
      <c r="O481" s="324">
        <v>0</v>
      </c>
      <c r="P481" s="335">
        <f t="shared" si="10"/>
        <v>0</v>
      </c>
      <c r="Q481" s="17"/>
    </row>
    <row r="482" spans="2:17" ht="17.25" hidden="1" x14ac:dyDescent="0.3">
      <c r="B482" s="16">
        <v>36</v>
      </c>
      <c r="C482" s="68"/>
      <c r="D482" s="71"/>
      <c r="E482" s="327"/>
      <c r="F482" s="327"/>
      <c r="G482" s="68"/>
      <c r="H482" s="68"/>
      <c r="I482" s="68"/>
      <c r="J482" s="74"/>
      <c r="K482" s="130"/>
      <c r="L482" s="68"/>
      <c r="M482" s="17"/>
      <c r="N482" s="17"/>
      <c r="O482" s="324">
        <v>0</v>
      </c>
      <c r="P482" s="335">
        <f t="shared" si="10"/>
        <v>0</v>
      </c>
      <c r="Q482" s="17"/>
    </row>
    <row r="483" spans="2:17" ht="17.25" hidden="1" x14ac:dyDescent="0.3">
      <c r="B483" s="16">
        <v>37</v>
      </c>
      <c r="C483" s="68"/>
      <c r="D483" s="71"/>
      <c r="E483" s="327"/>
      <c r="F483" s="327"/>
      <c r="G483" s="68"/>
      <c r="H483" s="68"/>
      <c r="I483" s="68"/>
      <c r="J483" s="74"/>
      <c r="K483" s="130"/>
      <c r="L483" s="68"/>
      <c r="M483" s="17"/>
      <c r="N483" s="17"/>
      <c r="O483" s="324">
        <v>0</v>
      </c>
      <c r="P483" s="335">
        <f t="shared" si="10"/>
        <v>0</v>
      </c>
      <c r="Q483" s="17"/>
    </row>
    <row r="484" spans="2:17" ht="17.25" hidden="1" x14ac:dyDescent="0.3">
      <c r="B484" s="16">
        <v>38</v>
      </c>
      <c r="C484" s="68"/>
      <c r="D484" s="71"/>
      <c r="E484" s="327"/>
      <c r="F484" s="327"/>
      <c r="G484" s="68"/>
      <c r="H484" s="68"/>
      <c r="I484" s="68"/>
      <c r="J484" s="74"/>
      <c r="K484" s="130"/>
      <c r="L484" s="68"/>
      <c r="M484" s="17"/>
      <c r="N484" s="17"/>
      <c r="O484" s="324">
        <v>0</v>
      </c>
      <c r="P484" s="335">
        <f t="shared" si="10"/>
        <v>0</v>
      </c>
      <c r="Q484" s="17"/>
    </row>
    <row r="485" spans="2:17" ht="17.25" hidden="1" x14ac:dyDescent="0.3">
      <c r="B485" s="16">
        <v>39</v>
      </c>
      <c r="C485" s="68"/>
      <c r="D485" s="71"/>
      <c r="E485" s="327"/>
      <c r="F485" s="327"/>
      <c r="G485" s="68"/>
      <c r="H485" s="68"/>
      <c r="I485" s="68"/>
      <c r="J485" s="74"/>
      <c r="K485" s="130"/>
      <c r="L485" s="68"/>
      <c r="M485" s="17"/>
      <c r="N485" s="17"/>
      <c r="O485" s="324">
        <v>0</v>
      </c>
      <c r="P485" s="335">
        <f t="shared" si="10"/>
        <v>0</v>
      </c>
      <c r="Q485" s="17"/>
    </row>
    <row r="486" spans="2:17" ht="17.25" hidden="1" x14ac:dyDescent="0.3">
      <c r="B486" s="16">
        <v>40</v>
      </c>
      <c r="C486" s="68"/>
      <c r="D486" s="71"/>
      <c r="E486" s="327"/>
      <c r="F486" s="327"/>
      <c r="G486" s="68"/>
      <c r="H486" s="68"/>
      <c r="I486" s="68"/>
      <c r="J486" s="74"/>
      <c r="K486" s="130"/>
      <c r="L486" s="68"/>
      <c r="M486" s="17"/>
      <c r="N486" s="17"/>
      <c r="O486" s="324">
        <v>0</v>
      </c>
      <c r="P486" s="335">
        <f t="shared" si="10"/>
        <v>0</v>
      </c>
      <c r="Q486" s="17"/>
    </row>
    <row r="487" spans="2:17" ht="17.25" hidden="1" x14ac:dyDescent="0.3">
      <c r="B487" s="16">
        <v>41</v>
      </c>
      <c r="C487" s="68"/>
      <c r="D487" s="71"/>
      <c r="E487" s="327"/>
      <c r="F487" s="327"/>
      <c r="G487" s="68"/>
      <c r="H487" s="68"/>
      <c r="I487" s="68"/>
      <c r="J487" s="74"/>
      <c r="K487" s="130"/>
      <c r="L487" s="68"/>
      <c r="M487" s="17"/>
      <c r="N487" s="17"/>
      <c r="O487" s="324">
        <v>0</v>
      </c>
      <c r="P487" s="335">
        <f t="shared" si="10"/>
        <v>0</v>
      </c>
      <c r="Q487" s="17"/>
    </row>
    <row r="488" spans="2:17" ht="17.25" hidden="1" x14ac:dyDescent="0.3">
      <c r="B488" s="16">
        <v>42</v>
      </c>
      <c r="C488" s="68"/>
      <c r="D488" s="71"/>
      <c r="E488" s="327"/>
      <c r="F488" s="327"/>
      <c r="G488" s="68"/>
      <c r="H488" s="68"/>
      <c r="I488" s="68"/>
      <c r="J488" s="74"/>
      <c r="K488" s="130"/>
      <c r="L488" s="68"/>
      <c r="M488" s="17"/>
      <c r="N488" s="17"/>
      <c r="O488" s="324">
        <v>0</v>
      </c>
      <c r="P488" s="335">
        <f t="shared" si="10"/>
        <v>0</v>
      </c>
      <c r="Q488" s="17"/>
    </row>
    <row r="489" spans="2:17" ht="17.25" hidden="1" x14ac:dyDescent="0.3">
      <c r="B489" s="16">
        <v>43</v>
      </c>
      <c r="C489" s="68"/>
      <c r="D489" s="71"/>
      <c r="E489" s="327"/>
      <c r="F489" s="327"/>
      <c r="G489" s="68"/>
      <c r="H489" s="68"/>
      <c r="I489" s="68"/>
      <c r="J489" s="74"/>
      <c r="K489" s="130"/>
      <c r="L489" s="68"/>
      <c r="M489" s="17"/>
      <c r="N489" s="17"/>
      <c r="O489" s="324">
        <v>0</v>
      </c>
      <c r="P489" s="335">
        <f t="shared" si="10"/>
        <v>0</v>
      </c>
      <c r="Q489" s="17"/>
    </row>
    <row r="490" spans="2:17" ht="17.25" hidden="1" x14ac:dyDescent="0.3">
      <c r="B490" s="16">
        <v>44</v>
      </c>
      <c r="C490" s="68"/>
      <c r="D490" s="71"/>
      <c r="E490" s="327"/>
      <c r="F490" s="327"/>
      <c r="G490" s="68"/>
      <c r="H490" s="68"/>
      <c r="I490" s="68"/>
      <c r="J490" s="74"/>
      <c r="K490" s="130"/>
      <c r="L490" s="68"/>
      <c r="M490" s="17"/>
      <c r="N490" s="17"/>
      <c r="O490" s="324">
        <v>0</v>
      </c>
      <c r="P490" s="335">
        <f t="shared" si="10"/>
        <v>0</v>
      </c>
      <c r="Q490" s="17"/>
    </row>
    <row r="491" spans="2:17" ht="17.25" hidden="1" x14ac:dyDescent="0.3">
      <c r="B491" s="16">
        <v>45</v>
      </c>
      <c r="C491" s="68"/>
      <c r="D491" s="71"/>
      <c r="E491" s="327"/>
      <c r="F491" s="327"/>
      <c r="G491" s="68"/>
      <c r="H491" s="68"/>
      <c r="I491" s="68"/>
      <c r="J491" s="74"/>
      <c r="K491" s="130"/>
      <c r="L491" s="68"/>
      <c r="M491" s="17"/>
      <c r="N491" s="17"/>
      <c r="O491" s="324">
        <v>0</v>
      </c>
      <c r="P491" s="335">
        <f t="shared" si="10"/>
        <v>0</v>
      </c>
      <c r="Q491" s="17"/>
    </row>
    <row r="492" spans="2:17" ht="17.25" hidden="1" x14ac:dyDescent="0.3">
      <c r="B492" s="16">
        <v>46</v>
      </c>
      <c r="C492" s="68"/>
      <c r="D492" s="71"/>
      <c r="E492" s="327"/>
      <c r="F492" s="327"/>
      <c r="G492" s="68"/>
      <c r="H492" s="68"/>
      <c r="I492" s="68"/>
      <c r="J492" s="74"/>
      <c r="K492" s="130"/>
      <c r="L492" s="68"/>
      <c r="M492" s="17"/>
      <c r="N492" s="17"/>
      <c r="O492" s="324">
        <v>0</v>
      </c>
      <c r="P492" s="335">
        <f t="shared" si="10"/>
        <v>0</v>
      </c>
      <c r="Q492" s="17"/>
    </row>
    <row r="493" spans="2:17" ht="17.25" hidden="1" x14ac:dyDescent="0.3">
      <c r="B493" s="16">
        <v>47</v>
      </c>
      <c r="C493" s="68"/>
      <c r="D493" s="71"/>
      <c r="E493" s="327"/>
      <c r="F493" s="327"/>
      <c r="G493" s="68"/>
      <c r="H493" s="68"/>
      <c r="I493" s="68"/>
      <c r="J493" s="74"/>
      <c r="K493" s="130"/>
      <c r="L493" s="68"/>
      <c r="M493" s="17"/>
      <c r="N493" s="17"/>
      <c r="O493" s="324">
        <v>0</v>
      </c>
      <c r="P493" s="335">
        <f t="shared" si="10"/>
        <v>0</v>
      </c>
      <c r="Q493" s="17"/>
    </row>
    <row r="494" spans="2:17" ht="17.25" hidden="1" x14ac:dyDescent="0.3">
      <c r="B494" s="16">
        <v>48</v>
      </c>
      <c r="C494" s="68"/>
      <c r="D494" s="71"/>
      <c r="E494" s="327"/>
      <c r="F494" s="327"/>
      <c r="G494" s="68"/>
      <c r="H494" s="68"/>
      <c r="I494" s="68"/>
      <c r="J494" s="74"/>
      <c r="K494" s="130"/>
      <c r="L494" s="68"/>
      <c r="M494" s="17"/>
      <c r="N494" s="17"/>
      <c r="O494" s="324">
        <v>0</v>
      </c>
      <c r="P494" s="335">
        <f t="shared" si="10"/>
        <v>0</v>
      </c>
      <c r="Q494" s="17"/>
    </row>
    <row r="495" spans="2:17" ht="17.25" hidden="1" x14ac:dyDescent="0.3">
      <c r="B495" s="16">
        <v>49</v>
      </c>
      <c r="C495" s="68"/>
      <c r="D495" s="71"/>
      <c r="E495" s="327"/>
      <c r="F495" s="327"/>
      <c r="G495" s="68"/>
      <c r="H495" s="68"/>
      <c r="I495" s="68"/>
      <c r="J495" s="74"/>
      <c r="K495" s="130"/>
      <c r="L495" s="68"/>
      <c r="M495" s="17"/>
      <c r="N495" s="17"/>
      <c r="O495" s="324">
        <v>0</v>
      </c>
      <c r="P495" s="335">
        <f t="shared" si="10"/>
        <v>0</v>
      </c>
      <c r="Q495" s="17"/>
    </row>
    <row r="496" spans="2:17" ht="17.25" hidden="1" x14ac:dyDescent="0.3">
      <c r="B496" s="16">
        <v>50</v>
      </c>
      <c r="C496" s="68"/>
      <c r="D496" s="71"/>
      <c r="E496" s="327"/>
      <c r="F496" s="327"/>
      <c r="G496" s="68"/>
      <c r="H496" s="68"/>
      <c r="I496" s="68"/>
      <c r="J496" s="74"/>
      <c r="K496" s="130"/>
      <c r="L496" s="68"/>
      <c r="M496" s="17"/>
      <c r="N496" s="17"/>
      <c r="O496" s="324">
        <v>0</v>
      </c>
      <c r="P496" s="335">
        <f t="shared" si="10"/>
        <v>0</v>
      </c>
      <c r="Q496" s="17"/>
    </row>
    <row r="497" spans="2:17" ht="17.25" hidden="1" x14ac:dyDescent="0.3">
      <c r="B497" s="16">
        <v>51</v>
      </c>
      <c r="C497" s="68"/>
      <c r="D497" s="71"/>
      <c r="E497" s="327"/>
      <c r="F497" s="327"/>
      <c r="G497" s="68"/>
      <c r="H497" s="68"/>
      <c r="I497" s="68"/>
      <c r="J497" s="74"/>
      <c r="K497" s="130"/>
      <c r="L497" s="68"/>
      <c r="M497" s="17"/>
      <c r="N497" s="17"/>
      <c r="O497" s="324">
        <v>0</v>
      </c>
      <c r="P497" s="335">
        <f t="shared" si="10"/>
        <v>0</v>
      </c>
      <c r="Q497" s="17"/>
    </row>
    <row r="498" spans="2:17" ht="17.25" hidden="1" x14ac:dyDescent="0.3">
      <c r="B498" s="16">
        <v>52</v>
      </c>
      <c r="C498" s="68"/>
      <c r="D498" s="71"/>
      <c r="E498" s="327"/>
      <c r="F498" s="327"/>
      <c r="G498" s="68"/>
      <c r="H498" s="68"/>
      <c r="I498" s="68"/>
      <c r="J498" s="74"/>
      <c r="K498" s="130"/>
      <c r="L498" s="68"/>
      <c r="M498" s="17"/>
      <c r="N498" s="17"/>
      <c r="O498" s="324">
        <v>0</v>
      </c>
      <c r="P498" s="335">
        <f t="shared" si="10"/>
        <v>0</v>
      </c>
      <c r="Q498" s="17"/>
    </row>
    <row r="499" spans="2:17" ht="17.25" hidden="1" x14ac:dyDescent="0.3">
      <c r="B499" s="16">
        <v>53</v>
      </c>
      <c r="C499" s="68"/>
      <c r="D499" s="71"/>
      <c r="E499" s="327"/>
      <c r="F499" s="327"/>
      <c r="G499" s="68"/>
      <c r="H499" s="68"/>
      <c r="I499" s="68"/>
      <c r="J499" s="74"/>
      <c r="K499" s="130"/>
      <c r="L499" s="68"/>
      <c r="M499" s="17"/>
      <c r="N499" s="17"/>
      <c r="O499" s="324">
        <v>0</v>
      </c>
      <c r="P499" s="335">
        <f t="shared" si="10"/>
        <v>0</v>
      </c>
      <c r="Q499" s="17"/>
    </row>
    <row r="500" spans="2:17" ht="17.25" hidden="1" x14ac:dyDescent="0.3">
      <c r="B500" s="16">
        <v>54</v>
      </c>
      <c r="C500" s="68"/>
      <c r="D500" s="71"/>
      <c r="E500" s="327"/>
      <c r="F500" s="327"/>
      <c r="G500" s="68"/>
      <c r="H500" s="68"/>
      <c r="I500" s="68"/>
      <c r="J500" s="74"/>
      <c r="K500" s="130"/>
      <c r="L500" s="68"/>
      <c r="M500" s="17"/>
      <c r="N500" s="17"/>
      <c r="O500" s="324">
        <v>0</v>
      </c>
      <c r="P500" s="335">
        <f t="shared" si="10"/>
        <v>0</v>
      </c>
      <c r="Q500" s="17"/>
    </row>
    <row r="501" spans="2:17" ht="17.25" hidden="1" x14ac:dyDescent="0.3">
      <c r="B501" s="16">
        <v>55</v>
      </c>
      <c r="C501" s="68"/>
      <c r="D501" s="71"/>
      <c r="E501" s="327"/>
      <c r="F501" s="327"/>
      <c r="G501" s="68"/>
      <c r="H501" s="68"/>
      <c r="I501" s="68"/>
      <c r="J501" s="74"/>
      <c r="K501" s="130"/>
      <c r="L501" s="68"/>
      <c r="M501" s="17"/>
      <c r="N501" s="17"/>
      <c r="O501" s="324">
        <v>0</v>
      </c>
      <c r="P501" s="335">
        <f t="shared" si="10"/>
        <v>0</v>
      </c>
      <c r="Q501" s="17"/>
    </row>
    <row r="502" spans="2:17" ht="17.25" hidden="1" x14ac:dyDescent="0.3">
      <c r="B502" s="16">
        <v>56</v>
      </c>
      <c r="C502" s="68"/>
      <c r="D502" s="71"/>
      <c r="E502" s="327"/>
      <c r="F502" s="327"/>
      <c r="G502" s="68"/>
      <c r="H502" s="68"/>
      <c r="I502" s="68"/>
      <c r="J502" s="74"/>
      <c r="K502" s="130"/>
      <c r="L502" s="68"/>
      <c r="M502" s="17"/>
      <c r="N502" s="17"/>
      <c r="O502" s="324">
        <v>0</v>
      </c>
      <c r="P502" s="335">
        <f t="shared" si="10"/>
        <v>0</v>
      </c>
      <c r="Q502" s="17"/>
    </row>
    <row r="503" spans="2:17" ht="17.25" hidden="1" x14ac:dyDescent="0.3">
      <c r="B503" s="16">
        <v>57</v>
      </c>
      <c r="C503" s="68"/>
      <c r="D503" s="71"/>
      <c r="E503" s="327"/>
      <c r="F503" s="327"/>
      <c r="G503" s="68"/>
      <c r="H503" s="68"/>
      <c r="I503" s="68"/>
      <c r="J503" s="74"/>
      <c r="K503" s="130"/>
      <c r="L503" s="68"/>
      <c r="M503" s="17"/>
      <c r="N503" s="17"/>
      <c r="O503" s="324">
        <v>0</v>
      </c>
      <c r="P503" s="335">
        <f t="shared" si="10"/>
        <v>0</v>
      </c>
      <c r="Q503" s="17"/>
    </row>
    <row r="504" spans="2:17" ht="17.25" hidden="1" x14ac:dyDescent="0.3">
      <c r="B504" s="16">
        <v>58</v>
      </c>
      <c r="C504" s="68"/>
      <c r="D504" s="71"/>
      <c r="E504" s="327"/>
      <c r="F504" s="327"/>
      <c r="G504" s="68"/>
      <c r="H504" s="68"/>
      <c r="I504" s="68"/>
      <c r="J504" s="74"/>
      <c r="K504" s="130"/>
      <c r="L504" s="68"/>
      <c r="M504" s="17"/>
      <c r="N504" s="17"/>
      <c r="O504" s="324">
        <v>0</v>
      </c>
      <c r="P504" s="335">
        <f t="shared" si="10"/>
        <v>0</v>
      </c>
      <c r="Q504" s="17"/>
    </row>
    <row r="505" spans="2:17" ht="17.25" hidden="1" x14ac:dyDescent="0.3">
      <c r="B505" s="16">
        <v>59</v>
      </c>
      <c r="C505" s="68"/>
      <c r="D505" s="71"/>
      <c r="E505" s="327"/>
      <c r="F505" s="327"/>
      <c r="G505" s="68"/>
      <c r="H505" s="68"/>
      <c r="I505" s="68"/>
      <c r="J505" s="74"/>
      <c r="K505" s="130"/>
      <c r="L505" s="68"/>
      <c r="M505" s="17"/>
      <c r="N505" s="17"/>
      <c r="O505" s="324">
        <v>0</v>
      </c>
      <c r="P505" s="335">
        <f t="shared" si="10"/>
        <v>0</v>
      </c>
      <c r="Q505" s="17"/>
    </row>
    <row r="506" spans="2:17" ht="17.25" hidden="1" x14ac:dyDescent="0.3">
      <c r="B506" s="16">
        <v>60</v>
      </c>
      <c r="C506" s="68"/>
      <c r="D506" s="71"/>
      <c r="E506" s="327"/>
      <c r="F506" s="327"/>
      <c r="G506" s="68"/>
      <c r="H506" s="68"/>
      <c r="I506" s="68"/>
      <c r="J506" s="74"/>
      <c r="K506" s="130"/>
      <c r="L506" s="68"/>
      <c r="M506" s="17"/>
      <c r="N506" s="17"/>
      <c r="O506" s="324">
        <v>0</v>
      </c>
      <c r="P506" s="335">
        <f t="shared" si="10"/>
        <v>0</v>
      </c>
      <c r="Q506" s="17"/>
    </row>
    <row r="507" spans="2:17" ht="17.25" hidden="1" x14ac:dyDescent="0.3">
      <c r="B507" s="16">
        <v>61</v>
      </c>
      <c r="C507" s="68"/>
      <c r="D507" s="71"/>
      <c r="E507" s="327"/>
      <c r="F507" s="327"/>
      <c r="G507" s="68"/>
      <c r="H507" s="68"/>
      <c r="I507" s="68"/>
      <c r="J507" s="74"/>
      <c r="K507" s="130"/>
      <c r="L507" s="68"/>
      <c r="M507" s="17"/>
      <c r="N507" s="17"/>
      <c r="O507" s="324">
        <v>0</v>
      </c>
      <c r="P507" s="335">
        <f t="shared" si="10"/>
        <v>0</v>
      </c>
      <c r="Q507" s="17"/>
    </row>
    <row r="508" spans="2:17" ht="17.25" hidden="1" x14ac:dyDescent="0.3">
      <c r="C508" s="81" t="s">
        <v>566</v>
      </c>
      <c r="D508" s="71"/>
      <c r="E508" s="327"/>
      <c r="F508" s="327"/>
      <c r="G508" s="68"/>
      <c r="H508" s="68"/>
      <c r="I508" s="68"/>
      <c r="J508" s="74"/>
      <c r="K508" s="130"/>
      <c r="L508" s="68"/>
      <c r="M508" s="17"/>
      <c r="N508" s="17"/>
      <c r="O508" s="324">
        <v>0</v>
      </c>
      <c r="P508" s="335">
        <f t="shared" si="10"/>
        <v>0</v>
      </c>
      <c r="Q508" s="17"/>
    </row>
    <row r="509" spans="2:17" x14ac:dyDescent="0.3">
      <c r="C509" s="54"/>
    </row>
    <row r="510" spans="2:17" x14ac:dyDescent="0.3">
      <c r="C510" s="54"/>
    </row>
    <row r="511" spans="2:17" x14ac:dyDescent="0.3">
      <c r="C511" s="54"/>
    </row>
    <row r="512" spans="2:17" x14ac:dyDescent="0.3">
      <c r="C512" s="54"/>
    </row>
    <row r="513" spans="3:3" x14ac:dyDescent="0.3">
      <c r="C513" s="54"/>
    </row>
    <row r="514" spans="3:3" x14ac:dyDescent="0.3">
      <c r="C514" s="54"/>
    </row>
    <row r="515" spans="3:3" x14ac:dyDescent="0.3">
      <c r="C515" s="54"/>
    </row>
    <row r="516" spans="3:3" x14ac:dyDescent="0.3">
      <c r="C516" s="54"/>
    </row>
    <row r="517" spans="3:3" x14ac:dyDescent="0.3">
      <c r="C517" s="54"/>
    </row>
    <row r="518" spans="3:3" x14ac:dyDescent="0.3">
      <c r="C518" s="54"/>
    </row>
    <row r="519" spans="3:3" x14ac:dyDescent="0.3">
      <c r="C519" s="54"/>
    </row>
    <row r="520" spans="3:3" x14ac:dyDescent="0.3">
      <c r="C520" s="54"/>
    </row>
    <row r="521" spans="3:3" x14ac:dyDescent="0.3">
      <c r="C521" s="54"/>
    </row>
    <row r="522" spans="3:3" x14ac:dyDescent="0.3">
      <c r="C522" s="54"/>
    </row>
    <row r="523" spans="3:3" x14ac:dyDescent="0.3">
      <c r="C523" s="54"/>
    </row>
    <row r="524" spans="3:3" x14ac:dyDescent="0.3">
      <c r="C524" s="54"/>
    </row>
    <row r="525" spans="3:3" x14ac:dyDescent="0.3">
      <c r="C525" s="54"/>
    </row>
    <row r="526" spans="3:3" x14ac:dyDescent="0.3">
      <c r="C526" s="54"/>
    </row>
    <row r="527" spans="3:3" x14ac:dyDescent="0.3">
      <c r="C527" s="54"/>
    </row>
    <row r="528" spans="3:3" x14ac:dyDescent="0.3">
      <c r="C528" s="54"/>
    </row>
    <row r="529" spans="3:3" x14ac:dyDescent="0.3">
      <c r="C529" s="54"/>
    </row>
    <row r="530" spans="3:3" x14ac:dyDescent="0.3">
      <c r="C530" s="54"/>
    </row>
    <row r="531" spans="3:3" x14ac:dyDescent="0.3">
      <c r="C531" s="54"/>
    </row>
    <row r="532" spans="3:3" x14ac:dyDescent="0.3">
      <c r="C532" s="54"/>
    </row>
    <row r="533" spans="3:3" x14ac:dyDescent="0.3">
      <c r="C533" s="54"/>
    </row>
    <row r="534" spans="3:3" x14ac:dyDescent="0.3">
      <c r="C534" s="54"/>
    </row>
    <row r="535" spans="3:3" x14ac:dyDescent="0.3">
      <c r="C535" s="54"/>
    </row>
    <row r="536" spans="3:3" x14ac:dyDescent="0.3">
      <c r="C536" s="54"/>
    </row>
    <row r="537" spans="3:3" x14ac:dyDescent="0.3">
      <c r="C537" s="54"/>
    </row>
    <row r="538" spans="3:3" x14ac:dyDescent="0.3">
      <c r="C538" s="54"/>
    </row>
    <row r="539" spans="3:3" x14ac:dyDescent="0.3">
      <c r="C539" s="54"/>
    </row>
    <row r="540" spans="3:3" x14ac:dyDescent="0.3">
      <c r="C540" s="54"/>
    </row>
    <row r="541" spans="3:3" x14ac:dyDescent="0.3">
      <c r="C541" s="54"/>
    </row>
    <row r="542" spans="3:3" x14ac:dyDescent="0.3">
      <c r="C542" s="54"/>
    </row>
    <row r="543" spans="3:3" x14ac:dyDescent="0.3">
      <c r="C543" s="54"/>
    </row>
    <row r="544" spans="3:3" x14ac:dyDescent="0.3">
      <c r="C544" s="54"/>
    </row>
    <row r="545" spans="3:3" x14ac:dyDescent="0.3">
      <c r="C545" s="54"/>
    </row>
    <row r="546" spans="3:3" x14ac:dyDescent="0.3">
      <c r="C546" s="54"/>
    </row>
    <row r="547" spans="3:3" x14ac:dyDescent="0.3">
      <c r="C547" s="54"/>
    </row>
    <row r="548" spans="3:3" x14ac:dyDescent="0.3">
      <c r="C548" s="54"/>
    </row>
    <row r="549" spans="3:3" x14ac:dyDescent="0.3">
      <c r="C549" s="54"/>
    </row>
    <row r="550" spans="3:3" x14ac:dyDescent="0.3">
      <c r="C550" s="54"/>
    </row>
    <row r="551" spans="3:3" x14ac:dyDescent="0.3">
      <c r="C551" s="54"/>
    </row>
    <row r="552" spans="3:3" x14ac:dyDescent="0.3">
      <c r="C552" s="54"/>
    </row>
    <row r="553" spans="3:3" x14ac:dyDescent="0.3">
      <c r="C553" s="54"/>
    </row>
    <row r="554" spans="3:3" x14ac:dyDescent="0.3">
      <c r="C554" s="54"/>
    </row>
    <row r="555" spans="3:3" x14ac:dyDescent="0.3">
      <c r="C555" s="54"/>
    </row>
    <row r="556" spans="3:3" x14ac:dyDescent="0.3">
      <c r="C556" s="54"/>
    </row>
    <row r="557" spans="3:3" x14ac:dyDescent="0.3">
      <c r="C557" s="54"/>
    </row>
    <row r="558" spans="3:3" x14ac:dyDescent="0.3">
      <c r="C558" s="54"/>
    </row>
    <row r="559" spans="3:3" x14ac:dyDescent="0.3">
      <c r="C559" s="54"/>
    </row>
    <row r="560" spans="3:3" x14ac:dyDescent="0.3">
      <c r="C560" s="54"/>
    </row>
    <row r="561" spans="3:3" x14ac:dyDescent="0.3">
      <c r="C561" s="54"/>
    </row>
    <row r="562" spans="3:3" x14ac:dyDescent="0.3">
      <c r="C562" s="54"/>
    </row>
    <row r="563" spans="3:3" x14ac:dyDescent="0.3">
      <c r="C563" s="54"/>
    </row>
    <row r="564" spans="3:3" x14ac:dyDescent="0.3">
      <c r="C564" s="54"/>
    </row>
    <row r="565" spans="3:3" x14ac:dyDescent="0.3">
      <c r="C565" s="54"/>
    </row>
    <row r="566" spans="3:3" x14ac:dyDescent="0.3">
      <c r="C566" s="54"/>
    </row>
    <row r="567" spans="3:3" x14ac:dyDescent="0.3">
      <c r="C567" s="54"/>
    </row>
    <row r="568" spans="3:3" x14ac:dyDescent="0.3">
      <c r="C568" s="54"/>
    </row>
    <row r="569" spans="3:3" x14ac:dyDescent="0.3">
      <c r="C569" s="54"/>
    </row>
    <row r="570" spans="3:3" x14ac:dyDescent="0.3">
      <c r="C570" s="54"/>
    </row>
    <row r="571" spans="3:3" x14ac:dyDescent="0.3">
      <c r="C571" s="54"/>
    </row>
    <row r="572" spans="3:3" x14ac:dyDescent="0.3">
      <c r="C572" s="54"/>
    </row>
    <row r="573" spans="3:3" x14ac:dyDescent="0.3">
      <c r="C573" s="54"/>
    </row>
    <row r="574" spans="3:3" x14ac:dyDescent="0.3">
      <c r="C574" s="54"/>
    </row>
    <row r="575" spans="3:3" x14ac:dyDescent="0.3">
      <c r="C575" s="54"/>
    </row>
    <row r="576" spans="3:3" x14ac:dyDescent="0.3">
      <c r="C576" s="54"/>
    </row>
    <row r="577" spans="3:3" x14ac:dyDescent="0.3">
      <c r="C577" s="54"/>
    </row>
    <row r="578" spans="3:3" x14ac:dyDescent="0.3">
      <c r="C578" s="54"/>
    </row>
    <row r="579" spans="3:3" x14ac:dyDescent="0.3">
      <c r="C579" s="54"/>
    </row>
    <row r="580" spans="3:3" x14ac:dyDescent="0.3">
      <c r="C580" s="54"/>
    </row>
    <row r="581" spans="3:3" x14ac:dyDescent="0.3">
      <c r="C581" s="54"/>
    </row>
    <row r="582" spans="3:3" x14ac:dyDescent="0.3">
      <c r="C582" s="54"/>
    </row>
    <row r="583" spans="3:3" x14ac:dyDescent="0.3">
      <c r="C583" s="54"/>
    </row>
    <row r="584" spans="3:3" x14ac:dyDescent="0.3">
      <c r="C584" s="54"/>
    </row>
    <row r="585" spans="3:3" x14ac:dyDescent="0.3">
      <c r="C585" s="54"/>
    </row>
    <row r="586" spans="3:3" x14ac:dyDescent="0.3">
      <c r="C586" s="54"/>
    </row>
    <row r="587" spans="3:3" x14ac:dyDescent="0.3">
      <c r="C587" s="54"/>
    </row>
    <row r="588" spans="3:3" x14ac:dyDescent="0.3">
      <c r="C588" s="54"/>
    </row>
    <row r="589" spans="3:3" x14ac:dyDescent="0.3">
      <c r="C589" s="54"/>
    </row>
    <row r="590" spans="3:3" x14ac:dyDescent="0.3">
      <c r="C590" s="54"/>
    </row>
    <row r="591" spans="3:3" x14ac:dyDescent="0.3">
      <c r="C591" s="54"/>
    </row>
    <row r="592" spans="3:3" x14ac:dyDescent="0.3">
      <c r="C592" s="54"/>
    </row>
    <row r="593" spans="3:3" x14ac:dyDescent="0.3">
      <c r="C593" s="54"/>
    </row>
    <row r="594" spans="3:3" x14ac:dyDescent="0.3">
      <c r="C594" s="54"/>
    </row>
    <row r="595" spans="3:3" x14ac:dyDescent="0.3">
      <c r="C595" s="54"/>
    </row>
    <row r="596" spans="3:3" x14ac:dyDescent="0.3">
      <c r="C596" s="54"/>
    </row>
    <row r="597" spans="3:3" x14ac:dyDescent="0.3">
      <c r="C597" s="54"/>
    </row>
    <row r="598" spans="3:3" x14ac:dyDescent="0.3">
      <c r="C598" s="54"/>
    </row>
    <row r="599" spans="3:3" x14ac:dyDescent="0.3">
      <c r="C599" s="54"/>
    </row>
    <row r="600" spans="3:3" x14ac:dyDescent="0.3">
      <c r="C600" s="54"/>
    </row>
    <row r="601" spans="3:3" x14ac:dyDescent="0.3">
      <c r="C601" s="54"/>
    </row>
    <row r="602" spans="3:3" x14ac:dyDescent="0.3">
      <c r="C602" s="54"/>
    </row>
    <row r="603" spans="3:3" x14ac:dyDescent="0.3">
      <c r="C603" s="54"/>
    </row>
    <row r="604" spans="3:3" x14ac:dyDescent="0.3">
      <c r="C604" s="54"/>
    </row>
    <row r="605" spans="3:3" x14ac:dyDescent="0.3">
      <c r="C605" s="54"/>
    </row>
    <row r="606" spans="3:3" x14ac:dyDescent="0.3">
      <c r="C606" s="54"/>
    </row>
    <row r="607" spans="3:3" x14ac:dyDescent="0.3">
      <c r="C607" s="54"/>
    </row>
    <row r="608" spans="3:3" x14ac:dyDescent="0.3">
      <c r="C608" s="54"/>
    </row>
    <row r="609" spans="3:3" x14ac:dyDescent="0.3">
      <c r="C609" s="54"/>
    </row>
    <row r="610" spans="3:3" x14ac:dyDescent="0.3">
      <c r="C610" s="54"/>
    </row>
    <row r="611" spans="3:3" x14ac:dyDescent="0.3">
      <c r="C611" s="54"/>
    </row>
    <row r="612" spans="3:3" x14ac:dyDescent="0.3">
      <c r="C612" s="54"/>
    </row>
    <row r="613" spans="3:3" x14ac:dyDescent="0.3">
      <c r="C613" s="54"/>
    </row>
    <row r="614" spans="3:3" x14ac:dyDescent="0.3">
      <c r="C614" s="54"/>
    </row>
    <row r="615" spans="3:3" x14ac:dyDescent="0.3">
      <c r="C615" s="54"/>
    </row>
    <row r="616" spans="3:3" x14ac:dyDescent="0.3">
      <c r="C616" s="54"/>
    </row>
    <row r="617" spans="3:3" x14ac:dyDescent="0.3">
      <c r="C617" s="54"/>
    </row>
    <row r="618" spans="3:3" x14ac:dyDescent="0.3">
      <c r="C618" s="54"/>
    </row>
    <row r="619" spans="3:3" x14ac:dyDescent="0.3">
      <c r="C619" s="54"/>
    </row>
    <row r="620" spans="3:3" x14ac:dyDescent="0.3">
      <c r="C620" s="54"/>
    </row>
    <row r="621" spans="3:3" x14ac:dyDescent="0.3">
      <c r="C621" s="54"/>
    </row>
    <row r="622" spans="3:3" x14ac:dyDescent="0.3">
      <c r="C622" s="54"/>
    </row>
    <row r="623" spans="3:3" x14ac:dyDescent="0.3">
      <c r="C623" s="54"/>
    </row>
    <row r="624" spans="3:3" x14ac:dyDescent="0.3">
      <c r="C624" s="54"/>
    </row>
    <row r="625" spans="3:3" x14ac:dyDescent="0.3">
      <c r="C625" s="54"/>
    </row>
    <row r="626" spans="3:3" x14ac:dyDescent="0.3">
      <c r="C626" s="54"/>
    </row>
    <row r="627" spans="3:3" x14ac:dyDescent="0.3">
      <c r="C627" s="54"/>
    </row>
    <row r="628" spans="3:3" x14ac:dyDescent="0.3">
      <c r="C628" s="54"/>
    </row>
    <row r="629" spans="3:3" x14ac:dyDescent="0.3">
      <c r="C629" s="54"/>
    </row>
    <row r="630" spans="3:3" x14ac:dyDescent="0.3">
      <c r="C630" s="54"/>
    </row>
    <row r="631" spans="3:3" x14ac:dyDescent="0.3">
      <c r="C631" s="54"/>
    </row>
    <row r="632" spans="3:3" x14ac:dyDescent="0.3">
      <c r="C632" s="54"/>
    </row>
    <row r="633" spans="3:3" x14ac:dyDescent="0.3">
      <c r="C633" s="54"/>
    </row>
    <row r="634" spans="3:3" x14ac:dyDescent="0.3">
      <c r="C634" s="54"/>
    </row>
    <row r="635" spans="3:3" x14ac:dyDescent="0.3">
      <c r="C635" s="54"/>
    </row>
    <row r="636" spans="3:3" x14ac:dyDescent="0.3">
      <c r="C636" s="54"/>
    </row>
    <row r="637" spans="3:3" x14ac:dyDescent="0.3">
      <c r="C637" s="54"/>
    </row>
    <row r="638" spans="3:3" x14ac:dyDescent="0.3">
      <c r="C638" s="54"/>
    </row>
    <row r="639" spans="3:3" x14ac:dyDescent="0.3">
      <c r="C639" s="54"/>
    </row>
    <row r="640" spans="3:3" x14ac:dyDescent="0.3">
      <c r="C640" s="54"/>
    </row>
    <row r="641" spans="3:3" x14ac:dyDescent="0.3">
      <c r="C641" s="54"/>
    </row>
    <row r="642" spans="3:3" x14ac:dyDescent="0.3">
      <c r="C642" s="54"/>
    </row>
    <row r="643" spans="3:3" x14ac:dyDescent="0.3">
      <c r="C643" s="54"/>
    </row>
    <row r="644" spans="3:3" x14ac:dyDescent="0.3">
      <c r="C644" s="54"/>
    </row>
    <row r="645" spans="3:3" x14ac:dyDescent="0.3">
      <c r="C645" s="54"/>
    </row>
    <row r="646" spans="3:3" x14ac:dyDescent="0.3">
      <c r="C646" s="54"/>
    </row>
    <row r="647" spans="3:3" x14ac:dyDescent="0.3">
      <c r="C647" s="54"/>
    </row>
    <row r="648" spans="3:3" x14ac:dyDescent="0.3">
      <c r="C648" s="54"/>
    </row>
    <row r="649" spans="3:3" x14ac:dyDescent="0.3">
      <c r="C649" s="54"/>
    </row>
    <row r="650" spans="3:3" x14ac:dyDescent="0.3">
      <c r="C650" s="54"/>
    </row>
    <row r="651" spans="3:3" x14ac:dyDescent="0.3">
      <c r="C651" s="54"/>
    </row>
    <row r="652" spans="3:3" x14ac:dyDescent="0.3">
      <c r="C652" s="54"/>
    </row>
    <row r="653" spans="3:3" x14ac:dyDescent="0.3">
      <c r="C653" s="54"/>
    </row>
    <row r="654" spans="3:3" x14ac:dyDescent="0.3">
      <c r="C654" s="54"/>
    </row>
    <row r="655" spans="3:3" x14ac:dyDescent="0.3">
      <c r="C655" s="54"/>
    </row>
    <row r="656" spans="3:3" x14ac:dyDescent="0.3">
      <c r="C656" s="54"/>
    </row>
    <row r="657" spans="3:3" x14ac:dyDescent="0.3">
      <c r="C657" s="54"/>
    </row>
    <row r="658" spans="3:3" x14ac:dyDescent="0.3">
      <c r="C658" s="54"/>
    </row>
    <row r="659" spans="3:3" x14ac:dyDescent="0.3">
      <c r="C659" s="54"/>
    </row>
    <row r="660" spans="3:3" x14ac:dyDescent="0.3">
      <c r="C660" s="54"/>
    </row>
    <row r="661" spans="3:3" x14ac:dyDescent="0.3">
      <c r="C661" s="54"/>
    </row>
    <row r="662" spans="3:3" x14ac:dyDescent="0.3">
      <c r="C662" s="54"/>
    </row>
    <row r="663" spans="3:3" x14ac:dyDescent="0.3">
      <c r="C663" s="54"/>
    </row>
    <row r="664" spans="3:3" x14ac:dyDescent="0.3">
      <c r="C664" s="54"/>
    </row>
    <row r="665" spans="3:3" x14ac:dyDescent="0.3">
      <c r="C665" s="54"/>
    </row>
    <row r="666" spans="3:3" x14ac:dyDescent="0.3">
      <c r="C666" s="54"/>
    </row>
    <row r="667" spans="3:3" x14ac:dyDescent="0.3">
      <c r="C667" s="54"/>
    </row>
    <row r="668" spans="3:3" x14ac:dyDescent="0.3">
      <c r="C668" s="54"/>
    </row>
    <row r="669" spans="3:3" x14ac:dyDescent="0.3">
      <c r="C669" s="54"/>
    </row>
    <row r="670" spans="3:3" x14ac:dyDescent="0.3">
      <c r="C670" s="54"/>
    </row>
    <row r="671" spans="3:3" x14ac:dyDescent="0.3">
      <c r="C671" s="54"/>
    </row>
    <row r="672" spans="3:3" x14ac:dyDescent="0.3">
      <c r="C672" s="54"/>
    </row>
    <row r="673" spans="3:3" x14ac:dyDescent="0.3">
      <c r="C673" s="54"/>
    </row>
    <row r="674" spans="3:3" x14ac:dyDescent="0.3">
      <c r="C674" s="54"/>
    </row>
    <row r="675" spans="3:3" x14ac:dyDescent="0.3">
      <c r="C675" s="54"/>
    </row>
    <row r="676" spans="3:3" x14ac:dyDescent="0.3">
      <c r="C676" s="54"/>
    </row>
    <row r="677" spans="3:3" x14ac:dyDescent="0.3">
      <c r="C677" s="54"/>
    </row>
    <row r="678" spans="3:3" x14ac:dyDescent="0.3">
      <c r="C678" s="54"/>
    </row>
    <row r="679" spans="3:3" x14ac:dyDescent="0.3">
      <c r="C679" s="54"/>
    </row>
    <row r="680" spans="3:3" x14ac:dyDescent="0.3">
      <c r="C680" s="54"/>
    </row>
    <row r="681" spans="3:3" x14ac:dyDescent="0.3">
      <c r="C681" s="54"/>
    </row>
    <row r="682" spans="3:3" x14ac:dyDescent="0.3">
      <c r="C682" s="54"/>
    </row>
    <row r="683" spans="3:3" x14ac:dyDescent="0.3">
      <c r="C683" s="54"/>
    </row>
    <row r="684" spans="3:3" x14ac:dyDescent="0.3">
      <c r="C684" s="54"/>
    </row>
    <row r="685" spans="3:3" x14ac:dyDescent="0.3">
      <c r="C685" s="54"/>
    </row>
    <row r="686" spans="3:3" x14ac:dyDescent="0.3">
      <c r="C686" s="54"/>
    </row>
    <row r="687" spans="3:3" x14ac:dyDescent="0.3">
      <c r="C687" s="54"/>
    </row>
    <row r="688" spans="3:3" x14ac:dyDescent="0.3">
      <c r="C688" s="54"/>
    </row>
    <row r="689" spans="3:3" x14ac:dyDescent="0.3">
      <c r="C689" s="54"/>
    </row>
    <row r="690" spans="3:3" x14ac:dyDescent="0.3">
      <c r="C690" s="54"/>
    </row>
    <row r="691" spans="3:3" x14ac:dyDescent="0.3">
      <c r="C691" s="54"/>
    </row>
    <row r="692" spans="3:3" x14ac:dyDescent="0.3">
      <c r="C692" s="54"/>
    </row>
    <row r="693" spans="3:3" x14ac:dyDescent="0.3">
      <c r="C693" s="54"/>
    </row>
    <row r="694" spans="3:3" x14ac:dyDescent="0.3">
      <c r="C694" s="54"/>
    </row>
    <row r="695" spans="3:3" x14ac:dyDescent="0.3">
      <c r="C695" s="54"/>
    </row>
    <row r="696" spans="3:3" x14ac:dyDescent="0.3">
      <c r="C696" s="54"/>
    </row>
    <row r="697" spans="3:3" x14ac:dyDescent="0.3">
      <c r="C697" s="54"/>
    </row>
    <row r="698" spans="3:3" x14ac:dyDescent="0.3">
      <c r="C698" s="54"/>
    </row>
    <row r="699" spans="3:3" x14ac:dyDescent="0.3">
      <c r="C699" s="54"/>
    </row>
    <row r="700" spans="3:3" x14ac:dyDescent="0.3">
      <c r="C700" s="54"/>
    </row>
    <row r="701" spans="3:3" x14ac:dyDescent="0.3">
      <c r="C701" s="54"/>
    </row>
    <row r="702" spans="3:3" x14ac:dyDescent="0.3">
      <c r="C702" s="54"/>
    </row>
    <row r="703" spans="3:3" x14ac:dyDescent="0.3">
      <c r="C703" s="54"/>
    </row>
    <row r="704" spans="3:3" x14ac:dyDescent="0.3">
      <c r="C704" s="54"/>
    </row>
    <row r="705" spans="3:3" x14ac:dyDescent="0.3">
      <c r="C705" s="54"/>
    </row>
    <row r="706" spans="3:3" x14ac:dyDescent="0.3">
      <c r="C706" s="54"/>
    </row>
    <row r="707" spans="3:3" x14ac:dyDescent="0.3">
      <c r="C707" s="54"/>
    </row>
    <row r="708" spans="3:3" x14ac:dyDescent="0.3">
      <c r="C708" s="54"/>
    </row>
    <row r="709" spans="3:3" x14ac:dyDescent="0.3">
      <c r="C709" s="54"/>
    </row>
    <row r="710" spans="3:3" x14ac:dyDescent="0.3">
      <c r="C710" s="54"/>
    </row>
    <row r="711" spans="3:3" x14ac:dyDescent="0.3">
      <c r="C711" s="54"/>
    </row>
    <row r="712" spans="3:3" x14ac:dyDescent="0.3">
      <c r="C712" s="54"/>
    </row>
    <row r="713" spans="3:3" x14ac:dyDescent="0.3">
      <c r="C713" s="54"/>
    </row>
    <row r="714" spans="3:3" x14ac:dyDescent="0.3">
      <c r="C714" s="54"/>
    </row>
    <row r="715" spans="3:3" x14ac:dyDescent="0.3">
      <c r="C715" s="54"/>
    </row>
    <row r="716" spans="3:3" x14ac:dyDescent="0.3">
      <c r="C716" s="54"/>
    </row>
    <row r="717" spans="3:3" x14ac:dyDescent="0.3">
      <c r="C717" s="54"/>
    </row>
    <row r="718" spans="3:3" x14ac:dyDescent="0.3">
      <c r="C718" s="54"/>
    </row>
    <row r="719" spans="3:3" x14ac:dyDescent="0.3">
      <c r="C719" s="54"/>
    </row>
    <row r="720" spans="3:3" x14ac:dyDescent="0.3">
      <c r="C720" s="54"/>
    </row>
    <row r="721" spans="3:3" x14ac:dyDescent="0.3">
      <c r="C721" s="54"/>
    </row>
    <row r="722" spans="3:3" x14ac:dyDescent="0.3">
      <c r="C722" s="54"/>
    </row>
    <row r="723" spans="3:3" x14ac:dyDescent="0.3">
      <c r="C723" s="54"/>
    </row>
    <row r="724" spans="3:3" x14ac:dyDescent="0.3">
      <c r="C724" s="54"/>
    </row>
    <row r="725" spans="3:3" x14ac:dyDescent="0.3">
      <c r="C725" s="54"/>
    </row>
    <row r="726" spans="3:3" x14ac:dyDescent="0.3">
      <c r="C726" s="54"/>
    </row>
    <row r="727" spans="3:3" x14ac:dyDescent="0.3">
      <c r="C727" s="54"/>
    </row>
    <row r="728" spans="3:3" x14ac:dyDescent="0.3">
      <c r="C728" s="54"/>
    </row>
    <row r="729" spans="3:3" x14ac:dyDescent="0.3">
      <c r="C729" s="54"/>
    </row>
    <row r="730" spans="3:3" x14ac:dyDescent="0.3">
      <c r="C730" s="54"/>
    </row>
    <row r="731" spans="3:3" x14ac:dyDescent="0.3">
      <c r="C731" s="54"/>
    </row>
    <row r="732" spans="3:3" x14ac:dyDescent="0.3">
      <c r="C732" s="54"/>
    </row>
    <row r="733" spans="3:3" x14ac:dyDescent="0.3">
      <c r="C733" s="54"/>
    </row>
    <row r="734" spans="3:3" x14ac:dyDescent="0.3">
      <c r="C734" s="54"/>
    </row>
    <row r="735" spans="3:3" x14ac:dyDescent="0.3">
      <c r="C735" s="54"/>
    </row>
    <row r="736" spans="3:3" x14ac:dyDescent="0.3">
      <c r="C736" s="54"/>
    </row>
    <row r="737" spans="3:3" x14ac:dyDescent="0.3">
      <c r="C737" s="54"/>
    </row>
    <row r="738" spans="3:3" x14ac:dyDescent="0.3">
      <c r="C738" s="54"/>
    </row>
    <row r="739" spans="3:3" x14ac:dyDescent="0.3">
      <c r="C739" s="54"/>
    </row>
    <row r="740" spans="3:3" x14ac:dyDescent="0.3">
      <c r="C740" s="54"/>
    </row>
    <row r="741" spans="3:3" x14ac:dyDescent="0.3">
      <c r="C741" s="54"/>
    </row>
    <row r="742" spans="3:3" x14ac:dyDescent="0.3">
      <c r="C742" s="54"/>
    </row>
    <row r="743" spans="3:3" x14ac:dyDescent="0.3">
      <c r="C743" s="54"/>
    </row>
    <row r="744" spans="3:3" x14ac:dyDescent="0.3">
      <c r="C744" s="54"/>
    </row>
    <row r="745" spans="3:3" x14ac:dyDescent="0.3">
      <c r="C745" s="54"/>
    </row>
    <row r="746" spans="3:3" x14ac:dyDescent="0.3">
      <c r="C746" s="54"/>
    </row>
    <row r="747" spans="3:3" x14ac:dyDescent="0.3">
      <c r="C747" s="54"/>
    </row>
    <row r="748" spans="3:3" x14ac:dyDescent="0.3">
      <c r="C748" s="54"/>
    </row>
    <row r="749" spans="3:3" x14ac:dyDescent="0.3">
      <c r="C749" s="54"/>
    </row>
    <row r="750" spans="3:3" x14ac:dyDescent="0.3">
      <c r="C750" s="54"/>
    </row>
    <row r="751" spans="3:3" x14ac:dyDescent="0.3">
      <c r="C751" s="54"/>
    </row>
    <row r="752" spans="3:3" x14ac:dyDescent="0.3">
      <c r="C752" s="54"/>
    </row>
    <row r="753" spans="3:3" x14ac:dyDescent="0.3">
      <c r="C753" s="54"/>
    </row>
    <row r="754" spans="3:3" x14ac:dyDescent="0.3">
      <c r="C754" s="54"/>
    </row>
    <row r="755" spans="3:3" x14ac:dyDescent="0.3">
      <c r="C755" s="54"/>
    </row>
    <row r="756" spans="3:3" x14ac:dyDescent="0.3">
      <c r="C756" s="54"/>
    </row>
    <row r="757" spans="3:3" x14ac:dyDescent="0.3">
      <c r="C757" s="54"/>
    </row>
    <row r="758" spans="3:3" x14ac:dyDescent="0.3">
      <c r="C758" s="54"/>
    </row>
    <row r="759" spans="3:3" x14ac:dyDescent="0.3">
      <c r="C759" s="54"/>
    </row>
    <row r="760" spans="3:3" x14ac:dyDescent="0.3">
      <c r="C760" s="54"/>
    </row>
    <row r="761" spans="3:3" x14ac:dyDescent="0.3">
      <c r="C761" s="54"/>
    </row>
    <row r="762" spans="3:3" x14ac:dyDescent="0.3">
      <c r="C762" s="54"/>
    </row>
    <row r="763" spans="3:3" x14ac:dyDescent="0.3">
      <c r="C763" s="54"/>
    </row>
    <row r="764" spans="3:3" x14ac:dyDescent="0.3">
      <c r="C764" s="54"/>
    </row>
    <row r="765" spans="3:3" x14ac:dyDescent="0.3">
      <c r="C765" s="54"/>
    </row>
    <row r="766" spans="3:3" x14ac:dyDescent="0.3">
      <c r="C766" s="54"/>
    </row>
    <row r="767" spans="3:3" x14ac:dyDescent="0.3">
      <c r="C767" s="54"/>
    </row>
    <row r="768" spans="3:3" x14ac:dyDescent="0.3">
      <c r="C768" s="54"/>
    </row>
    <row r="769" spans="3:3" x14ac:dyDescent="0.3">
      <c r="C769" s="54"/>
    </row>
    <row r="770" spans="3:3" x14ac:dyDescent="0.3">
      <c r="C770" s="54"/>
    </row>
    <row r="771" spans="3:3" x14ac:dyDescent="0.3">
      <c r="C771" s="54"/>
    </row>
    <row r="772" spans="3:3" x14ac:dyDescent="0.3">
      <c r="C772" s="54"/>
    </row>
    <row r="773" spans="3:3" x14ac:dyDescent="0.3">
      <c r="C773" s="54"/>
    </row>
    <row r="774" spans="3:3" x14ac:dyDescent="0.3">
      <c r="C774" s="54"/>
    </row>
    <row r="775" spans="3:3" x14ac:dyDescent="0.3">
      <c r="C775" s="54"/>
    </row>
    <row r="776" spans="3:3" x14ac:dyDescent="0.3">
      <c r="C776" s="54"/>
    </row>
    <row r="777" spans="3:3" x14ac:dyDescent="0.3">
      <c r="C777" s="54"/>
    </row>
    <row r="778" spans="3:3" x14ac:dyDescent="0.3">
      <c r="C778" s="54"/>
    </row>
    <row r="779" spans="3:3" x14ac:dyDescent="0.3">
      <c r="C779" s="54"/>
    </row>
    <row r="780" spans="3:3" x14ac:dyDescent="0.3">
      <c r="C780" s="54"/>
    </row>
    <row r="781" spans="3:3" x14ac:dyDescent="0.3">
      <c r="C781" s="54"/>
    </row>
    <row r="782" spans="3:3" x14ac:dyDescent="0.3">
      <c r="C782" s="54"/>
    </row>
    <row r="783" spans="3:3" x14ac:dyDescent="0.3">
      <c r="C783" s="54"/>
    </row>
    <row r="784" spans="3:3" x14ac:dyDescent="0.3">
      <c r="C784" s="54"/>
    </row>
    <row r="785" spans="3:3" x14ac:dyDescent="0.3">
      <c r="C785" s="54"/>
    </row>
    <row r="786" spans="3:3" x14ac:dyDescent="0.3">
      <c r="C786" s="54"/>
    </row>
    <row r="787" spans="3:3" x14ac:dyDescent="0.3">
      <c r="C787" s="54"/>
    </row>
    <row r="788" spans="3:3" x14ac:dyDescent="0.3">
      <c r="C788" s="54"/>
    </row>
    <row r="789" spans="3:3" x14ac:dyDescent="0.3">
      <c r="C789" s="54"/>
    </row>
    <row r="790" spans="3:3" x14ac:dyDescent="0.3">
      <c r="C790" s="54"/>
    </row>
    <row r="791" spans="3:3" x14ac:dyDescent="0.3">
      <c r="C791" s="54"/>
    </row>
    <row r="792" spans="3:3" x14ac:dyDescent="0.3">
      <c r="C792" s="54"/>
    </row>
    <row r="793" spans="3:3" x14ac:dyDescent="0.3">
      <c r="C793" s="54"/>
    </row>
    <row r="794" spans="3:3" x14ac:dyDescent="0.3">
      <c r="C794" s="54"/>
    </row>
    <row r="795" spans="3:3" x14ac:dyDescent="0.3">
      <c r="C795" s="54"/>
    </row>
    <row r="796" spans="3:3" x14ac:dyDescent="0.3">
      <c r="C796" s="54"/>
    </row>
    <row r="797" spans="3:3" x14ac:dyDescent="0.3">
      <c r="C797" s="54"/>
    </row>
    <row r="798" spans="3:3" x14ac:dyDescent="0.3">
      <c r="C798" s="54"/>
    </row>
    <row r="799" spans="3:3" x14ac:dyDescent="0.3">
      <c r="C799" s="54"/>
    </row>
    <row r="800" spans="3:3" x14ac:dyDescent="0.3">
      <c r="C800" s="54"/>
    </row>
    <row r="801" spans="3:3" x14ac:dyDescent="0.3">
      <c r="C801" s="54"/>
    </row>
    <row r="802" spans="3:3" x14ac:dyDescent="0.3">
      <c r="C802" s="54"/>
    </row>
    <row r="803" spans="3:3" x14ac:dyDescent="0.3">
      <c r="C803" s="54"/>
    </row>
    <row r="804" spans="3:3" x14ac:dyDescent="0.3">
      <c r="C804" s="54"/>
    </row>
    <row r="805" spans="3:3" x14ac:dyDescent="0.3">
      <c r="C805" s="54"/>
    </row>
    <row r="806" spans="3:3" x14ac:dyDescent="0.3">
      <c r="C806" s="54"/>
    </row>
    <row r="807" spans="3:3" x14ac:dyDescent="0.3">
      <c r="C807" s="54"/>
    </row>
    <row r="808" spans="3:3" x14ac:dyDescent="0.3">
      <c r="C808" s="54"/>
    </row>
    <row r="809" spans="3:3" x14ac:dyDescent="0.3">
      <c r="C809" s="54"/>
    </row>
    <row r="810" spans="3:3" x14ac:dyDescent="0.3">
      <c r="C810" s="54"/>
    </row>
    <row r="811" spans="3:3" x14ac:dyDescent="0.3">
      <c r="C811" s="54"/>
    </row>
    <row r="812" spans="3:3" x14ac:dyDescent="0.3">
      <c r="C812" s="54"/>
    </row>
    <row r="813" spans="3:3" x14ac:dyDescent="0.3">
      <c r="C813" s="54"/>
    </row>
    <row r="814" spans="3:3" x14ac:dyDescent="0.3">
      <c r="C814" s="54"/>
    </row>
    <row r="815" spans="3:3" x14ac:dyDescent="0.3">
      <c r="C815" s="54"/>
    </row>
    <row r="816" spans="3:3" x14ac:dyDescent="0.3">
      <c r="C816" s="54"/>
    </row>
    <row r="817" spans="3:3" x14ac:dyDescent="0.3">
      <c r="C817" s="54"/>
    </row>
    <row r="818" spans="3:3" x14ac:dyDescent="0.3">
      <c r="C818" s="54"/>
    </row>
    <row r="819" spans="3:3" x14ac:dyDescent="0.3">
      <c r="C819" s="54"/>
    </row>
    <row r="820" spans="3:3" x14ac:dyDescent="0.3">
      <c r="C820" s="54"/>
    </row>
    <row r="821" spans="3:3" x14ac:dyDescent="0.3">
      <c r="C821" s="54"/>
    </row>
    <row r="822" spans="3:3" x14ac:dyDescent="0.3">
      <c r="C822" s="54"/>
    </row>
    <row r="823" spans="3:3" x14ac:dyDescent="0.3">
      <c r="C823" s="54"/>
    </row>
    <row r="824" spans="3:3" x14ac:dyDescent="0.3">
      <c r="C824" s="54"/>
    </row>
    <row r="825" spans="3:3" x14ac:dyDescent="0.3">
      <c r="C825" s="54"/>
    </row>
    <row r="826" spans="3:3" x14ac:dyDescent="0.3">
      <c r="C826" s="54"/>
    </row>
    <row r="827" spans="3:3" x14ac:dyDescent="0.3">
      <c r="C827" s="54"/>
    </row>
    <row r="828" spans="3:3" x14ac:dyDescent="0.3">
      <c r="C828" s="54"/>
    </row>
    <row r="829" spans="3:3" x14ac:dyDescent="0.3">
      <c r="C829" s="54"/>
    </row>
    <row r="830" spans="3:3" x14ac:dyDescent="0.3">
      <c r="C830" s="54"/>
    </row>
    <row r="831" spans="3:3" x14ac:dyDescent="0.3">
      <c r="C831" s="54"/>
    </row>
    <row r="832" spans="3:3" x14ac:dyDescent="0.3">
      <c r="C832" s="54"/>
    </row>
    <row r="833" spans="3:3" x14ac:dyDescent="0.3">
      <c r="C833" s="54"/>
    </row>
    <row r="834" spans="3:3" x14ac:dyDescent="0.3">
      <c r="C834" s="54"/>
    </row>
    <row r="835" spans="3:3" x14ac:dyDescent="0.3">
      <c r="C835" s="54"/>
    </row>
    <row r="836" spans="3:3" x14ac:dyDescent="0.3">
      <c r="C836" s="54"/>
    </row>
    <row r="837" spans="3:3" x14ac:dyDescent="0.3">
      <c r="C837" s="54"/>
    </row>
    <row r="838" spans="3:3" x14ac:dyDescent="0.3">
      <c r="C838" s="54"/>
    </row>
    <row r="839" spans="3:3" x14ac:dyDescent="0.3">
      <c r="C839" s="54"/>
    </row>
    <row r="840" spans="3:3" x14ac:dyDescent="0.3">
      <c r="C840" s="54"/>
    </row>
    <row r="841" spans="3:3" x14ac:dyDescent="0.3">
      <c r="C841" s="54"/>
    </row>
    <row r="842" spans="3:3" x14ac:dyDescent="0.3">
      <c r="C842" s="54"/>
    </row>
    <row r="843" spans="3:3" x14ac:dyDescent="0.3">
      <c r="C843" s="54"/>
    </row>
    <row r="844" spans="3:3" x14ac:dyDescent="0.3">
      <c r="C844" s="54"/>
    </row>
    <row r="845" spans="3:3" x14ac:dyDescent="0.3">
      <c r="C845" s="54"/>
    </row>
    <row r="846" spans="3:3" x14ac:dyDescent="0.3">
      <c r="C846" s="54"/>
    </row>
    <row r="847" spans="3:3" x14ac:dyDescent="0.3">
      <c r="C847" s="54"/>
    </row>
    <row r="848" spans="3:3" x14ac:dyDescent="0.3">
      <c r="C848" s="54"/>
    </row>
    <row r="849" spans="3:3" x14ac:dyDescent="0.3">
      <c r="C849" s="54"/>
    </row>
    <row r="850" spans="3:3" x14ac:dyDescent="0.3">
      <c r="C850" s="54"/>
    </row>
    <row r="851" spans="3:3" x14ac:dyDescent="0.3">
      <c r="C851" s="54"/>
    </row>
    <row r="852" spans="3:3" x14ac:dyDescent="0.3">
      <c r="C852" s="54"/>
    </row>
    <row r="853" spans="3:3" x14ac:dyDescent="0.3">
      <c r="C853" s="54"/>
    </row>
    <row r="854" spans="3:3" x14ac:dyDescent="0.3">
      <c r="C854" s="54"/>
    </row>
    <row r="855" spans="3:3" x14ac:dyDescent="0.3">
      <c r="C855" s="54"/>
    </row>
    <row r="856" spans="3:3" x14ac:dyDescent="0.3">
      <c r="C856" s="54"/>
    </row>
    <row r="857" spans="3:3" x14ac:dyDescent="0.3">
      <c r="C857" s="54"/>
    </row>
    <row r="858" spans="3:3" x14ac:dyDescent="0.3">
      <c r="C858" s="54"/>
    </row>
    <row r="859" spans="3:3" x14ac:dyDescent="0.3">
      <c r="C859" s="54"/>
    </row>
    <row r="860" spans="3:3" x14ac:dyDescent="0.3">
      <c r="C860" s="54"/>
    </row>
    <row r="861" spans="3:3" x14ac:dyDescent="0.3">
      <c r="C861" s="54"/>
    </row>
    <row r="862" spans="3:3" x14ac:dyDescent="0.3">
      <c r="C862" s="54"/>
    </row>
    <row r="863" spans="3:3" x14ac:dyDescent="0.3">
      <c r="C863" s="54"/>
    </row>
    <row r="864" spans="3:3" x14ac:dyDescent="0.3">
      <c r="C864" s="54"/>
    </row>
    <row r="865" spans="3:3" x14ac:dyDescent="0.3">
      <c r="C865" s="54"/>
    </row>
    <row r="866" spans="3:3" x14ac:dyDescent="0.3">
      <c r="C866" s="54"/>
    </row>
    <row r="867" spans="3:3" x14ac:dyDescent="0.3">
      <c r="C867" s="54"/>
    </row>
    <row r="868" spans="3:3" x14ac:dyDescent="0.3">
      <c r="C868" s="54"/>
    </row>
    <row r="869" spans="3:3" x14ac:dyDescent="0.3">
      <c r="C869" s="54"/>
    </row>
    <row r="870" spans="3:3" x14ac:dyDescent="0.3">
      <c r="C870" s="54"/>
    </row>
    <row r="871" spans="3:3" x14ac:dyDescent="0.3">
      <c r="C871" s="54"/>
    </row>
    <row r="872" spans="3:3" x14ac:dyDescent="0.3">
      <c r="C872" s="54"/>
    </row>
    <row r="873" spans="3:3" x14ac:dyDescent="0.3">
      <c r="C873" s="54"/>
    </row>
    <row r="874" spans="3:3" x14ac:dyDescent="0.3">
      <c r="C874" s="54"/>
    </row>
    <row r="875" spans="3:3" x14ac:dyDescent="0.3">
      <c r="C875" s="54"/>
    </row>
    <row r="876" spans="3:3" x14ac:dyDescent="0.3">
      <c r="C876" s="54"/>
    </row>
    <row r="877" spans="3:3" x14ac:dyDescent="0.3">
      <c r="C877" s="54"/>
    </row>
    <row r="878" spans="3:3" x14ac:dyDescent="0.3">
      <c r="C878" s="54"/>
    </row>
    <row r="879" spans="3:3" x14ac:dyDescent="0.3">
      <c r="C879" s="54"/>
    </row>
    <row r="880" spans="3:3" x14ac:dyDescent="0.3">
      <c r="C880" s="54"/>
    </row>
    <row r="881" spans="3:3" x14ac:dyDescent="0.3">
      <c r="C881" s="54"/>
    </row>
    <row r="882" spans="3:3" x14ac:dyDescent="0.3">
      <c r="C882" s="54"/>
    </row>
    <row r="883" spans="3:3" x14ac:dyDescent="0.3">
      <c r="C883" s="54"/>
    </row>
    <row r="884" spans="3:3" x14ac:dyDescent="0.3">
      <c r="C884" s="54"/>
    </row>
    <row r="885" spans="3:3" x14ac:dyDescent="0.3">
      <c r="C885" s="54"/>
    </row>
    <row r="886" spans="3:3" x14ac:dyDescent="0.3">
      <c r="C886" s="54"/>
    </row>
    <row r="887" spans="3:3" x14ac:dyDescent="0.3">
      <c r="C887" s="54"/>
    </row>
    <row r="888" spans="3:3" x14ac:dyDescent="0.3">
      <c r="C888" s="54"/>
    </row>
    <row r="889" spans="3:3" x14ac:dyDescent="0.3">
      <c r="C889" s="54"/>
    </row>
    <row r="890" spans="3:3" x14ac:dyDescent="0.3">
      <c r="C890" s="54"/>
    </row>
    <row r="891" spans="3:3" x14ac:dyDescent="0.3">
      <c r="C891" s="54"/>
    </row>
    <row r="892" spans="3:3" x14ac:dyDescent="0.3">
      <c r="C892" s="54"/>
    </row>
    <row r="893" spans="3:3" x14ac:dyDescent="0.3">
      <c r="C893" s="54"/>
    </row>
    <row r="894" spans="3:3" x14ac:dyDescent="0.3">
      <c r="C894" s="54"/>
    </row>
    <row r="895" spans="3:3" x14ac:dyDescent="0.3">
      <c r="C895" s="54"/>
    </row>
    <row r="896" spans="3:3" x14ac:dyDescent="0.3">
      <c r="C896" s="54"/>
    </row>
    <row r="897" spans="3:3" x14ac:dyDescent="0.3">
      <c r="C897" s="54"/>
    </row>
    <row r="898" spans="3:3" x14ac:dyDescent="0.3">
      <c r="C898" s="54"/>
    </row>
    <row r="899" spans="3:3" x14ac:dyDescent="0.3">
      <c r="C899" s="54"/>
    </row>
    <row r="900" spans="3:3" x14ac:dyDescent="0.3">
      <c r="C900" s="54"/>
    </row>
    <row r="901" spans="3:3" x14ac:dyDescent="0.3">
      <c r="C901" s="54"/>
    </row>
    <row r="902" spans="3:3" x14ac:dyDescent="0.3">
      <c r="C902" s="54"/>
    </row>
    <row r="903" spans="3:3" x14ac:dyDescent="0.3">
      <c r="C903" s="54"/>
    </row>
    <row r="904" spans="3:3" x14ac:dyDescent="0.3">
      <c r="C904" s="54"/>
    </row>
    <row r="905" spans="3:3" x14ac:dyDescent="0.3">
      <c r="C905" s="54"/>
    </row>
    <row r="906" spans="3:3" x14ac:dyDescent="0.3">
      <c r="C906" s="54"/>
    </row>
    <row r="907" spans="3:3" x14ac:dyDescent="0.3">
      <c r="C907" s="54"/>
    </row>
    <row r="908" spans="3:3" x14ac:dyDescent="0.3">
      <c r="C908" s="54"/>
    </row>
    <row r="909" spans="3:3" x14ac:dyDescent="0.3">
      <c r="C909" s="54"/>
    </row>
    <row r="910" spans="3:3" x14ac:dyDescent="0.3">
      <c r="C910" s="54"/>
    </row>
    <row r="911" spans="3:3" x14ac:dyDescent="0.3">
      <c r="C911" s="54"/>
    </row>
    <row r="912" spans="3:3" x14ac:dyDescent="0.3">
      <c r="C912" s="54"/>
    </row>
    <row r="913" spans="3:3" x14ac:dyDescent="0.3">
      <c r="C913" s="54"/>
    </row>
    <row r="914" spans="3:3" x14ac:dyDescent="0.3">
      <c r="C914" s="54"/>
    </row>
    <row r="915" spans="3:3" x14ac:dyDescent="0.3">
      <c r="C915" s="54"/>
    </row>
    <row r="916" spans="3:3" x14ac:dyDescent="0.3">
      <c r="C916" s="54"/>
    </row>
    <row r="917" spans="3:3" x14ac:dyDescent="0.3">
      <c r="C917" s="54"/>
    </row>
    <row r="918" spans="3:3" x14ac:dyDescent="0.3">
      <c r="C918" s="54"/>
    </row>
    <row r="919" spans="3:3" x14ac:dyDescent="0.3">
      <c r="C919" s="54"/>
    </row>
    <row r="920" spans="3:3" x14ac:dyDescent="0.3">
      <c r="C920" s="54"/>
    </row>
    <row r="921" spans="3:3" x14ac:dyDescent="0.3">
      <c r="C921" s="54"/>
    </row>
    <row r="922" spans="3:3" x14ac:dyDescent="0.3">
      <c r="C922" s="54"/>
    </row>
    <row r="923" spans="3:3" x14ac:dyDescent="0.3">
      <c r="C923" s="54"/>
    </row>
    <row r="924" spans="3:3" x14ac:dyDescent="0.3">
      <c r="C924" s="54"/>
    </row>
    <row r="925" spans="3:3" x14ac:dyDescent="0.3">
      <c r="C925" s="54"/>
    </row>
    <row r="926" spans="3:3" x14ac:dyDescent="0.3">
      <c r="C926" s="54"/>
    </row>
    <row r="927" spans="3:3" x14ac:dyDescent="0.3">
      <c r="C927" s="54"/>
    </row>
    <row r="928" spans="3:3" x14ac:dyDescent="0.3">
      <c r="C928" s="54"/>
    </row>
    <row r="929" spans="3:3" x14ac:dyDescent="0.3">
      <c r="C929" s="54"/>
    </row>
    <row r="930" spans="3:3" x14ac:dyDescent="0.3">
      <c r="C930" s="54"/>
    </row>
    <row r="931" spans="3:3" x14ac:dyDescent="0.3">
      <c r="C931" s="54"/>
    </row>
    <row r="932" spans="3:3" x14ac:dyDescent="0.3">
      <c r="C932" s="54"/>
    </row>
    <row r="933" spans="3:3" x14ac:dyDescent="0.3">
      <c r="C933" s="54"/>
    </row>
    <row r="934" spans="3:3" x14ac:dyDescent="0.3">
      <c r="C934" s="54"/>
    </row>
    <row r="935" spans="3:3" x14ac:dyDescent="0.3">
      <c r="C935" s="54"/>
    </row>
    <row r="936" spans="3:3" x14ac:dyDescent="0.3">
      <c r="C936" s="54"/>
    </row>
    <row r="937" spans="3:3" x14ac:dyDescent="0.3">
      <c r="C937" s="54"/>
    </row>
    <row r="938" spans="3:3" x14ac:dyDescent="0.3">
      <c r="C938" s="54"/>
    </row>
    <row r="939" spans="3:3" x14ac:dyDescent="0.3">
      <c r="C939" s="54"/>
    </row>
    <row r="940" spans="3:3" x14ac:dyDescent="0.3">
      <c r="C940" s="54"/>
    </row>
    <row r="941" spans="3:3" x14ac:dyDescent="0.3">
      <c r="C941" s="54"/>
    </row>
    <row r="942" spans="3:3" x14ac:dyDescent="0.3">
      <c r="C942" s="54"/>
    </row>
    <row r="943" spans="3:3" x14ac:dyDescent="0.3">
      <c r="C943" s="54"/>
    </row>
    <row r="944" spans="3:3" x14ac:dyDescent="0.3">
      <c r="C944" s="54"/>
    </row>
    <row r="945" spans="3:3" x14ac:dyDescent="0.3">
      <c r="C945" s="54"/>
    </row>
    <row r="946" spans="3:3" x14ac:dyDescent="0.3">
      <c r="C946" s="54"/>
    </row>
    <row r="947" spans="3:3" x14ac:dyDescent="0.3">
      <c r="C947" s="54"/>
    </row>
    <row r="948" spans="3:3" x14ac:dyDescent="0.3">
      <c r="C948" s="54"/>
    </row>
    <row r="949" spans="3:3" x14ac:dyDescent="0.3">
      <c r="C949" s="54"/>
    </row>
    <row r="950" spans="3:3" x14ac:dyDescent="0.3">
      <c r="C950" s="54"/>
    </row>
    <row r="951" spans="3:3" x14ac:dyDescent="0.3">
      <c r="C951" s="54"/>
    </row>
    <row r="952" spans="3:3" x14ac:dyDescent="0.3">
      <c r="C952" s="54"/>
    </row>
    <row r="953" spans="3:3" x14ac:dyDescent="0.3">
      <c r="C953" s="54"/>
    </row>
    <row r="954" spans="3:3" x14ac:dyDescent="0.3">
      <c r="C954" s="54"/>
    </row>
    <row r="955" spans="3:3" x14ac:dyDescent="0.3">
      <c r="C955" s="54"/>
    </row>
    <row r="956" spans="3:3" x14ac:dyDescent="0.3">
      <c r="C956" s="54"/>
    </row>
    <row r="957" spans="3:3" x14ac:dyDescent="0.3">
      <c r="C957" s="54"/>
    </row>
    <row r="958" spans="3:3" x14ac:dyDescent="0.3">
      <c r="C958" s="54"/>
    </row>
    <row r="959" spans="3:3" x14ac:dyDescent="0.3">
      <c r="C959" s="54"/>
    </row>
    <row r="960" spans="3:3" x14ac:dyDescent="0.3">
      <c r="C960" s="54"/>
    </row>
    <row r="961" spans="3:3" x14ac:dyDescent="0.3">
      <c r="C961" s="54"/>
    </row>
    <row r="962" spans="3:3" x14ac:dyDescent="0.3">
      <c r="C962" s="54"/>
    </row>
    <row r="963" spans="3:3" x14ac:dyDescent="0.3">
      <c r="C963" s="54"/>
    </row>
    <row r="964" spans="3:3" x14ac:dyDescent="0.3">
      <c r="C964" s="54"/>
    </row>
    <row r="965" spans="3:3" x14ac:dyDescent="0.3">
      <c r="C965" s="54"/>
    </row>
    <row r="966" spans="3:3" x14ac:dyDescent="0.3">
      <c r="C966" s="54"/>
    </row>
    <row r="967" spans="3:3" x14ac:dyDescent="0.3">
      <c r="C967" s="54"/>
    </row>
    <row r="968" spans="3:3" x14ac:dyDescent="0.3">
      <c r="C968" s="54"/>
    </row>
    <row r="969" spans="3:3" x14ac:dyDescent="0.3">
      <c r="C969" s="54"/>
    </row>
    <row r="970" spans="3:3" x14ac:dyDescent="0.3">
      <c r="C970" s="54"/>
    </row>
    <row r="971" spans="3:3" x14ac:dyDescent="0.3">
      <c r="C971" s="54"/>
    </row>
    <row r="972" spans="3:3" x14ac:dyDescent="0.3">
      <c r="C972" s="54"/>
    </row>
    <row r="973" spans="3:3" x14ac:dyDescent="0.3">
      <c r="C973" s="54"/>
    </row>
    <row r="974" spans="3:3" x14ac:dyDescent="0.3">
      <c r="C974" s="54"/>
    </row>
    <row r="975" spans="3:3" x14ac:dyDescent="0.3">
      <c r="C975" s="54"/>
    </row>
    <row r="976" spans="3:3" x14ac:dyDescent="0.3">
      <c r="C976" s="54"/>
    </row>
    <row r="977" spans="3:3" x14ac:dyDescent="0.3">
      <c r="C977" s="54"/>
    </row>
    <row r="978" spans="3:3" x14ac:dyDescent="0.3">
      <c r="C978" s="54"/>
    </row>
    <row r="979" spans="3:3" x14ac:dyDescent="0.3">
      <c r="C979" s="54"/>
    </row>
    <row r="980" spans="3:3" x14ac:dyDescent="0.3">
      <c r="C980" s="54"/>
    </row>
    <row r="981" spans="3:3" x14ac:dyDescent="0.3">
      <c r="C981" s="54"/>
    </row>
    <row r="982" spans="3:3" x14ac:dyDescent="0.3">
      <c r="C982" s="54"/>
    </row>
    <row r="983" spans="3:3" x14ac:dyDescent="0.3">
      <c r="C983" s="54"/>
    </row>
    <row r="984" spans="3:3" x14ac:dyDescent="0.3">
      <c r="C984" s="54"/>
    </row>
    <row r="985" spans="3:3" x14ac:dyDescent="0.3">
      <c r="C985" s="54"/>
    </row>
    <row r="986" spans="3:3" x14ac:dyDescent="0.3">
      <c r="C986" s="54"/>
    </row>
    <row r="987" spans="3:3" x14ac:dyDescent="0.3">
      <c r="C987" s="54"/>
    </row>
    <row r="988" spans="3:3" x14ac:dyDescent="0.3">
      <c r="C988" s="54"/>
    </row>
    <row r="989" spans="3:3" x14ac:dyDescent="0.3">
      <c r="C989" s="54"/>
    </row>
    <row r="990" spans="3:3" x14ac:dyDescent="0.3">
      <c r="C990" s="54"/>
    </row>
    <row r="991" spans="3:3" x14ac:dyDescent="0.3">
      <c r="C991" s="54"/>
    </row>
    <row r="992" spans="3:3" x14ac:dyDescent="0.3">
      <c r="C992" s="54"/>
    </row>
    <row r="993" spans="3:3" x14ac:dyDescent="0.3">
      <c r="C993" s="54"/>
    </row>
    <row r="994" spans="3:3" x14ac:dyDescent="0.3">
      <c r="C994" s="54"/>
    </row>
    <row r="995" spans="3:3" x14ac:dyDescent="0.3">
      <c r="C995" s="54"/>
    </row>
    <row r="996" spans="3:3" x14ac:dyDescent="0.3">
      <c r="C996" s="54"/>
    </row>
    <row r="997" spans="3:3" x14ac:dyDescent="0.3">
      <c r="C997" s="54"/>
    </row>
    <row r="998" spans="3:3" x14ac:dyDescent="0.3">
      <c r="C998" s="54"/>
    </row>
    <row r="999" spans="3:3" x14ac:dyDescent="0.3">
      <c r="C999" s="54"/>
    </row>
    <row r="1000" spans="3:3" x14ac:dyDescent="0.3">
      <c r="C1000" s="54"/>
    </row>
    <row r="1001" spans="3:3" x14ac:dyDescent="0.3">
      <c r="C1001" s="54"/>
    </row>
    <row r="1002" spans="3:3" x14ac:dyDescent="0.3">
      <c r="C1002" s="54"/>
    </row>
    <row r="1003" spans="3:3" x14ac:dyDescent="0.3">
      <c r="C1003" s="54"/>
    </row>
    <row r="1004" spans="3:3" x14ac:dyDescent="0.3">
      <c r="C1004" s="54"/>
    </row>
    <row r="1005" spans="3:3" x14ac:dyDescent="0.3">
      <c r="C1005" s="54"/>
    </row>
    <row r="1006" spans="3:3" x14ac:dyDescent="0.3">
      <c r="C1006" s="54"/>
    </row>
    <row r="1007" spans="3:3" x14ac:dyDescent="0.3">
      <c r="C1007" s="54"/>
    </row>
    <row r="1008" spans="3:3" x14ac:dyDescent="0.3">
      <c r="C1008" s="54"/>
    </row>
    <row r="1009" spans="3:3" x14ac:dyDescent="0.3">
      <c r="C1009" s="54"/>
    </row>
    <row r="1010" spans="3:3" x14ac:dyDescent="0.3">
      <c r="C1010" s="54"/>
    </row>
    <row r="1011" spans="3:3" x14ac:dyDescent="0.3">
      <c r="C1011" s="54"/>
    </row>
    <row r="1012" spans="3:3" x14ac:dyDescent="0.3">
      <c r="C1012" s="54"/>
    </row>
    <row r="1013" spans="3:3" x14ac:dyDescent="0.3">
      <c r="C1013" s="54"/>
    </row>
    <row r="1014" spans="3:3" x14ac:dyDescent="0.3">
      <c r="C1014" s="54"/>
    </row>
    <row r="1015" spans="3:3" x14ac:dyDescent="0.3">
      <c r="C1015" s="54"/>
    </row>
    <row r="1016" spans="3:3" x14ac:dyDescent="0.3">
      <c r="C1016" s="54"/>
    </row>
    <row r="1017" spans="3:3" x14ac:dyDescent="0.3">
      <c r="C1017" s="54"/>
    </row>
    <row r="1018" spans="3:3" x14ac:dyDescent="0.3">
      <c r="C1018" s="54"/>
    </row>
    <row r="1019" spans="3:3" x14ac:dyDescent="0.3">
      <c r="C1019" s="54"/>
    </row>
    <row r="1020" spans="3:3" x14ac:dyDescent="0.3">
      <c r="C1020" s="54"/>
    </row>
    <row r="1021" spans="3:3" x14ac:dyDescent="0.3">
      <c r="C1021" s="54"/>
    </row>
    <row r="1022" spans="3:3" x14ac:dyDescent="0.3">
      <c r="C1022" s="54"/>
    </row>
    <row r="1023" spans="3:3" x14ac:dyDescent="0.3">
      <c r="C1023" s="54"/>
    </row>
    <row r="1024" spans="3:3" x14ac:dyDescent="0.3">
      <c r="C1024" s="54"/>
    </row>
    <row r="1025" spans="3:3" x14ac:dyDescent="0.3">
      <c r="C1025" s="54"/>
    </row>
    <row r="1026" spans="3:3" x14ac:dyDescent="0.3">
      <c r="C1026" s="54"/>
    </row>
    <row r="1027" spans="3:3" x14ac:dyDescent="0.3">
      <c r="C1027" s="54"/>
    </row>
    <row r="1028" spans="3:3" x14ac:dyDescent="0.3">
      <c r="C1028" s="54"/>
    </row>
    <row r="1029" spans="3:3" x14ac:dyDescent="0.3">
      <c r="C1029" s="54"/>
    </row>
    <row r="1030" spans="3:3" x14ac:dyDescent="0.3">
      <c r="C1030" s="54"/>
    </row>
    <row r="1031" spans="3:3" x14ac:dyDescent="0.3">
      <c r="C1031" s="54"/>
    </row>
    <row r="1032" spans="3:3" x14ac:dyDescent="0.3">
      <c r="C1032" s="54"/>
    </row>
    <row r="1033" spans="3:3" x14ac:dyDescent="0.3">
      <c r="C1033" s="54"/>
    </row>
    <row r="1034" spans="3:3" x14ac:dyDescent="0.3">
      <c r="C1034" s="54"/>
    </row>
    <row r="1035" spans="3:3" x14ac:dyDescent="0.3">
      <c r="C1035" s="54"/>
    </row>
    <row r="1036" spans="3:3" x14ac:dyDescent="0.3">
      <c r="C1036" s="54"/>
    </row>
    <row r="1037" spans="3:3" x14ac:dyDescent="0.3">
      <c r="C1037" s="54"/>
    </row>
    <row r="1038" spans="3:3" x14ac:dyDescent="0.3">
      <c r="C1038" s="54"/>
    </row>
    <row r="1039" spans="3:3" x14ac:dyDescent="0.3">
      <c r="C1039" s="54"/>
    </row>
    <row r="1040" spans="3:3" x14ac:dyDescent="0.3">
      <c r="C1040" s="54"/>
    </row>
    <row r="1041" spans="3:3" x14ac:dyDescent="0.3">
      <c r="C1041" s="54"/>
    </row>
    <row r="1042" spans="3:3" x14ac:dyDescent="0.3">
      <c r="C1042" s="54"/>
    </row>
    <row r="1043" spans="3:3" x14ac:dyDescent="0.3">
      <c r="C1043" s="54"/>
    </row>
    <row r="1044" spans="3:3" x14ac:dyDescent="0.3">
      <c r="C1044" s="54"/>
    </row>
    <row r="1045" spans="3:3" x14ac:dyDescent="0.3">
      <c r="C1045" s="54"/>
    </row>
    <row r="1046" spans="3:3" x14ac:dyDescent="0.3">
      <c r="C1046" s="54"/>
    </row>
    <row r="1047" spans="3:3" x14ac:dyDescent="0.3">
      <c r="C1047" s="54"/>
    </row>
    <row r="1048" spans="3:3" x14ac:dyDescent="0.3">
      <c r="C1048" s="54"/>
    </row>
    <row r="1049" spans="3:3" x14ac:dyDescent="0.3">
      <c r="C1049" s="54"/>
    </row>
    <row r="1050" spans="3:3" x14ac:dyDescent="0.3">
      <c r="C1050" s="54"/>
    </row>
    <row r="1051" spans="3:3" x14ac:dyDescent="0.3">
      <c r="C1051" s="54"/>
    </row>
    <row r="1052" spans="3:3" x14ac:dyDescent="0.3">
      <c r="C1052" s="54"/>
    </row>
    <row r="1053" spans="3:3" x14ac:dyDescent="0.3">
      <c r="C1053" s="54"/>
    </row>
    <row r="1054" spans="3:3" x14ac:dyDescent="0.3">
      <c r="C1054" s="54"/>
    </row>
    <row r="1055" spans="3:3" x14ac:dyDescent="0.3">
      <c r="C1055" s="54"/>
    </row>
    <row r="1056" spans="3:3" x14ac:dyDescent="0.3">
      <c r="C1056" s="54"/>
    </row>
    <row r="1057" spans="3:3" x14ac:dyDescent="0.3">
      <c r="C1057" s="54"/>
    </row>
    <row r="1058" spans="3:3" x14ac:dyDescent="0.3">
      <c r="C1058" s="54"/>
    </row>
    <row r="1059" spans="3:3" x14ac:dyDescent="0.3">
      <c r="C1059" s="54"/>
    </row>
    <row r="1060" spans="3:3" x14ac:dyDescent="0.3">
      <c r="C1060" s="54"/>
    </row>
    <row r="1061" spans="3:3" x14ac:dyDescent="0.3">
      <c r="C1061" s="54"/>
    </row>
    <row r="1062" spans="3:3" x14ac:dyDescent="0.3">
      <c r="C1062" s="54"/>
    </row>
    <row r="1063" spans="3:3" x14ac:dyDescent="0.3">
      <c r="C1063" s="54"/>
    </row>
    <row r="1064" spans="3:3" x14ac:dyDescent="0.3">
      <c r="C1064" s="54"/>
    </row>
    <row r="1065" spans="3:3" x14ac:dyDescent="0.3">
      <c r="C1065" s="54"/>
    </row>
    <row r="1066" spans="3:3" x14ac:dyDescent="0.3">
      <c r="C1066" s="54"/>
    </row>
    <row r="1067" spans="3:3" x14ac:dyDescent="0.3">
      <c r="C1067" s="54"/>
    </row>
    <row r="1068" spans="3:3" x14ac:dyDescent="0.3">
      <c r="C1068" s="54"/>
    </row>
    <row r="1069" spans="3:3" x14ac:dyDescent="0.3">
      <c r="C1069" s="54"/>
    </row>
    <row r="1070" spans="3:3" x14ac:dyDescent="0.3">
      <c r="C1070" s="54"/>
    </row>
    <row r="1071" spans="3:3" x14ac:dyDescent="0.3">
      <c r="C1071" s="54"/>
    </row>
    <row r="1072" spans="3:3" x14ac:dyDescent="0.3">
      <c r="C1072" s="54"/>
    </row>
    <row r="1073" spans="3:3" x14ac:dyDescent="0.3">
      <c r="C1073" s="54"/>
    </row>
    <row r="1074" spans="3:3" x14ac:dyDescent="0.3">
      <c r="C1074" s="54"/>
    </row>
    <row r="1075" spans="3:3" x14ac:dyDescent="0.3">
      <c r="C1075" s="54"/>
    </row>
    <row r="1076" spans="3:3" x14ac:dyDescent="0.3">
      <c r="C1076" s="54"/>
    </row>
    <row r="1077" spans="3:3" x14ac:dyDescent="0.3">
      <c r="C1077" s="54"/>
    </row>
    <row r="1078" spans="3:3" x14ac:dyDescent="0.3">
      <c r="C1078" s="54"/>
    </row>
    <row r="1079" spans="3:3" x14ac:dyDescent="0.3">
      <c r="C1079" s="54"/>
    </row>
    <row r="1080" spans="3:3" x14ac:dyDescent="0.3">
      <c r="C1080" s="54"/>
    </row>
    <row r="1081" spans="3:3" x14ac:dyDescent="0.3">
      <c r="C1081" s="54"/>
    </row>
    <row r="1082" spans="3:3" x14ac:dyDescent="0.3">
      <c r="C1082" s="54"/>
    </row>
    <row r="1083" spans="3:3" x14ac:dyDescent="0.3">
      <c r="C1083" s="54"/>
    </row>
    <row r="1084" spans="3:3" x14ac:dyDescent="0.3">
      <c r="C1084" s="54"/>
    </row>
    <row r="1085" spans="3:3" x14ac:dyDescent="0.3">
      <c r="C1085" s="54"/>
    </row>
    <row r="1086" spans="3:3" x14ac:dyDescent="0.3">
      <c r="C1086" s="54"/>
    </row>
    <row r="1087" spans="3:3" x14ac:dyDescent="0.3">
      <c r="C1087" s="54"/>
    </row>
    <row r="1088" spans="3:3" x14ac:dyDescent="0.3">
      <c r="C1088" s="54"/>
    </row>
    <row r="1089" spans="3:3" x14ac:dyDescent="0.3">
      <c r="C1089" s="54"/>
    </row>
    <row r="1090" spans="3:3" x14ac:dyDescent="0.3">
      <c r="C1090" s="54"/>
    </row>
    <row r="1091" spans="3:3" x14ac:dyDescent="0.3">
      <c r="C1091" s="54"/>
    </row>
    <row r="1092" spans="3:3" x14ac:dyDescent="0.3">
      <c r="C1092" s="54"/>
    </row>
    <row r="1093" spans="3:3" x14ac:dyDescent="0.3">
      <c r="C1093" s="54"/>
    </row>
    <row r="1094" spans="3:3" x14ac:dyDescent="0.3">
      <c r="C1094" s="54"/>
    </row>
    <row r="1095" spans="3:3" x14ac:dyDescent="0.3">
      <c r="C1095" s="54"/>
    </row>
    <row r="1096" spans="3:3" x14ac:dyDescent="0.3">
      <c r="C1096" s="54"/>
    </row>
    <row r="1097" spans="3:3" x14ac:dyDescent="0.3">
      <c r="C1097" s="54"/>
    </row>
    <row r="1098" spans="3:3" x14ac:dyDescent="0.3">
      <c r="C1098" s="54"/>
    </row>
    <row r="1099" spans="3:3" x14ac:dyDescent="0.3">
      <c r="C1099" s="54"/>
    </row>
    <row r="1100" spans="3:3" x14ac:dyDescent="0.3">
      <c r="C1100" s="54"/>
    </row>
    <row r="1101" spans="3:3" x14ac:dyDescent="0.3">
      <c r="C1101" s="54"/>
    </row>
    <row r="1102" spans="3:3" x14ac:dyDescent="0.3">
      <c r="C1102" s="54"/>
    </row>
    <row r="1103" spans="3:3" x14ac:dyDescent="0.3">
      <c r="C1103" s="54"/>
    </row>
    <row r="1104" spans="3:3" x14ac:dyDescent="0.3">
      <c r="C1104" s="54"/>
    </row>
    <row r="1105" spans="3:3" x14ac:dyDescent="0.3">
      <c r="C1105" s="54"/>
    </row>
    <row r="1106" spans="3:3" x14ac:dyDescent="0.3">
      <c r="C1106" s="54"/>
    </row>
    <row r="1107" spans="3:3" x14ac:dyDescent="0.3">
      <c r="C1107" s="54"/>
    </row>
    <row r="1108" spans="3:3" x14ac:dyDescent="0.3">
      <c r="C1108" s="54"/>
    </row>
    <row r="1109" spans="3:3" x14ac:dyDescent="0.3">
      <c r="C1109" s="54"/>
    </row>
    <row r="1110" spans="3:3" x14ac:dyDescent="0.3">
      <c r="C1110" s="54"/>
    </row>
    <row r="1111" spans="3:3" x14ac:dyDescent="0.3">
      <c r="C1111" s="54"/>
    </row>
    <row r="1112" spans="3:3" x14ac:dyDescent="0.3">
      <c r="C1112" s="54"/>
    </row>
    <row r="1113" spans="3:3" x14ac:dyDescent="0.3">
      <c r="C1113" s="54"/>
    </row>
    <row r="1114" spans="3:3" x14ac:dyDescent="0.3">
      <c r="C1114" s="54"/>
    </row>
    <row r="1115" spans="3:3" x14ac:dyDescent="0.3">
      <c r="C1115" s="54"/>
    </row>
    <row r="1116" spans="3:3" x14ac:dyDescent="0.3">
      <c r="C1116" s="54"/>
    </row>
    <row r="1117" spans="3:3" x14ac:dyDescent="0.3">
      <c r="C1117" s="54"/>
    </row>
    <row r="1118" spans="3:3" x14ac:dyDescent="0.3">
      <c r="C1118" s="54"/>
    </row>
    <row r="1119" spans="3:3" x14ac:dyDescent="0.3">
      <c r="C1119" s="54"/>
    </row>
    <row r="1120" spans="3:3" x14ac:dyDescent="0.3">
      <c r="C1120" s="54"/>
    </row>
    <row r="1121" spans="3:3" x14ac:dyDescent="0.3">
      <c r="C1121" s="54"/>
    </row>
    <row r="1122" spans="3:3" x14ac:dyDescent="0.3">
      <c r="C1122" s="54"/>
    </row>
    <row r="1123" spans="3:3" x14ac:dyDescent="0.3">
      <c r="C1123" s="54"/>
    </row>
    <row r="1124" spans="3:3" x14ac:dyDescent="0.3">
      <c r="C1124" s="54"/>
    </row>
    <row r="1125" spans="3:3" x14ac:dyDescent="0.3">
      <c r="C1125" s="54"/>
    </row>
    <row r="1126" spans="3:3" x14ac:dyDescent="0.3">
      <c r="C1126" s="54"/>
    </row>
    <row r="1127" spans="3:3" x14ac:dyDescent="0.3">
      <c r="C1127" s="54"/>
    </row>
    <row r="1128" spans="3:3" x14ac:dyDescent="0.3">
      <c r="C1128" s="54"/>
    </row>
    <row r="1129" spans="3:3" x14ac:dyDescent="0.3">
      <c r="C1129" s="54"/>
    </row>
    <row r="1130" spans="3:3" x14ac:dyDescent="0.3">
      <c r="C1130" s="54"/>
    </row>
    <row r="1131" spans="3:3" x14ac:dyDescent="0.3">
      <c r="C1131" s="54"/>
    </row>
    <row r="1132" spans="3:3" x14ac:dyDescent="0.3">
      <c r="C1132" s="54"/>
    </row>
    <row r="1133" spans="3:3" x14ac:dyDescent="0.3">
      <c r="C1133" s="54"/>
    </row>
    <row r="1134" spans="3:3" x14ac:dyDescent="0.3">
      <c r="C1134" s="54"/>
    </row>
    <row r="1135" spans="3:3" x14ac:dyDescent="0.3">
      <c r="C1135" s="54"/>
    </row>
    <row r="1136" spans="3:3" x14ac:dyDescent="0.3">
      <c r="C1136" s="54"/>
    </row>
    <row r="1137" spans="3:3" x14ac:dyDescent="0.3">
      <c r="C1137" s="54"/>
    </row>
    <row r="1138" spans="3:3" x14ac:dyDescent="0.3">
      <c r="C1138" s="54"/>
    </row>
    <row r="1139" spans="3:3" x14ac:dyDescent="0.3">
      <c r="C1139" s="54"/>
    </row>
    <row r="1140" spans="3:3" x14ac:dyDescent="0.3">
      <c r="C1140" s="54"/>
    </row>
    <row r="1141" spans="3:3" x14ac:dyDescent="0.3">
      <c r="C1141" s="54"/>
    </row>
    <row r="1142" spans="3:3" x14ac:dyDescent="0.3">
      <c r="C1142" s="54"/>
    </row>
    <row r="1143" spans="3:3" x14ac:dyDescent="0.3">
      <c r="C1143" s="54"/>
    </row>
    <row r="1144" spans="3:3" x14ac:dyDescent="0.3">
      <c r="C1144" s="54"/>
    </row>
    <row r="1145" spans="3:3" x14ac:dyDescent="0.3">
      <c r="C1145" s="54"/>
    </row>
    <row r="1146" spans="3:3" x14ac:dyDescent="0.3">
      <c r="C1146" s="54"/>
    </row>
    <row r="1147" spans="3:3" x14ac:dyDescent="0.3">
      <c r="C1147" s="54"/>
    </row>
    <row r="1148" spans="3:3" x14ac:dyDescent="0.3">
      <c r="C1148" s="54"/>
    </row>
    <row r="1149" spans="3:3" x14ac:dyDescent="0.3">
      <c r="C1149" s="54"/>
    </row>
    <row r="1150" spans="3:3" x14ac:dyDescent="0.3">
      <c r="C1150" s="54"/>
    </row>
    <row r="1151" spans="3:3" x14ac:dyDescent="0.3">
      <c r="C1151" s="54"/>
    </row>
    <row r="1152" spans="3:3" x14ac:dyDescent="0.3">
      <c r="C1152" s="54"/>
    </row>
    <row r="1153" spans="3:3" x14ac:dyDescent="0.3">
      <c r="C1153" s="54"/>
    </row>
    <row r="1154" spans="3:3" x14ac:dyDescent="0.3">
      <c r="C1154" s="54"/>
    </row>
    <row r="1155" spans="3:3" x14ac:dyDescent="0.3">
      <c r="C1155" s="54"/>
    </row>
    <row r="1156" spans="3:3" x14ac:dyDescent="0.3">
      <c r="C1156" s="54"/>
    </row>
    <row r="1157" spans="3:3" x14ac:dyDescent="0.3">
      <c r="C1157" s="54"/>
    </row>
    <row r="1158" spans="3:3" x14ac:dyDescent="0.3">
      <c r="C1158" s="54"/>
    </row>
    <row r="1159" spans="3:3" x14ac:dyDescent="0.3">
      <c r="C1159" s="54"/>
    </row>
    <row r="1160" spans="3:3" x14ac:dyDescent="0.3">
      <c r="C1160" s="54"/>
    </row>
    <row r="1161" spans="3:3" x14ac:dyDescent="0.3">
      <c r="C1161" s="54"/>
    </row>
    <row r="1162" spans="3:3" x14ac:dyDescent="0.3">
      <c r="C1162" s="54"/>
    </row>
    <row r="1163" spans="3:3" x14ac:dyDescent="0.3">
      <c r="C1163" s="54"/>
    </row>
    <row r="1164" spans="3:3" x14ac:dyDescent="0.3">
      <c r="C1164" s="54"/>
    </row>
    <row r="1165" spans="3:3" x14ac:dyDescent="0.3">
      <c r="C1165" s="54"/>
    </row>
    <row r="1166" spans="3:3" x14ac:dyDescent="0.3">
      <c r="C1166" s="54"/>
    </row>
    <row r="1167" spans="3:3" x14ac:dyDescent="0.3">
      <c r="C1167" s="54"/>
    </row>
    <row r="1168" spans="3:3" x14ac:dyDescent="0.3">
      <c r="C1168" s="54"/>
    </row>
    <row r="1169" spans="3:3" x14ac:dyDescent="0.3">
      <c r="C1169" s="54"/>
    </row>
    <row r="1170" spans="3:3" x14ac:dyDescent="0.3">
      <c r="C1170" s="54"/>
    </row>
    <row r="1171" spans="3:3" x14ac:dyDescent="0.3">
      <c r="C1171" s="54"/>
    </row>
    <row r="1172" spans="3:3" x14ac:dyDescent="0.3">
      <c r="C1172" s="54"/>
    </row>
    <row r="1173" spans="3:3" x14ac:dyDescent="0.3">
      <c r="C1173" s="54"/>
    </row>
    <row r="1174" spans="3:3" x14ac:dyDescent="0.3">
      <c r="C1174" s="54"/>
    </row>
    <row r="1175" spans="3:3" x14ac:dyDescent="0.3">
      <c r="C1175" s="54"/>
    </row>
    <row r="1176" spans="3:3" x14ac:dyDescent="0.3">
      <c r="C1176" s="54"/>
    </row>
    <row r="1177" spans="3:3" x14ac:dyDescent="0.3">
      <c r="C1177" s="54"/>
    </row>
    <row r="1178" spans="3:3" x14ac:dyDescent="0.3">
      <c r="C1178" s="54"/>
    </row>
    <row r="1179" spans="3:3" x14ac:dyDescent="0.3">
      <c r="C1179" s="54"/>
    </row>
    <row r="1180" spans="3:3" x14ac:dyDescent="0.3">
      <c r="C1180" s="54"/>
    </row>
    <row r="1181" spans="3:3" x14ac:dyDescent="0.3">
      <c r="C1181" s="54"/>
    </row>
    <row r="1182" spans="3:3" x14ac:dyDescent="0.3">
      <c r="C1182" s="54"/>
    </row>
    <row r="1183" spans="3:3" x14ac:dyDescent="0.3">
      <c r="C1183" s="54"/>
    </row>
    <row r="1184" spans="3:3" x14ac:dyDescent="0.3">
      <c r="C1184" s="54"/>
    </row>
    <row r="1185" spans="3:3" x14ac:dyDescent="0.3">
      <c r="C1185" s="54"/>
    </row>
    <row r="1186" spans="3:3" x14ac:dyDescent="0.3">
      <c r="C1186" s="54"/>
    </row>
    <row r="1187" spans="3:3" x14ac:dyDescent="0.3">
      <c r="C1187" s="54"/>
    </row>
    <row r="1188" spans="3:3" x14ac:dyDescent="0.3">
      <c r="C1188" s="54"/>
    </row>
    <row r="1189" spans="3:3" x14ac:dyDescent="0.3">
      <c r="C1189" s="54"/>
    </row>
    <row r="1190" spans="3:3" x14ac:dyDescent="0.3">
      <c r="C1190" s="54"/>
    </row>
    <row r="1191" spans="3:3" x14ac:dyDescent="0.3">
      <c r="C1191" s="54"/>
    </row>
    <row r="1192" spans="3:3" x14ac:dyDescent="0.3">
      <c r="C1192" s="54"/>
    </row>
    <row r="1193" spans="3:3" x14ac:dyDescent="0.3">
      <c r="C1193" s="54"/>
    </row>
    <row r="1194" spans="3:3" x14ac:dyDescent="0.3">
      <c r="C1194" s="54"/>
    </row>
    <row r="1195" spans="3:3" x14ac:dyDescent="0.3">
      <c r="C1195" s="54"/>
    </row>
    <row r="1196" spans="3:3" x14ac:dyDescent="0.3">
      <c r="C1196" s="54"/>
    </row>
    <row r="1197" spans="3:3" x14ac:dyDescent="0.3">
      <c r="C1197" s="54"/>
    </row>
    <row r="1198" spans="3:3" x14ac:dyDescent="0.3">
      <c r="C1198" s="54"/>
    </row>
    <row r="1199" spans="3:3" x14ac:dyDescent="0.3">
      <c r="C1199" s="54"/>
    </row>
    <row r="1200" spans="3:3" x14ac:dyDescent="0.3">
      <c r="C1200" s="54"/>
    </row>
    <row r="1201" spans="3:3" x14ac:dyDescent="0.3">
      <c r="C1201" s="54"/>
    </row>
    <row r="1202" spans="3:3" x14ac:dyDescent="0.3">
      <c r="C1202" s="54"/>
    </row>
    <row r="1203" spans="3:3" x14ac:dyDescent="0.3">
      <c r="C1203" s="54"/>
    </row>
    <row r="1204" spans="3:3" x14ac:dyDescent="0.3">
      <c r="C1204" s="54"/>
    </row>
    <row r="1205" spans="3:3" x14ac:dyDescent="0.3">
      <c r="C1205" s="54"/>
    </row>
    <row r="1206" spans="3:3" x14ac:dyDescent="0.3">
      <c r="C1206" s="54"/>
    </row>
    <row r="1207" spans="3:3" x14ac:dyDescent="0.3">
      <c r="C1207" s="54"/>
    </row>
    <row r="1208" spans="3:3" x14ac:dyDescent="0.3">
      <c r="C1208" s="54"/>
    </row>
    <row r="1209" spans="3:3" x14ac:dyDescent="0.3">
      <c r="C1209" s="54"/>
    </row>
    <row r="1210" spans="3:3" x14ac:dyDescent="0.3">
      <c r="C1210" s="54"/>
    </row>
    <row r="1211" spans="3:3" x14ac:dyDescent="0.3">
      <c r="C1211" s="54"/>
    </row>
    <row r="1212" spans="3:3" x14ac:dyDescent="0.3">
      <c r="C1212" s="54"/>
    </row>
    <row r="1213" spans="3:3" x14ac:dyDescent="0.3">
      <c r="C1213" s="54"/>
    </row>
    <row r="1214" spans="3:3" x14ac:dyDescent="0.3">
      <c r="C1214" s="54"/>
    </row>
    <row r="1215" spans="3:3" x14ac:dyDescent="0.3">
      <c r="C1215" s="54"/>
    </row>
    <row r="1216" spans="3:3" x14ac:dyDescent="0.3">
      <c r="C1216" s="54"/>
    </row>
    <row r="1217" spans="3:3" x14ac:dyDescent="0.3">
      <c r="C1217" s="54"/>
    </row>
    <row r="1218" spans="3:3" x14ac:dyDescent="0.3">
      <c r="C1218" s="54"/>
    </row>
    <row r="1219" spans="3:3" x14ac:dyDescent="0.3">
      <c r="C1219" s="54"/>
    </row>
    <row r="1220" spans="3:3" x14ac:dyDescent="0.3">
      <c r="C1220" s="54"/>
    </row>
    <row r="1221" spans="3:3" x14ac:dyDescent="0.3">
      <c r="C1221" s="54"/>
    </row>
    <row r="1222" spans="3:3" x14ac:dyDescent="0.3">
      <c r="C1222" s="54"/>
    </row>
    <row r="1223" spans="3:3" x14ac:dyDescent="0.3">
      <c r="C1223" s="54"/>
    </row>
    <row r="1224" spans="3:3" x14ac:dyDescent="0.3">
      <c r="C1224" s="54"/>
    </row>
    <row r="1225" spans="3:3" x14ac:dyDescent="0.3">
      <c r="C1225" s="54"/>
    </row>
    <row r="1226" spans="3:3" x14ac:dyDescent="0.3">
      <c r="C1226" s="54"/>
    </row>
    <row r="1227" spans="3:3" x14ac:dyDescent="0.3">
      <c r="C1227" s="54"/>
    </row>
    <row r="1228" spans="3:3" x14ac:dyDescent="0.3">
      <c r="C1228" s="54"/>
    </row>
    <row r="1229" spans="3:3" x14ac:dyDescent="0.3">
      <c r="C1229" s="54"/>
    </row>
    <row r="1230" spans="3:3" x14ac:dyDescent="0.3">
      <c r="C1230" s="54"/>
    </row>
    <row r="1231" spans="3:3" x14ac:dyDescent="0.3">
      <c r="C1231" s="54"/>
    </row>
    <row r="1232" spans="3:3" x14ac:dyDescent="0.3">
      <c r="C1232" s="54"/>
    </row>
    <row r="1233" spans="3:3" x14ac:dyDescent="0.3">
      <c r="C1233" s="54"/>
    </row>
    <row r="1234" spans="3:3" x14ac:dyDescent="0.3">
      <c r="C1234" s="54"/>
    </row>
    <row r="1235" spans="3:3" x14ac:dyDescent="0.3">
      <c r="C1235" s="54"/>
    </row>
    <row r="1236" spans="3:3" x14ac:dyDescent="0.3">
      <c r="C1236" s="54"/>
    </row>
    <row r="1237" spans="3:3" x14ac:dyDescent="0.3">
      <c r="C1237" s="54"/>
    </row>
    <row r="1238" spans="3:3" x14ac:dyDescent="0.3">
      <c r="C1238" s="54"/>
    </row>
    <row r="1239" spans="3:3" x14ac:dyDescent="0.3">
      <c r="C1239" s="54"/>
    </row>
    <row r="1240" spans="3:3" x14ac:dyDescent="0.3">
      <c r="C1240" s="54"/>
    </row>
    <row r="1241" spans="3:3" x14ac:dyDescent="0.3">
      <c r="C1241" s="54"/>
    </row>
    <row r="1242" spans="3:3" x14ac:dyDescent="0.3">
      <c r="C1242" s="54"/>
    </row>
    <row r="1243" spans="3:3" x14ac:dyDescent="0.3">
      <c r="C1243" s="54"/>
    </row>
    <row r="1244" spans="3:3" x14ac:dyDescent="0.3">
      <c r="C1244" s="54"/>
    </row>
    <row r="1245" spans="3:3" x14ac:dyDescent="0.3">
      <c r="C1245" s="54"/>
    </row>
    <row r="1246" spans="3:3" x14ac:dyDescent="0.3">
      <c r="C1246" s="54"/>
    </row>
    <row r="1247" spans="3:3" x14ac:dyDescent="0.3">
      <c r="C1247" s="54"/>
    </row>
    <row r="1248" spans="3:3" x14ac:dyDescent="0.3">
      <c r="C1248" s="54"/>
    </row>
    <row r="1249" spans="3:3" x14ac:dyDescent="0.3">
      <c r="C1249" s="54"/>
    </row>
    <row r="1250" spans="3:3" x14ac:dyDescent="0.3">
      <c r="C1250" s="54"/>
    </row>
    <row r="1251" spans="3:3" x14ac:dyDescent="0.3">
      <c r="C1251" s="54"/>
    </row>
    <row r="1252" spans="3:3" x14ac:dyDescent="0.3">
      <c r="C1252" s="54"/>
    </row>
    <row r="1253" spans="3:3" x14ac:dyDescent="0.3">
      <c r="C1253" s="54"/>
    </row>
    <row r="1254" spans="3:3" x14ac:dyDescent="0.3">
      <c r="C1254" s="54"/>
    </row>
    <row r="1255" spans="3:3" x14ac:dyDescent="0.3">
      <c r="C1255" s="54"/>
    </row>
    <row r="1256" spans="3:3" x14ac:dyDescent="0.3">
      <c r="C1256" s="54"/>
    </row>
    <row r="1257" spans="3:3" x14ac:dyDescent="0.3">
      <c r="C1257" s="54"/>
    </row>
    <row r="1258" spans="3:3" x14ac:dyDescent="0.3">
      <c r="C1258" s="54"/>
    </row>
    <row r="1259" spans="3:3" x14ac:dyDescent="0.3">
      <c r="C1259" s="54"/>
    </row>
    <row r="1260" spans="3:3" x14ac:dyDescent="0.3">
      <c r="C1260" s="54"/>
    </row>
    <row r="1261" spans="3:3" x14ac:dyDescent="0.3">
      <c r="C1261" s="54"/>
    </row>
    <row r="1262" spans="3:3" x14ac:dyDescent="0.3">
      <c r="C1262" s="54"/>
    </row>
    <row r="1263" spans="3:3" x14ac:dyDescent="0.3">
      <c r="C1263" s="54"/>
    </row>
    <row r="1264" spans="3:3" x14ac:dyDescent="0.3">
      <c r="C1264" s="54"/>
    </row>
    <row r="1265" spans="3:3" x14ac:dyDescent="0.3">
      <c r="C1265" s="54"/>
    </row>
    <row r="1266" spans="3:3" x14ac:dyDescent="0.3">
      <c r="C1266" s="54"/>
    </row>
    <row r="1267" spans="3:3" x14ac:dyDescent="0.3">
      <c r="C1267" s="54"/>
    </row>
    <row r="1268" spans="3:3" x14ac:dyDescent="0.3">
      <c r="C1268" s="54"/>
    </row>
    <row r="1269" spans="3:3" x14ac:dyDescent="0.3">
      <c r="C1269" s="54"/>
    </row>
    <row r="1270" spans="3:3" x14ac:dyDescent="0.3">
      <c r="C1270" s="54"/>
    </row>
    <row r="1271" spans="3:3" x14ac:dyDescent="0.3">
      <c r="C1271" s="54"/>
    </row>
    <row r="1272" spans="3:3" x14ac:dyDescent="0.3">
      <c r="C1272" s="54"/>
    </row>
    <row r="1273" spans="3:3" x14ac:dyDescent="0.3">
      <c r="C1273" s="54"/>
    </row>
    <row r="1274" spans="3:3" x14ac:dyDescent="0.3">
      <c r="C1274" s="54"/>
    </row>
    <row r="1275" spans="3:3" x14ac:dyDescent="0.3">
      <c r="C1275" s="54"/>
    </row>
    <row r="1276" spans="3:3" x14ac:dyDescent="0.3">
      <c r="C1276" s="54"/>
    </row>
    <row r="1277" spans="3:3" x14ac:dyDescent="0.3">
      <c r="C1277" s="54"/>
    </row>
    <row r="1278" spans="3:3" x14ac:dyDescent="0.3">
      <c r="C1278" s="54"/>
    </row>
    <row r="1279" spans="3:3" x14ac:dyDescent="0.3">
      <c r="C1279" s="54"/>
    </row>
    <row r="1280" spans="3:3" x14ac:dyDescent="0.3">
      <c r="C1280" s="54"/>
    </row>
    <row r="1281" spans="3:3" x14ac:dyDescent="0.3">
      <c r="C1281" s="54"/>
    </row>
    <row r="1282" spans="3:3" x14ac:dyDescent="0.3">
      <c r="C1282" s="54"/>
    </row>
    <row r="1283" spans="3:3" x14ac:dyDescent="0.3">
      <c r="C1283" s="54"/>
    </row>
    <row r="1284" spans="3:3" x14ac:dyDescent="0.3">
      <c r="C1284" s="54"/>
    </row>
    <row r="1285" spans="3:3" x14ac:dyDescent="0.3">
      <c r="C1285" s="54"/>
    </row>
    <row r="1286" spans="3:3" x14ac:dyDescent="0.3">
      <c r="C1286" s="54"/>
    </row>
    <row r="1287" spans="3:3" x14ac:dyDescent="0.3">
      <c r="C1287" s="54"/>
    </row>
    <row r="1288" spans="3:3" x14ac:dyDescent="0.3">
      <c r="C1288" s="54"/>
    </row>
    <row r="1289" spans="3:3" x14ac:dyDescent="0.3">
      <c r="C1289" s="54"/>
    </row>
    <row r="1290" spans="3:3" x14ac:dyDescent="0.3">
      <c r="C1290" s="54"/>
    </row>
    <row r="1291" spans="3:3" x14ac:dyDescent="0.3">
      <c r="C1291" s="54"/>
    </row>
    <row r="1292" spans="3:3" x14ac:dyDescent="0.3">
      <c r="C1292" s="54"/>
    </row>
    <row r="1293" spans="3:3" x14ac:dyDescent="0.3">
      <c r="C1293" s="54"/>
    </row>
    <row r="1294" spans="3:3" x14ac:dyDescent="0.3">
      <c r="C1294" s="54"/>
    </row>
    <row r="1295" spans="3:3" x14ac:dyDescent="0.3">
      <c r="C1295" s="54"/>
    </row>
    <row r="1296" spans="3:3" x14ac:dyDescent="0.3">
      <c r="C1296" s="54"/>
    </row>
    <row r="1297" spans="3:3" x14ac:dyDescent="0.3">
      <c r="C1297" s="54"/>
    </row>
    <row r="1298" spans="3:3" x14ac:dyDescent="0.3">
      <c r="C1298" s="54"/>
    </row>
    <row r="1299" spans="3:3" x14ac:dyDescent="0.3">
      <c r="C1299" s="54"/>
    </row>
    <row r="1300" spans="3:3" x14ac:dyDescent="0.3">
      <c r="C1300" s="54"/>
    </row>
    <row r="1301" spans="3:3" x14ac:dyDescent="0.3">
      <c r="C1301" s="54"/>
    </row>
    <row r="1302" spans="3:3" x14ac:dyDescent="0.3">
      <c r="C1302" s="54"/>
    </row>
    <row r="1303" spans="3:3" x14ac:dyDescent="0.3">
      <c r="C1303" s="54"/>
    </row>
    <row r="1304" spans="3:3" x14ac:dyDescent="0.3">
      <c r="C1304" s="54"/>
    </row>
    <row r="1305" spans="3:3" x14ac:dyDescent="0.3">
      <c r="C1305" s="54"/>
    </row>
    <row r="1306" spans="3:3" x14ac:dyDescent="0.3">
      <c r="C1306" s="54"/>
    </row>
    <row r="1307" spans="3:3" x14ac:dyDescent="0.3">
      <c r="C1307" s="54"/>
    </row>
    <row r="1308" spans="3:3" x14ac:dyDescent="0.3">
      <c r="C1308" s="54"/>
    </row>
    <row r="1309" spans="3:3" x14ac:dyDescent="0.3">
      <c r="C1309" s="54"/>
    </row>
    <row r="1310" spans="3:3" x14ac:dyDescent="0.3">
      <c r="C1310" s="54"/>
    </row>
    <row r="1311" spans="3:3" x14ac:dyDescent="0.3">
      <c r="C1311" s="54"/>
    </row>
    <row r="1312" spans="3:3" x14ac:dyDescent="0.3">
      <c r="C1312" s="54"/>
    </row>
    <row r="1313" spans="3:3" x14ac:dyDescent="0.3">
      <c r="C1313" s="54"/>
    </row>
    <row r="1314" spans="3:3" x14ac:dyDescent="0.3">
      <c r="C1314" s="54"/>
    </row>
    <row r="1315" spans="3:3" x14ac:dyDescent="0.3">
      <c r="C1315" s="54"/>
    </row>
    <row r="1316" spans="3:3" x14ac:dyDescent="0.3">
      <c r="C1316" s="54"/>
    </row>
    <row r="1317" spans="3:3" x14ac:dyDescent="0.3">
      <c r="C1317" s="54"/>
    </row>
    <row r="1318" spans="3:3" x14ac:dyDescent="0.3">
      <c r="C1318" s="54"/>
    </row>
    <row r="1319" spans="3:3" x14ac:dyDescent="0.3">
      <c r="C1319" s="54"/>
    </row>
    <row r="1320" spans="3:3" x14ac:dyDescent="0.3">
      <c r="C1320" s="54"/>
    </row>
    <row r="1321" spans="3:3" x14ac:dyDescent="0.3">
      <c r="C1321" s="54"/>
    </row>
    <row r="1322" spans="3:3" x14ac:dyDescent="0.3">
      <c r="C1322" s="54"/>
    </row>
    <row r="1323" spans="3:3" x14ac:dyDescent="0.3">
      <c r="C1323" s="54"/>
    </row>
    <row r="1324" spans="3:3" x14ac:dyDescent="0.3">
      <c r="C1324" s="54"/>
    </row>
    <row r="1325" spans="3:3" x14ac:dyDescent="0.3">
      <c r="C1325" s="54"/>
    </row>
    <row r="1326" spans="3:3" x14ac:dyDescent="0.3">
      <c r="C1326" s="54"/>
    </row>
    <row r="1327" spans="3:3" x14ac:dyDescent="0.3">
      <c r="C1327" s="54"/>
    </row>
    <row r="1328" spans="3:3" x14ac:dyDescent="0.3">
      <c r="C1328" s="54"/>
    </row>
    <row r="1329" spans="3:3" x14ac:dyDescent="0.3">
      <c r="C1329" s="54"/>
    </row>
    <row r="1330" spans="3:3" x14ac:dyDescent="0.3">
      <c r="C1330" s="54"/>
    </row>
    <row r="1331" spans="3:3" x14ac:dyDescent="0.3">
      <c r="C1331" s="54"/>
    </row>
    <row r="1332" spans="3:3" x14ac:dyDescent="0.3">
      <c r="C1332" s="54"/>
    </row>
    <row r="1333" spans="3:3" x14ac:dyDescent="0.3">
      <c r="C1333" s="54"/>
    </row>
    <row r="1334" spans="3:3" x14ac:dyDescent="0.3">
      <c r="C1334" s="54"/>
    </row>
    <row r="1335" spans="3:3" x14ac:dyDescent="0.3">
      <c r="C1335" s="54"/>
    </row>
    <row r="1336" spans="3:3" x14ac:dyDescent="0.3">
      <c r="C1336" s="54"/>
    </row>
    <row r="1337" spans="3:3" x14ac:dyDescent="0.3">
      <c r="C1337" s="54"/>
    </row>
    <row r="1338" spans="3:3" x14ac:dyDescent="0.3">
      <c r="C1338" s="54"/>
    </row>
    <row r="1339" spans="3:3" x14ac:dyDescent="0.3">
      <c r="C1339" s="54"/>
    </row>
    <row r="1340" spans="3:3" x14ac:dyDescent="0.3">
      <c r="C1340" s="54"/>
    </row>
    <row r="1341" spans="3:3" x14ac:dyDescent="0.3">
      <c r="C1341" s="54"/>
    </row>
    <row r="1342" spans="3:3" x14ac:dyDescent="0.3">
      <c r="C1342" s="54"/>
    </row>
    <row r="1343" spans="3:3" x14ac:dyDescent="0.3">
      <c r="C1343" s="54"/>
    </row>
    <row r="1344" spans="3:3" x14ac:dyDescent="0.3">
      <c r="C1344" s="54"/>
    </row>
    <row r="1345" spans="3:3" x14ac:dyDescent="0.3">
      <c r="C1345" s="54"/>
    </row>
    <row r="1346" spans="3:3" x14ac:dyDescent="0.3">
      <c r="C1346" s="54"/>
    </row>
    <row r="1347" spans="3:3" x14ac:dyDescent="0.3">
      <c r="C1347" s="54"/>
    </row>
    <row r="1348" spans="3:3" x14ac:dyDescent="0.3">
      <c r="C1348" s="54"/>
    </row>
    <row r="1349" spans="3:3" x14ac:dyDescent="0.3">
      <c r="C1349" s="54"/>
    </row>
    <row r="1350" spans="3:3" x14ac:dyDescent="0.3">
      <c r="C1350" s="54"/>
    </row>
    <row r="1351" spans="3:3" x14ac:dyDescent="0.3">
      <c r="C1351" s="54"/>
    </row>
    <row r="1352" spans="3:3" x14ac:dyDescent="0.3">
      <c r="C1352" s="54"/>
    </row>
    <row r="1353" spans="3:3" x14ac:dyDescent="0.3">
      <c r="C1353" s="54"/>
    </row>
    <row r="1354" spans="3:3" x14ac:dyDescent="0.3">
      <c r="C1354" s="54"/>
    </row>
    <row r="1355" spans="3:3" x14ac:dyDescent="0.3">
      <c r="C1355" s="54"/>
    </row>
    <row r="1356" spans="3:3" x14ac:dyDescent="0.3">
      <c r="C1356" s="54"/>
    </row>
    <row r="1357" spans="3:3" x14ac:dyDescent="0.3">
      <c r="C1357" s="54"/>
    </row>
    <row r="1358" spans="3:3" x14ac:dyDescent="0.3">
      <c r="C1358" s="54"/>
    </row>
    <row r="1359" spans="3:3" x14ac:dyDescent="0.3">
      <c r="C1359" s="54"/>
    </row>
    <row r="1360" spans="3:3" x14ac:dyDescent="0.3">
      <c r="C1360" s="54"/>
    </row>
    <row r="1361" spans="3:3" x14ac:dyDescent="0.3">
      <c r="C1361" s="54"/>
    </row>
    <row r="1362" spans="3:3" x14ac:dyDescent="0.3">
      <c r="C1362" s="54"/>
    </row>
    <row r="1363" spans="3:3" x14ac:dyDescent="0.3">
      <c r="C1363" s="54"/>
    </row>
    <row r="1364" spans="3:3" x14ac:dyDescent="0.3">
      <c r="C1364" s="54"/>
    </row>
    <row r="1365" spans="3:3" x14ac:dyDescent="0.3">
      <c r="C1365" s="54"/>
    </row>
    <row r="1366" spans="3:3" x14ac:dyDescent="0.3">
      <c r="C1366" s="54"/>
    </row>
    <row r="1367" spans="3:3" x14ac:dyDescent="0.3">
      <c r="C1367" s="54"/>
    </row>
    <row r="1368" spans="3:3" x14ac:dyDescent="0.3">
      <c r="C1368" s="54"/>
    </row>
    <row r="1369" spans="3:3" x14ac:dyDescent="0.3">
      <c r="C1369" s="54"/>
    </row>
    <row r="1370" spans="3:3" x14ac:dyDescent="0.3">
      <c r="C1370" s="54"/>
    </row>
    <row r="1371" spans="3:3" x14ac:dyDescent="0.3">
      <c r="C1371" s="54"/>
    </row>
    <row r="1372" spans="3:3" x14ac:dyDescent="0.3">
      <c r="C1372" s="54"/>
    </row>
    <row r="1373" spans="3:3" x14ac:dyDescent="0.3">
      <c r="C1373" s="54"/>
    </row>
    <row r="1374" spans="3:3" x14ac:dyDescent="0.3">
      <c r="C1374" s="54"/>
    </row>
    <row r="1375" spans="3:3" x14ac:dyDescent="0.3">
      <c r="C1375" s="54"/>
    </row>
    <row r="1376" spans="3:3" x14ac:dyDescent="0.3">
      <c r="C1376" s="54"/>
    </row>
    <row r="1377" spans="3:3" x14ac:dyDescent="0.3">
      <c r="C1377" s="54"/>
    </row>
    <row r="1378" spans="3:3" x14ac:dyDescent="0.3">
      <c r="C1378" s="54"/>
    </row>
    <row r="1379" spans="3:3" x14ac:dyDescent="0.3">
      <c r="C1379" s="54"/>
    </row>
    <row r="1380" spans="3:3" x14ac:dyDescent="0.3">
      <c r="C1380" s="54"/>
    </row>
    <row r="1381" spans="3:3" x14ac:dyDescent="0.3">
      <c r="C1381" s="54"/>
    </row>
    <row r="1382" spans="3:3" x14ac:dyDescent="0.3">
      <c r="C1382" s="54"/>
    </row>
    <row r="1383" spans="3:3" x14ac:dyDescent="0.3">
      <c r="C1383" s="54"/>
    </row>
    <row r="1384" spans="3:3" x14ac:dyDescent="0.3">
      <c r="C1384" s="54"/>
    </row>
    <row r="1385" spans="3:3" x14ac:dyDescent="0.3">
      <c r="C1385" s="54"/>
    </row>
    <row r="1386" spans="3:3" x14ac:dyDescent="0.3">
      <c r="C1386" s="54"/>
    </row>
    <row r="1387" spans="3:3" x14ac:dyDescent="0.3">
      <c r="C1387" s="54"/>
    </row>
    <row r="1388" spans="3:3" x14ac:dyDescent="0.3">
      <c r="C1388" s="54"/>
    </row>
    <row r="1389" spans="3:3" x14ac:dyDescent="0.3">
      <c r="C1389" s="54"/>
    </row>
    <row r="1390" spans="3:3" x14ac:dyDescent="0.3">
      <c r="C1390" s="54"/>
    </row>
    <row r="1391" spans="3:3" x14ac:dyDescent="0.3">
      <c r="C1391" s="54"/>
    </row>
    <row r="1392" spans="3:3" x14ac:dyDescent="0.3">
      <c r="C1392" s="54"/>
    </row>
    <row r="1393" spans="3:3" x14ac:dyDescent="0.3">
      <c r="C1393" s="54"/>
    </row>
    <row r="1394" spans="3:3" x14ac:dyDescent="0.3">
      <c r="C1394" s="54"/>
    </row>
    <row r="1395" spans="3:3" x14ac:dyDescent="0.3">
      <c r="C1395" s="54"/>
    </row>
    <row r="1396" spans="3:3" x14ac:dyDescent="0.3">
      <c r="C1396" s="54"/>
    </row>
    <row r="1397" spans="3:3" x14ac:dyDescent="0.3">
      <c r="C1397" s="54"/>
    </row>
    <row r="1398" spans="3:3" x14ac:dyDescent="0.3">
      <c r="C1398" s="54"/>
    </row>
    <row r="1399" spans="3:3" x14ac:dyDescent="0.3">
      <c r="C1399" s="54"/>
    </row>
    <row r="1400" spans="3:3" x14ac:dyDescent="0.3">
      <c r="C1400" s="54"/>
    </row>
    <row r="1401" spans="3:3" x14ac:dyDescent="0.3">
      <c r="C1401" s="54"/>
    </row>
    <row r="1402" spans="3:3" x14ac:dyDescent="0.3">
      <c r="C1402" s="54"/>
    </row>
    <row r="1403" spans="3:3" x14ac:dyDescent="0.3">
      <c r="C1403" s="54"/>
    </row>
    <row r="1404" spans="3:3" x14ac:dyDescent="0.3">
      <c r="C1404" s="54"/>
    </row>
    <row r="1405" spans="3:3" x14ac:dyDescent="0.3">
      <c r="C1405" s="54"/>
    </row>
    <row r="1406" spans="3:3" x14ac:dyDescent="0.3">
      <c r="C1406" s="54"/>
    </row>
    <row r="1407" spans="3:3" x14ac:dyDescent="0.3">
      <c r="C1407" s="54"/>
    </row>
    <row r="1408" spans="3:3" x14ac:dyDescent="0.3">
      <c r="C1408" s="54"/>
    </row>
    <row r="1409" spans="3:3" x14ac:dyDescent="0.3">
      <c r="C1409" s="54"/>
    </row>
    <row r="1410" spans="3:3" x14ac:dyDescent="0.3">
      <c r="C1410" s="54"/>
    </row>
    <row r="1411" spans="3:3" x14ac:dyDescent="0.3">
      <c r="C1411" s="54"/>
    </row>
    <row r="1412" spans="3:3" x14ac:dyDescent="0.3">
      <c r="C1412" s="54"/>
    </row>
    <row r="1413" spans="3:3" x14ac:dyDescent="0.3">
      <c r="C1413" s="54"/>
    </row>
    <row r="1414" spans="3:3" x14ac:dyDescent="0.3">
      <c r="C1414" s="54"/>
    </row>
    <row r="1415" spans="3:3" x14ac:dyDescent="0.3">
      <c r="C1415" s="54"/>
    </row>
    <row r="1416" spans="3:3" x14ac:dyDescent="0.3">
      <c r="C1416" s="54"/>
    </row>
    <row r="1417" spans="3:3" x14ac:dyDescent="0.3">
      <c r="C1417" s="54"/>
    </row>
    <row r="1418" spans="3:3" x14ac:dyDescent="0.3">
      <c r="C1418" s="54"/>
    </row>
    <row r="1419" spans="3:3" x14ac:dyDescent="0.3">
      <c r="C1419" s="54"/>
    </row>
    <row r="1420" spans="3:3" x14ac:dyDescent="0.3">
      <c r="C1420" s="54"/>
    </row>
    <row r="1421" spans="3:3" x14ac:dyDescent="0.3">
      <c r="C1421" s="54"/>
    </row>
    <row r="1422" spans="3:3" x14ac:dyDescent="0.3">
      <c r="C1422" s="54"/>
    </row>
    <row r="1423" spans="3:3" x14ac:dyDescent="0.3">
      <c r="C1423" s="54"/>
    </row>
    <row r="1424" spans="3:3" x14ac:dyDescent="0.3">
      <c r="C1424" s="54"/>
    </row>
    <row r="1425" spans="3:3" x14ac:dyDescent="0.3">
      <c r="C1425" s="54"/>
    </row>
    <row r="1426" spans="3:3" x14ac:dyDescent="0.3">
      <c r="C1426" s="54"/>
    </row>
    <row r="1427" spans="3:3" x14ac:dyDescent="0.3">
      <c r="C1427" s="54"/>
    </row>
    <row r="1428" spans="3:3" x14ac:dyDescent="0.3">
      <c r="C1428" s="54"/>
    </row>
    <row r="1429" spans="3:3" x14ac:dyDescent="0.3">
      <c r="C1429" s="54"/>
    </row>
    <row r="1430" spans="3:3" x14ac:dyDescent="0.3">
      <c r="C1430" s="54"/>
    </row>
    <row r="1431" spans="3:3" x14ac:dyDescent="0.3">
      <c r="C1431" s="54"/>
    </row>
    <row r="1432" spans="3:3" x14ac:dyDescent="0.3">
      <c r="C1432" s="54"/>
    </row>
    <row r="1433" spans="3:3" x14ac:dyDescent="0.3">
      <c r="C1433" s="54"/>
    </row>
    <row r="1434" spans="3:3" x14ac:dyDescent="0.3">
      <c r="C1434" s="54"/>
    </row>
    <row r="1435" spans="3:3" x14ac:dyDescent="0.3">
      <c r="C1435" s="54"/>
    </row>
    <row r="1436" spans="3:3" x14ac:dyDescent="0.3">
      <c r="C1436" s="54"/>
    </row>
    <row r="1437" spans="3:3" x14ac:dyDescent="0.3">
      <c r="C1437" s="54"/>
    </row>
    <row r="1438" spans="3:3" x14ac:dyDescent="0.3">
      <c r="C1438" s="54"/>
    </row>
    <row r="1439" spans="3:3" x14ac:dyDescent="0.3">
      <c r="C1439" s="54"/>
    </row>
    <row r="1440" spans="3:3" x14ac:dyDescent="0.3">
      <c r="C1440" s="54"/>
    </row>
    <row r="1441" spans="3:3" x14ac:dyDescent="0.3">
      <c r="C1441" s="54"/>
    </row>
    <row r="1442" spans="3:3" x14ac:dyDescent="0.3">
      <c r="C1442" s="54"/>
    </row>
    <row r="1443" spans="3:3" x14ac:dyDescent="0.3">
      <c r="C1443" s="54"/>
    </row>
    <row r="1444" spans="3:3" x14ac:dyDescent="0.3">
      <c r="C1444" s="54"/>
    </row>
    <row r="1445" spans="3:3" x14ac:dyDescent="0.3">
      <c r="C1445" s="54"/>
    </row>
    <row r="1446" spans="3:3" x14ac:dyDescent="0.3">
      <c r="C1446" s="54"/>
    </row>
    <row r="1447" spans="3:3" x14ac:dyDescent="0.3">
      <c r="C1447" s="54"/>
    </row>
    <row r="1448" spans="3:3" x14ac:dyDescent="0.3">
      <c r="C1448" s="54"/>
    </row>
    <row r="1449" spans="3:3" x14ac:dyDescent="0.3">
      <c r="C1449" s="54"/>
    </row>
    <row r="1450" spans="3:3" x14ac:dyDescent="0.3">
      <c r="C1450" s="54"/>
    </row>
    <row r="1451" spans="3:3" x14ac:dyDescent="0.3">
      <c r="C1451" s="54"/>
    </row>
    <row r="1452" spans="3:3" x14ac:dyDescent="0.3">
      <c r="C1452" s="54"/>
    </row>
    <row r="1453" spans="3:3" x14ac:dyDescent="0.3">
      <c r="C1453" s="54"/>
    </row>
    <row r="1454" spans="3:3" x14ac:dyDescent="0.3">
      <c r="C1454" s="54"/>
    </row>
    <row r="1455" spans="3:3" x14ac:dyDescent="0.3">
      <c r="C1455" s="54"/>
    </row>
    <row r="1456" spans="3:3" x14ac:dyDescent="0.3">
      <c r="C1456" s="54"/>
    </row>
    <row r="1457" spans="3:3" x14ac:dyDescent="0.3">
      <c r="C1457" s="54"/>
    </row>
    <row r="1458" spans="3:3" x14ac:dyDescent="0.3">
      <c r="C1458" s="54"/>
    </row>
    <row r="1459" spans="3:3" x14ac:dyDescent="0.3">
      <c r="C1459" s="54"/>
    </row>
    <row r="1460" spans="3:3" x14ac:dyDescent="0.3">
      <c r="C1460" s="54"/>
    </row>
    <row r="1461" spans="3:3" x14ac:dyDescent="0.3">
      <c r="C1461" s="54"/>
    </row>
    <row r="1462" spans="3:3" x14ac:dyDescent="0.3">
      <c r="C1462" s="54"/>
    </row>
    <row r="1463" spans="3:3" x14ac:dyDescent="0.3">
      <c r="C1463" s="54"/>
    </row>
    <row r="1464" spans="3:3" x14ac:dyDescent="0.3">
      <c r="C1464" s="54"/>
    </row>
    <row r="1465" spans="3:3" x14ac:dyDescent="0.3">
      <c r="C1465" s="54"/>
    </row>
    <row r="1466" spans="3:3" x14ac:dyDescent="0.3">
      <c r="C1466" s="54"/>
    </row>
    <row r="1467" spans="3:3" x14ac:dyDescent="0.3">
      <c r="C1467" s="54"/>
    </row>
    <row r="1468" spans="3:3" x14ac:dyDescent="0.3">
      <c r="C1468" s="54"/>
    </row>
    <row r="1469" spans="3:3" x14ac:dyDescent="0.3">
      <c r="C1469" s="54"/>
    </row>
    <row r="1470" spans="3:3" x14ac:dyDescent="0.3">
      <c r="C1470" s="54"/>
    </row>
    <row r="1471" spans="3:3" x14ac:dyDescent="0.3">
      <c r="C1471" s="54"/>
    </row>
    <row r="1472" spans="3:3" x14ac:dyDescent="0.3">
      <c r="C1472" s="54"/>
    </row>
    <row r="1473" spans="3:3" x14ac:dyDescent="0.3">
      <c r="C1473" s="54"/>
    </row>
    <row r="1474" spans="3:3" x14ac:dyDescent="0.3">
      <c r="C1474" s="54"/>
    </row>
    <row r="1475" spans="3:3" x14ac:dyDescent="0.3">
      <c r="C1475" s="54"/>
    </row>
    <row r="1476" spans="3:3" x14ac:dyDescent="0.3">
      <c r="C1476" s="54"/>
    </row>
    <row r="1477" spans="3:3" x14ac:dyDescent="0.3">
      <c r="C1477" s="54"/>
    </row>
    <row r="1478" spans="3:3" x14ac:dyDescent="0.3">
      <c r="C1478" s="54"/>
    </row>
    <row r="1479" spans="3:3" x14ac:dyDescent="0.3">
      <c r="C1479" s="54"/>
    </row>
    <row r="1480" spans="3:3" x14ac:dyDescent="0.3">
      <c r="C1480" s="54"/>
    </row>
    <row r="1481" spans="3:3" x14ac:dyDescent="0.3">
      <c r="C1481" s="54"/>
    </row>
    <row r="1482" spans="3:3" x14ac:dyDescent="0.3">
      <c r="C1482" s="54"/>
    </row>
    <row r="1483" spans="3:3" x14ac:dyDescent="0.3">
      <c r="C1483" s="54"/>
    </row>
    <row r="1484" spans="3:3" x14ac:dyDescent="0.3">
      <c r="C1484" s="54"/>
    </row>
    <row r="1485" spans="3:3" x14ac:dyDescent="0.3">
      <c r="C1485" s="54"/>
    </row>
    <row r="1486" spans="3:3" x14ac:dyDescent="0.3">
      <c r="C1486" s="54"/>
    </row>
    <row r="1487" spans="3:3" x14ac:dyDescent="0.3">
      <c r="C1487" s="54"/>
    </row>
    <row r="1488" spans="3:3" x14ac:dyDescent="0.3">
      <c r="C1488" s="54"/>
    </row>
    <row r="1489" spans="3:3" x14ac:dyDescent="0.3">
      <c r="C1489" s="54"/>
    </row>
    <row r="1490" spans="3:3" x14ac:dyDescent="0.3">
      <c r="C1490" s="54"/>
    </row>
    <row r="1491" spans="3:3" x14ac:dyDescent="0.3">
      <c r="C1491" s="54"/>
    </row>
    <row r="1492" spans="3:3" x14ac:dyDescent="0.3">
      <c r="C1492" s="54"/>
    </row>
    <row r="1493" spans="3:3" x14ac:dyDescent="0.3">
      <c r="C1493" s="54"/>
    </row>
    <row r="1494" spans="3:3" x14ac:dyDescent="0.3">
      <c r="C1494" s="54"/>
    </row>
    <row r="1495" spans="3:3" x14ac:dyDescent="0.3">
      <c r="C1495" s="54"/>
    </row>
    <row r="1496" spans="3:3" x14ac:dyDescent="0.3">
      <c r="C1496" s="54"/>
    </row>
    <row r="1497" spans="3:3" x14ac:dyDescent="0.3">
      <c r="C1497" s="54"/>
    </row>
    <row r="1498" spans="3:3" x14ac:dyDescent="0.3">
      <c r="C1498" s="54"/>
    </row>
    <row r="1499" spans="3:3" x14ac:dyDescent="0.3">
      <c r="C1499" s="54"/>
    </row>
    <row r="1500" spans="3:3" x14ac:dyDescent="0.3">
      <c r="C1500" s="54"/>
    </row>
    <row r="1501" spans="3:3" x14ac:dyDescent="0.3">
      <c r="C1501" s="54"/>
    </row>
    <row r="1502" spans="3:3" x14ac:dyDescent="0.3">
      <c r="C1502" s="54"/>
    </row>
    <row r="1503" spans="3:3" x14ac:dyDescent="0.3">
      <c r="C1503" s="54"/>
    </row>
    <row r="1504" spans="3:3" x14ac:dyDescent="0.3">
      <c r="C1504" s="54"/>
    </row>
    <row r="1505" spans="3:3" x14ac:dyDescent="0.3">
      <c r="C1505" s="54"/>
    </row>
    <row r="1506" spans="3:3" x14ac:dyDescent="0.3">
      <c r="C1506" s="54"/>
    </row>
    <row r="1507" spans="3:3" x14ac:dyDescent="0.3">
      <c r="C1507" s="54"/>
    </row>
    <row r="1508" spans="3:3" x14ac:dyDescent="0.3">
      <c r="C1508" s="54"/>
    </row>
    <row r="1509" spans="3:3" x14ac:dyDescent="0.3">
      <c r="C1509" s="54"/>
    </row>
    <row r="1510" spans="3:3" x14ac:dyDescent="0.3">
      <c r="C1510" s="54"/>
    </row>
    <row r="1511" spans="3:3" x14ac:dyDescent="0.3">
      <c r="C1511" s="54"/>
    </row>
    <row r="1512" spans="3:3" x14ac:dyDescent="0.3">
      <c r="C1512" s="54"/>
    </row>
    <row r="1513" spans="3:3" x14ac:dyDescent="0.3">
      <c r="C1513" s="54"/>
    </row>
    <row r="1514" spans="3:3" x14ac:dyDescent="0.3">
      <c r="C1514" s="54"/>
    </row>
    <row r="1515" spans="3:3" x14ac:dyDescent="0.3">
      <c r="C1515" s="54"/>
    </row>
    <row r="1516" spans="3:3" x14ac:dyDescent="0.3">
      <c r="C1516" s="54"/>
    </row>
    <row r="1517" spans="3:3" x14ac:dyDescent="0.3">
      <c r="C1517" s="54"/>
    </row>
    <row r="1518" spans="3:3" x14ac:dyDescent="0.3">
      <c r="C1518" s="54"/>
    </row>
    <row r="1519" spans="3:3" x14ac:dyDescent="0.3">
      <c r="C1519" s="54"/>
    </row>
    <row r="1520" spans="3:3" x14ac:dyDescent="0.3">
      <c r="C1520" s="54"/>
    </row>
    <row r="1521" spans="3:3" x14ac:dyDescent="0.3">
      <c r="C1521" s="54"/>
    </row>
    <row r="1522" spans="3:3" x14ac:dyDescent="0.3">
      <c r="C1522" s="54"/>
    </row>
    <row r="1523" spans="3:3" x14ac:dyDescent="0.3">
      <c r="C1523" s="54"/>
    </row>
    <row r="1524" spans="3:3" x14ac:dyDescent="0.3">
      <c r="C1524" s="54"/>
    </row>
    <row r="1525" spans="3:3" x14ac:dyDescent="0.3">
      <c r="C1525" s="54"/>
    </row>
    <row r="1526" spans="3:3" x14ac:dyDescent="0.3">
      <c r="C1526" s="54"/>
    </row>
    <row r="1527" spans="3:3" x14ac:dyDescent="0.3">
      <c r="C1527" s="54"/>
    </row>
    <row r="1528" spans="3:3" x14ac:dyDescent="0.3">
      <c r="C1528" s="54"/>
    </row>
    <row r="1529" spans="3:3" x14ac:dyDescent="0.3">
      <c r="C1529" s="54"/>
    </row>
    <row r="1530" spans="3:3" x14ac:dyDescent="0.3">
      <c r="C1530" s="54"/>
    </row>
    <row r="1531" spans="3:3" x14ac:dyDescent="0.3">
      <c r="C1531" s="54"/>
    </row>
    <row r="1532" spans="3:3" x14ac:dyDescent="0.3">
      <c r="C1532" s="54"/>
    </row>
    <row r="1533" spans="3:3" x14ac:dyDescent="0.3">
      <c r="C1533" s="54"/>
    </row>
    <row r="1534" spans="3:3" x14ac:dyDescent="0.3">
      <c r="C1534" s="54"/>
    </row>
    <row r="1535" spans="3:3" x14ac:dyDescent="0.3">
      <c r="C1535" s="54"/>
    </row>
    <row r="1536" spans="3:3" x14ac:dyDescent="0.3">
      <c r="C1536" s="54"/>
    </row>
    <row r="1537" spans="3:3" x14ac:dyDescent="0.3">
      <c r="C1537" s="54"/>
    </row>
    <row r="1538" spans="3:3" x14ac:dyDescent="0.3">
      <c r="C1538" s="54"/>
    </row>
    <row r="1539" spans="3:3" x14ac:dyDescent="0.3">
      <c r="C1539" s="54"/>
    </row>
    <row r="1540" spans="3:3" x14ac:dyDescent="0.3">
      <c r="C1540" s="54"/>
    </row>
    <row r="1541" spans="3:3" x14ac:dyDescent="0.3">
      <c r="C1541" s="54"/>
    </row>
    <row r="1542" spans="3:3" x14ac:dyDescent="0.3">
      <c r="C1542" s="54"/>
    </row>
    <row r="1543" spans="3:3" x14ac:dyDescent="0.3">
      <c r="C1543" s="54"/>
    </row>
    <row r="1544" spans="3:3" x14ac:dyDescent="0.3">
      <c r="C1544" s="54"/>
    </row>
    <row r="1545" spans="3:3" x14ac:dyDescent="0.3">
      <c r="C1545" s="54"/>
    </row>
    <row r="1546" spans="3:3" x14ac:dyDescent="0.3">
      <c r="C1546" s="54"/>
    </row>
    <row r="1547" spans="3:3" x14ac:dyDescent="0.3">
      <c r="C1547" s="54"/>
    </row>
    <row r="1548" spans="3:3" x14ac:dyDescent="0.3">
      <c r="C1548" s="54"/>
    </row>
    <row r="1549" spans="3:3" x14ac:dyDescent="0.3">
      <c r="C1549" s="54"/>
    </row>
    <row r="1550" spans="3:3" x14ac:dyDescent="0.3">
      <c r="C1550" s="54"/>
    </row>
    <row r="1551" spans="3:3" x14ac:dyDescent="0.3">
      <c r="C1551" s="54"/>
    </row>
    <row r="1552" spans="3:3" x14ac:dyDescent="0.3">
      <c r="C1552" s="54"/>
    </row>
    <row r="1553" spans="3:3" x14ac:dyDescent="0.3">
      <c r="C1553" s="54"/>
    </row>
    <row r="1554" spans="3:3" x14ac:dyDescent="0.3">
      <c r="C1554" s="54"/>
    </row>
    <row r="1555" spans="3:3" x14ac:dyDescent="0.3">
      <c r="C1555" s="54"/>
    </row>
    <row r="1556" spans="3:3" x14ac:dyDescent="0.3">
      <c r="C1556" s="54"/>
    </row>
    <row r="1557" spans="3:3" x14ac:dyDescent="0.3">
      <c r="C1557" s="54"/>
    </row>
    <row r="1558" spans="3:3" x14ac:dyDescent="0.3">
      <c r="C1558" s="54"/>
    </row>
    <row r="1559" spans="3:3" x14ac:dyDescent="0.3">
      <c r="C1559" s="54"/>
    </row>
    <row r="1560" spans="3:3" x14ac:dyDescent="0.3">
      <c r="C1560" s="54"/>
    </row>
    <row r="1561" spans="3:3" x14ac:dyDescent="0.3">
      <c r="C1561" s="54"/>
    </row>
    <row r="1562" spans="3:3" x14ac:dyDescent="0.3">
      <c r="C1562" s="54"/>
    </row>
    <row r="1563" spans="3:3" x14ac:dyDescent="0.3">
      <c r="C1563" s="54"/>
    </row>
    <row r="1564" spans="3:3" x14ac:dyDescent="0.3">
      <c r="C1564" s="54"/>
    </row>
    <row r="1565" spans="3:3" x14ac:dyDescent="0.3">
      <c r="C1565" s="54"/>
    </row>
    <row r="1566" spans="3:3" x14ac:dyDescent="0.3">
      <c r="C1566" s="54"/>
    </row>
    <row r="1567" spans="3:3" x14ac:dyDescent="0.3">
      <c r="C1567" s="54"/>
    </row>
    <row r="1568" spans="3:3" x14ac:dyDescent="0.3">
      <c r="C1568" s="54"/>
    </row>
    <row r="1569" spans="3:3" x14ac:dyDescent="0.3">
      <c r="C1569" s="54"/>
    </row>
    <row r="1570" spans="3:3" x14ac:dyDescent="0.3">
      <c r="C1570" s="54"/>
    </row>
    <row r="1571" spans="3:3" x14ac:dyDescent="0.3">
      <c r="C1571" s="54"/>
    </row>
    <row r="1572" spans="3:3" x14ac:dyDescent="0.3">
      <c r="C1572" s="54"/>
    </row>
    <row r="1573" spans="3:3" x14ac:dyDescent="0.3">
      <c r="C1573" s="54"/>
    </row>
    <row r="1574" spans="3:3" x14ac:dyDescent="0.3">
      <c r="C1574" s="54"/>
    </row>
    <row r="1575" spans="3:3" x14ac:dyDescent="0.3">
      <c r="C1575" s="54"/>
    </row>
    <row r="1576" spans="3:3" x14ac:dyDescent="0.3">
      <c r="C1576" s="54"/>
    </row>
    <row r="1577" spans="3:3" x14ac:dyDescent="0.3">
      <c r="C1577" s="54"/>
    </row>
    <row r="1578" spans="3:3" x14ac:dyDescent="0.3">
      <c r="C1578" s="54"/>
    </row>
    <row r="1579" spans="3:3" x14ac:dyDescent="0.3">
      <c r="C1579" s="54"/>
    </row>
    <row r="1580" spans="3:3" x14ac:dyDescent="0.3">
      <c r="C1580" s="54"/>
    </row>
    <row r="1581" spans="3:3" x14ac:dyDescent="0.3">
      <c r="C1581" s="54"/>
    </row>
    <row r="1582" spans="3:3" x14ac:dyDescent="0.3">
      <c r="C1582" s="54"/>
    </row>
    <row r="1583" spans="3:3" x14ac:dyDescent="0.3">
      <c r="C1583" s="54"/>
    </row>
    <row r="1584" spans="3:3" x14ac:dyDescent="0.3">
      <c r="C1584" s="54"/>
    </row>
    <row r="1585" spans="3:3" x14ac:dyDescent="0.3">
      <c r="C1585" s="54"/>
    </row>
    <row r="1586" spans="3:3" x14ac:dyDescent="0.3">
      <c r="C1586" s="54"/>
    </row>
    <row r="1587" spans="3:3" x14ac:dyDescent="0.3">
      <c r="C1587" s="54"/>
    </row>
    <row r="1588" spans="3:3" x14ac:dyDescent="0.3">
      <c r="C1588" s="54"/>
    </row>
    <row r="1589" spans="3:3" x14ac:dyDescent="0.3">
      <c r="C1589" s="54"/>
    </row>
    <row r="1590" spans="3:3" x14ac:dyDescent="0.3">
      <c r="C1590" s="54"/>
    </row>
    <row r="1591" spans="3:3" x14ac:dyDescent="0.3">
      <c r="C1591" s="54"/>
    </row>
    <row r="1592" spans="3:3" x14ac:dyDescent="0.3">
      <c r="C1592" s="54"/>
    </row>
    <row r="1593" spans="3:3" x14ac:dyDescent="0.3">
      <c r="C1593" s="54"/>
    </row>
    <row r="1594" spans="3:3" x14ac:dyDescent="0.3">
      <c r="C1594" s="54"/>
    </row>
    <row r="1595" spans="3:3" x14ac:dyDescent="0.3">
      <c r="C1595" s="54"/>
    </row>
    <row r="1596" spans="3:3" x14ac:dyDescent="0.3">
      <c r="C1596" s="54"/>
    </row>
    <row r="1597" spans="3:3" x14ac:dyDescent="0.3">
      <c r="C1597" s="54"/>
    </row>
    <row r="1598" spans="3:3" x14ac:dyDescent="0.3">
      <c r="C1598" s="54"/>
    </row>
    <row r="1599" spans="3:3" x14ac:dyDescent="0.3">
      <c r="C1599" s="54"/>
    </row>
    <row r="1600" spans="3:3" x14ac:dyDescent="0.3">
      <c r="C1600" s="54"/>
    </row>
    <row r="1601" spans="3:3" x14ac:dyDescent="0.3">
      <c r="C1601" s="54"/>
    </row>
    <row r="1602" spans="3:3" x14ac:dyDescent="0.3">
      <c r="C1602" s="54"/>
    </row>
    <row r="1603" spans="3:3" x14ac:dyDescent="0.3">
      <c r="C1603" s="54"/>
    </row>
    <row r="1604" spans="3:3" x14ac:dyDescent="0.3">
      <c r="C1604" s="54"/>
    </row>
    <row r="1605" spans="3:3" x14ac:dyDescent="0.3">
      <c r="C1605" s="54"/>
    </row>
    <row r="1606" spans="3:3" x14ac:dyDescent="0.3">
      <c r="C1606" s="54"/>
    </row>
    <row r="1607" spans="3:3" x14ac:dyDescent="0.3">
      <c r="C1607" s="54"/>
    </row>
    <row r="1608" spans="3:3" x14ac:dyDescent="0.3">
      <c r="C1608" s="54"/>
    </row>
    <row r="1609" spans="3:3" x14ac:dyDescent="0.3">
      <c r="C1609" s="54"/>
    </row>
    <row r="1610" spans="3:3" x14ac:dyDescent="0.3">
      <c r="C1610" s="54"/>
    </row>
    <row r="1611" spans="3:3" x14ac:dyDescent="0.3">
      <c r="C1611" s="54"/>
    </row>
    <row r="1612" spans="3:3" x14ac:dyDescent="0.3">
      <c r="C1612" s="54"/>
    </row>
    <row r="1613" spans="3:3" x14ac:dyDescent="0.3">
      <c r="C1613" s="54"/>
    </row>
    <row r="1614" spans="3:3" x14ac:dyDescent="0.3">
      <c r="C1614" s="54"/>
    </row>
    <row r="1615" spans="3:3" x14ac:dyDescent="0.3">
      <c r="C1615" s="54"/>
    </row>
    <row r="1616" spans="3:3" x14ac:dyDescent="0.3">
      <c r="C1616" s="54"/>
    </row>
    <row r="1617" spans="3:3" x14ac:dyDescent="0.3">
      <c r="C1617" s="54"/>
    </row>
    <row r="1618" spans="3:3" x14ac:dyDescent="0.3">
      <c r="C1618" s="54"/>
    </row>
    <row r="1619" spans="3:3" x14ac:dyDescent="0.3">
      <c r="C1619" s="54"/>
    </row>
    <row r="1620" spans="3:3" x14ac:dyDescent="0.3">
      <c r="C1620" s="54"/>
    </row>
    <row r="1621" spans="3:3" x14ac:dyDescent="0.3">
      <c r="C1621" s="54"/>
    </row>
    <row r="1622" spans="3:3" x14ac:dyDescent="0.3">
      <c r="C1622" s="54"/>
    </row>
    <row r="1623" spans="3:3" x14ac:dyDescent="0.3">
      <c r="C1623" s="54"/>
    </row>
    <row r="1624" spans="3:3" x14ac:dyDescent="0.3">
      <c r="C1624" s="54"/>
    </row>
    <row r="1625" spans="3:3" x14ac:dyDescent="0.3">
      <c r="C1625" s="54"/>
    </row>
    <row r="1626" spans="3:3" x14ac:dyDescent="0.3">
      <c r="C1626" s="54"/>
    </row>
    <row r="1627" spans="3:3" x14ac:dyDescent="0.3">
      <c r="C1627" s="54"/>
    </row>
    <row r="1628" spans="3:3" x14ac:dyDescent="0.3">
      <c r="C1628" s="54"/>
    </row>
    <row r="1629" spans="3:3" x14ac:dyDescent="0.3">
      <c r="C1629" s="54"/>
    </row>
    <row r="1630" spans="3:3" x14ac:dyDescent="0.3">
      <c r="C1630" s="54"/>
    </row>
    <row r="1631" spans="3:3" x14ac:dyDescent="0.3">
      <c r="C1631" s="54"/>
    </row>
    <row r="1632" spans="3:3" x14ac:dyDescent="0.3">
      <c r="C1632" s="54"/>
    </row>
    <row r="1633" spans="3:3" x14ac:dyDescent="0.3">
      <c r="C1633" s="54"/>
    </row>
    <row r="1634" spans="3:3" x14ac:dyDescent="0.3">
      <c r="C1634" s="54"/>
    </row>
    <row r="1635" spans="3:3" x14ac:dyDescent="0.3">
      <c r="C1635" s="54"/>
    </row>
    <row r="1636" spans="3:3" x14ac:dyDescent="0.3">
      <c r="C1636" s="54"/>
    </row>
    <row r="1637" spans="3:3" x14ac:dyDescent="0.3">
      <c r="C1637" s="54"/>
    </row>
    <row r="1638" spans="3:3" x14ac:dyDescent="0.3">
      <c r="C1638" s="54"/>
    </row>
    <row r="1639" spans="3:3" x14ac:dyDescent="0.3">
      <c r="C1639" s="54"/>
    </row>
    <row r="1640" spans="3:3" x14ac:dyDescent="0.3">
      <c r="C1640" s="54"/>
    </row>
    <row r="1641" spans="3:3" x14ac:dyDescent="0.3">
      <c r="C1641" s="54"/>
    </row>
    <row r="1642" spans="3:3" x14ac:dyDescent="0.3">
      <c r="C1642" s="54"/>
    </row>
    <row r="1643" spans="3:3" x14ac:dyDescent="0.3">
      <c r="C1643" s="54"/>
    </row>
    <row r="1644" spans="3:3" x14ac:dyDescent="0.3">
      <c r="C1644" s="54"/>
    </row>
    <row r="1645" spans="3:3" x14ac:dyDescent="0.3">
      <c r="C1645" s="54"/>
    </row>
    <row r="1646" spans="3:3" x14ac:dyDescent="0.3">
      <c r="C1646" s="54"/>
    </row>
    <row r="1647" spans="3:3" x14ac:dyDescent="0.3">
      <c r="C1647" s="54"/>
    </row>
    <row r="1648" spans="3:3" x14ac:dyDescent="0.3">
      <c r="C1648" s="54"/>
    </row>
    <row r="1649" spans="3:3" x14ac:dyDescent="0.3">
      <c r="C1649" s="54"/>
    </row>
    <row r="1650" spans="3:3" x14ac:dyDescent="0.3">
      <c r="C1650" s="54"/>
    </row>
    <row r="1651" spans="3:3" x14ac:dyDescent="0.3">
      <c r="C1651" s="54"/>
    </row>
    <row r="1652" spans="3:3" x14ac:dyDescent="0.3">
      <c r="C1652" s="54"/>
    </row>
    <row r="1653" spans="3:3" x14ac:dyDescent="0.3">
      <c r="C1653" s="54"/>
    </row>
    <row r="1654" spans="3:3" x14ac:dyDescent="0.3">
      <c r="C1654" s="54"/>
    </row>
    <row r="1655" spans="3:3" x14ac:dyDescent="0.3">
      <c r="C1655" s="54"/>
    </row>
    <row r="1656" spans="3:3" x14ac:dyDescent="0.3">
      <c r="C1656" s="54"/>
    </row>
    <row r="1657" spans="3:3" x14ac:dyDescent="0.3">
      <c r="C1657" s="54"/>
    </row>
    <row r="1658" spans="3:3" x14ac:dyDescent="0.3">
      <c r="C1658" s="54"/>
    </row>
    <row r="1659" spans="3:3" x14ac:dyDescent="0.3">
      <c r="C1659" s="54"/>
    </row>
    <row r="1660" spans="3:3" x14ac:dyDescent="0.3">
      <c r="C1660" s="54"/>
    </row>
    <row r="1661" spans="3:3" x14ac:dyDescent="0.3">
      <c r="C1661" s="54"/>
    </row>
    <row r="1662" spans="3:3" x14ac:dyDescent="0.3">
      <c r="C1662" s="54"/>
    </row>
    <row r="1663" spans="3:3" x14ac:dyDescent="0.3">
      <c r="C1663" s="54"/>
    </row>
    <row r="1664" spans="3:3" x14ac:dyDescent="0.3">
      <c r="C1664" s="54"/>
    </row>
    <row r="1665" spans="3:3" x14ac:dyDescent="0.3">
      <c r="C1665" s="54"/>
    </row>
    <row r="1666" spans="3:3" x14ac:dyDescent="0.3">
      <c r="C1666" s="54"/>
    </row>
    <row r="1667" spans="3:3" x14ac:dyDescent="0.3">
      <c r="C1667" s="54"/>
    </row>
    <row r="1668" spans="3:3" x14ac:dyDescent="0.3">
      <c r="C1668" s="54"/>
    </row>
    <row r="1669" spans="3:3" x14ac:dyDescent="0.3">
      <c r="C1669" s="54"/>
    </row>
    <row r="1670" spans="3:3" x14ac:dyDescent="0.3">
      <c r="C1670" s="54"/>
    </row>
    <row r="1671" spans="3:3" x14ac:dyDescent="0.3">
      <c r="C1671" s="54"/>
    </row>
    <row r="1672" spans="3:3" x14ac:dyDescent="0.3">
      <c r="C1672" s="54"/>
    </row>
    <row r="1673" spans="3:3" x14ac:dyDescent="0.3">
      <c r="C1673" s="54"/>
    </row>
    <row r="1674" spans="3:3" x14ac:dyDescent="0.3">
      <c r="C1674" s="54"/>
    </row>
    <row r="1675" spans="3:3" x14ac:dyDescent="0.3">
      <c r="C1675" s="54"/>
    </row>
    <row r="1676" spans="3:3" x14ac:dyDescent="0.3">
      <c r="C1676" s="54"/>
    </row>
    <row r="1677" spans="3:3" x14ac:dyDescent="0.3">
      <c r="C1677" s="54"/>
    </row>
    <row r="1678" spans="3:3" x14ac:dyDescent="0.3">
      <c r="C1678" s="54"/>
    </row>
    <row r="1679" spans="3:3" x14ac:dyDescent="0.3">
      <c r="C1679" s="54"/>
    </row>
    <row r="1680" spans="3:3" x14ac:dyDescent="0.3">
      <c r="C1680" s="54"/>
    </row>
    <row r="1681" spans="3:3" x14ac:dyDescent="0.3">
      <c r="C1681" s="54"/>
    </row>
    <row r="1682" spans="3:3" x14ac:dyDescent="0.3">
      <c r="C1682" s="54"/>
    </row>
    <row r="1683" spans="3:3" x14ac:dyDescent="0.3">
      <c r="C1683" s="54"/>
    </row>
    <row r="1684" spans="3:3" x14ac:dyDescent="0.3">
      <c r="C1684" s="54"/>
    </row>
    <row r="1685" spans="3:3" x14ac:dyDescent="0.3">
      <c r="C1685" s="54"/>
    </row>
    <row r="1686" spans="3:3" x14ac:dyDescent="0.3">
      <c r="C1686" s="54"/>
    </row>
    <row r="1687" spans="3:3" x14ac:dyDescent="0.3">
      <c r="C1687" s="54"/>
    </row>
    <row r="1688" spans="3:3" x14ac:dyDescent="0.3">
      <c r="C1688" s="54"/>
    </row>
    <row r="1689" spans="3:3" x14ac:dyDescent="0.3">
      <c r="C1689" s="54"/>
    </row>
    <row r="1690" spans="3:3" x14ac:dyDescent="0.3">
      <c r="C1690" s="54"/>
    </row>
    <row r="1691" spans="3:3" x14ac:dyDescent="0.3">
      <c r="C1691" s="54"/>
    </row>
    <row r="1692" spans="3:3" x14ac:dyDescent="0.3">
      <c r="C1692" s="54"/>
    </row>
    <row r="1693" spans="3:3" x14ac:dyDescent="0.3">
      <c r="C1693" s="54"/>
    </row>
    <row r="1694" spans="3:3" x14ac:dyDescent="0.3">
      <c r="C1694" s="54"/>
    </row>
    <row r="1695" spans="3:3" x14ac:dyDescent="0.3">
      <c r="C1695" s="54"/>
    </row>
    <row r="1696" spans="3:3" x14ac:dyDescent="0.3">
      <c r="C1696" s="54"/>
    </row>
    <row r="1697" spans="3:3" x14ac:dyDescent="0.3">
      <c r="C1697" s="54"/>
    </row>
    <row r="1698" spans="3:3" x14ac:dyDescent="0.3">
      <c r="C1698" s="54"/>
    </row>
    <row r="1699" spans="3:3" x14ac:dyDescent="0.3">
      <c r="C1699" s="54"/>
    </row>
    <row r="1700" spans="3:3" x14ac:dyDescent="0.3">
      <c r="C1700" s="54"/>
    </row>
    <row r="1701" spans="3:3" x14ac:dyDescent="0.3">
      <c r="C1701" s="54"/>
    </row>
    <row r="1702" spans="3:3" x14ac:dyDescent="0.3">
      <c r="C1702" s="54"/>
    </row>
    <row r="1703" spans="3:3" x14ac:dyDescent="0.3">
      <c r="C1703" s="54"/>
    </row>
    <row r="1704" spans="3:3" x14ac:dyDescent="0.3">
      <c r="C1704" s="54"/>
    </row>
    <row r="1705" spans="3:3" x14ac:dyDescent="0.3">
      <c r="C1705" s="54"/>
    </row>
    <row r="1706" spans="3:3" x14ac:dyDescent="0.3">
      <c r="C1706" s="54"/>
    </row>
    <row r="1707" spans="3:3" x14ac:dyDescent="0.3">
      <c r="C1707" s="54"/>
    </row>
    <row r="1708" spans="3:3" x14ac:dyDescent="0.3">
      <c r="C1708" s="54"/>
    </row>
    <row r="1709" spans="3:3" x14ac:dyDescent="0.3">
      <c r="C1709" s="54"/>
    </row>
    <row r="1710" spans="3:3" x14ac:dyDescent="0.3">
      <c r="C1710" s="54"/>
    </row>
    <row r="1711" spans="3:3" x14ac:dyDescent="0.3">
      <c r="C1711" s="54"/>
    </row>
    <row r="1712" spans="3:3" x14ac:dyDescent="0.3">
      <c r="C1712" s="54"/>
    </row>
    <row r="1713" spans="3:3" x14ac:dyDescent="0.3">
      <c r="C1713" s="54"/>
    </row>
    <row r="1714" spans="3:3" x14ac:dyDescent="0.3">
      <c r="C1714" s="54"/>
    </row>
    <row r="1715" spans="3:3" x14ac:dyDescent="0.3">
      <c r="C1715" s="54"/>
    </row>
    <row r="1716" spans="3:3" x14ac:dyDescent="0.3">
      <c r="C1716" s="54"/>
    </row>
    <row r="1717" spans="3:3" x14ac:dyDescent="0.3">
      <c r="C1717" s="54"/>
    </row>
    <row r="1718" spans="3:3" x14ac:dyDescent="0.3">
      <c r="C1718" s="54"/>
    </row>
    <row r="1719" spans="3:3" x14ac:dyDescent="0.3">
      <c r="C1719" s="54"/>
    </row>
    <row r="1720" spans="3:3" x14ac:dyDescent="0.3">
      <c r="C1720" s="54"/>
    </row>
    <row r="1721" spans="3:3" x14ac:dyDescent="0.3">
      <c r="C1721" s="54"/>
    </row>
    <row r="1722" spans="3:3" x14ac:dyDescent="0.3">
      <c r="C1722" s="54"/>
    </row>
    <row r="1723" spans="3:3" x14ac:dyDescent="0.3">
      <c r="C1723" s="54"/>
    </row>
    <row r="1724" spans="3:3" x14ac:dyDescent="0.3">
      <c r="C1724" s="54"/>
    </row>
    <row r="1725" spans="3:3" x14ac:dyDescent="0.3">
      <c r="C1725" s="54"/>
    </row>
    <row r="1726" spans="3:3" x14ac:dyDescent="0.3">
      <c r="C1726" s="54"/>
    </row>
    <row r="1727" spans="3:3" x14ac:dyDescent="0.3">
      <c r="C1727" s="54"/>
    </row>
    <row r="1728" spans="3:3" x14ac:dyDescent="0.3">
      <c r="C1728" s="54"/>
    </row>
    <row r="1729" spans="3:3" x14ac:dyDescent="0.3">
      <c r="C1729" s="54"/>
    </row>
    <row r="1730" spans="3:3" x14ac:dyDescent="0.3">
      <c r="C1730" s="54"/>
    </row>
    <row r="1731" spans="3:3" x14ac:dyDescent="0.3">
      <c r="C1731" s="54"/>
    </row>
    <row r="1732" spans="3:3" x14ac:dyDescent="0.3">
      <c r="C1732" s="54"/>
    </row>
    <row r="1733" spans="3:3" x14ac:dyDescent="0.3">
      <c r="C1733" s="54"/>
    </row>
  </sheetData>
  <sheetProtection algorithmName="SHA-512" hashValue="UD0EL30LJlP6s7y56v3/9soRtRhzxgVGLqJgqWJzBfKfIujIQUdvYAP/AKcvqrntEHa61CNCTlkWemZvDj8qTw==" saltValue="Mk9QTBd/mMUhxxaydZARwQ==" spinCount="100000" sheet="1" formatCells="0" formatColumns="0" formatRows="0" insertColumns="0" insertRows="0"/>
  <dataConsolidate/>
  <mergeCells count="175">
    <mergeCell ref="N16:N17"/>
    <mergeCell ref="P13:Q13"/>
    <mergeCell ref="P14:Q14"/>
    <mergeCell ref="B15:Q15"/>
    <mergeCell ref="G16:G17"/>
    <mergeCell ref="P16:P17"/>
    <mergeCell ref="Q16:Q17"/>
    <mergeCell ref="J16:J17"/>
    <mergeCell ref="K16:K17"/>
    <mergeCell ref="L16:L17"/>
    <mergeCell ref="O16:O17"/>
    <mergeCell ref="B16:B17"/>
    <mergeCell ref="C16:C17"/>
    <mergeCell ref="D16:D17"/>
    <mergeCell ref="E16:E17"/>
    <mergeCell ref="B4:G4"/>
    <mergeCell ref="B5:G5"/>
    <mergeCell ref="B6:G6"/>
    <mergeCell ref="B7:G7"/>
    <mergeCell ref="B8:G8"/>
    <mergeCell ref="B9:G9"/>
    <mergeCell ref="B3:G3"/>
    <mergeCell ref="H16:I16"/>
    <mergeCell ref="M16:M17"/>
    <mergeCell ref="F16:F17"/>
    <mergeCell ref="B12:G12"/>
    <mergeCell ref="B11:G11"/>
    <mergeCell ref="B10:G10"/>
    <mergeCell ref="P61:Q61"/>
    <mergeCell ref="P62:Q62"/>
    <mergeCell ref="B63:Q63"/>
    <mergeCell ref="B64:B65"/>
    <mergeCell ref="C64:C65"/>
    <mergeCell ref="D64:D65"/>
    <mergeCell ref="E64:E65"/>
    <mergeCell ref="G64:G65"/>
    <mergeCell ref="H64:I64"/>
    <mergeCell ref="J64:J65"/>
    <mergeCell ref="K64:K65"/>
    <mergeCell ref="L64:L65"/>
    <mergeCell ref="M64:M65"/>
    <mergeCell ref="N64:N65"/>
    <mergeCell ref="O64:O65"/>
    <mergeCell ref="P64:P65"/>
    <mergeCell ref="Q64:Q65"/>
    <mergeCell ref="F64:F65"/>
    <mergeCell ref="P109:Q109"/>
    <mergeCell ref="P110:Q110"/>
    <mergeCell ref="B111:Q111"/>
    <mergeCell ref="B112:B113"/>
    <mergeCell ref="C112:C113"/>
    <mergeCell ref="D112:D113"/>
    <mergeCell ref="E112:E113"/>
    <mergeCell ref="G112:G113"/>
    <mergeCell ref="H112:I112"/>
    <mergeCell ref="J112:J113"/>
    <mergeCell ref="K112:K113"/>
    <mergeCell ref="L112:L113"/>
    <mergeCell ref="M112:M113"/>
    <mergeCell ref="N112:N113"/>
    <mergeCell ref="O112:O113"/>
    <mergeCell ref="P112:P113"/>
    <mergeCell ref="Q112:Q113"/>
    <mergeCell ref="F112:F113"/>
    <mergeCell ref="P157:Q157"/>
    <mergeCell ref="P158:Q158"/>
    <mergeCell ref="B159:Q159"/>
    <mergeCell ref="B160:B161"/>
    <mergeCell ref="C160:C161"/>
    <mergeCell ref="D160:D161"/>
    <mergeCell ref="E160:E161"/>
    <mergeCell ref="G160:G161"/>
    <mergeCell ref="H160:I160"/>
    <mergeCell ref="J160:J161"/>
    <mergeCell ref="K160:K161"/>
    <mergeCell ref="L160:L161"/>
    <mergeCell ref="M160:M161"/>
    <mergeCell ref="N160:N161"/>
    <mergeCell ref="O160:O161"/>
    <mergeCell ref="P160:P161"/>
    <mergeCell ref="Q160:Q161"/>
    <mergeCell ref="F160:F161"/>
    <mergeCell ref="D304:D305"/>
    <mergeCell ref="P205:Q205"/>
    <mergeCell ref="P206:Q206"/>
    <mergeCell ref="B207:Q207"/>
    <mergeCell ref="B208:B209"/>
    <mergeCell ref="C208:C209"/>
    <mergeCell ref="D208:D209"/>
    <mergeCell ref="E208:E209"/>
    <mergeCell ref="G208:G209"/>
    <mergeCell ref="H208:I208"/>
    <mergeCell ref="J208:J209"/>
    <mergeCell ref="K208:K209"/>
    <mergeCell ref="L208:L209"/>
    <mergeCell ref="M208:M209"/>
    <mergeCell ref="N208:N209"/>
    <mergeCell ref="O208:O209"/>
    <mergeCell ref="P208:P209"/>
    <mergeCell ref="Q208:Q209"/>
    <mergeCell ref="F208:F209"/>
    <mergeCell ref="P301:Q301"/>
    <mergeCell ref="N304:N305"/>
    <mergeCell ref="O304:O305"/>
    <mergeCell ref="P304:P305"/>
    <mergeCell ref="Q304:Q305"/>
    <mergeCell ref="B302:O302"/>
    <mergeCell ref="P253:Q253"/>
    <mergeCell ref="P254:Q254"/>
    <mergeCell ref="B255:Q255"/>
    <mergeCell ref="B256:B257"/>
    <mergeCell ref="C256:C257"/>
    <mergeCell ref="D256:D257"/>
    <mergeCell ref="E256:E257"/>
    <mergeCell ref="G256:G257"/>
    <mergeCell ref="H256:I256"/>
    <mergeCell ref="J256:J257"/>
    <mergeCell ref="K256:K257"/>
    <mergeCell ref="L256:L257"/>
    <mergeCell ref="M256:M257"/>
    <mergeCell ref="N256:N257"/>
    <mergeCell ref="O256:O257"/>
    <mergeCell ref="P256:P257"/>
    <mergeCell ref="Q256:Q257"/>
    <mergeCell ref="F256:F257"/>
    <mergeCell ref="P302:Q302"/>
    <mergeCell ref="Q375:Q376"/>
    <mergeCell ref="E304:E305"/>
    <mergeCell ref="F304:F305"/>
    <mergeCell ref="G304:G305"/>
    <mergeCell ref="H304:I304"/>
    <mergeCell ref="J304:J305"/>
    <mergeCell ref="K304:K305"/>
    <mergeCell ref="L304:L305"/>
    <mergeCell ref="M304:M305"/>
    <mergeCell ref="P372:Q372"/>
    <mergeCell ref="B303:Q303"/>
    <mergeCell ref="B304:B305"/>
    <mergeCell ref="C304:C305"/>
    <mergeCell ref="P442:Q442"/>
    <mergeCell ref="B443:O443"/>
    <mergeCell ref="P443:Q443"/>
    <mergeCell ref="B444:Q444"/>
    <mergeCell ref="B373:O373"/>
    <mergeCell ref="P373:Q373"/>
    <mergeCell ref="B374:Q374"/>
    <mergeCell ref="B375:B376"/>
    <mergeCell ref="C375:C376"/>
    <mergeCell ref="D375:D376"/>
    <mergeCell ref="E375:E376"/>
    <mergeCell ref="F375:F376"/>
    <mergeCell ref="G375:G376"/>
    <mergeCell ref="H375:I375"/>
    <mergeCell ref="J375:J376"/>
    <mergeCell ref="K375:K376"/>
    <mergeCell ref="L375:L376"/>
    <mergeCell ref="M375:M376"/>
    <mergeCell ref="N375:N376"/>
    <mergeCell ref="O375:O376"/>
    <mergeCell ref="P375:P376"/>
    <mergeCell ref="L445:L446"/>
    <mergeCell ref="M445:M446"/>
    <mergeCell ref="N445:N446"/>
    <mergeCell ref="O445:O446"/>
    <mergeCell ref="P445:P446"/>
    <mergeCell ref="Q445:Q446"/>
    <mergeCell ref="B445:B446"/>
    <mergeCell ref="C445:C446"/>
    <mergeCell ref="D445:D446"/>
    <mergeCell ref="E445:E446"/>
    <mergeCell ref="F445:F446"/>
    <mergeCell ref="G445:G446"/>
    <mergeCell ref="H445:I445"/>
    <mergeCell ref="J445:J446"/>
    <mergeCell ref="K445:K446"/>
  </mergeCells>
  <dataValidations count="2">
    <dataValidation type="list" allowBlank="1" showInputMessage="1" showErrorMessage="1" sqref="K18:K58 K66:K106 K114:K154 K162:K202 K210:K252 K258:K298 K306:K367 K377:K438 K447:K508" xr:uid="{46B10EFE-2AB9-4F93-BECB-80210E7593E1}">
      <formula1>"All Learners, All Learners and Teachers,ECCDE Learners, Primary School Learners, JSS Learners, Teachers, ECCDE Learners and Teachers, Primary School Learners and Teachers, JSS learners and teachers"</formula1>
    </dataValidation>
    <dataValidation type="list" allowBlank="1" showInputMessage="1" showErrorMessage="1" sqref="G18:G58 G66:G106 G114:G154 G162:G202 G210:G250 G258:G298 G306:G367 G377:G438 G447:G508" xr:uid="{C8021CD7-01F4-47A9-A551-BDDEE0F578D5}">
      <formula1>"Rural, Urban"</formula1>
    </dataValidation>
  </dataValidations>
  <hyperlinks>
    <hyperlink ref="B4:G4" location="GSCCI!B13" display="GSCCI Pillar 1: Greening schools/planting of trees" xr:uid="{9AEDF98B-14BB-48B7-BCBF-6887945B093A}"/>
    <hyperlink ref="B5:G5" location="GSCCI!B61" display="GSCCI Pillar 2: Promoting entrepreneurial Greening curricula" xr:uid="{253595FD-F8A3-46EE-B1D7-E716B19E44EA}"/>
    <hyperlink ref="B6:G6" location="GSCCI!B109" display="GSCCI Pillar 3: Teacher training and education system capacity" xr:uid="{3C63A962-9CE1-407B-88E1-CAB348BD1062}"/>
    <hyperlink ref="B7:G7" location="GSCCI!B157" display="GSCCI Pillar 4: Greening communities" xr:uid="{B30E7FC9-14F1-49E9-BA61-955EE057F44A}"/>
    <hyperlink ref="B8:G8" location="GSCCI!B205" display="GSCCI Pillar 5: National Greening competitions" xr:uid="{8737B954-C642-4EF2-9F9C-801CB4066EDF}"/>
    <hyperlink ref="B9:G9" location="GSCCI!B253" display="GSCCI Pillar 6: Establishment of Green Clubs (Climate change clubs)" xr:uid="{52E38A64-FA78-4EE9-894D-4F5CFAAFAC81}"/>
    <hyperlink ref="B12:G12" location="GSCCS!B443" display="   Supervision and monitoring of GSCCS initiatives across schools" xr:uid="{3F0D0C63-3C5F-4E70-8746-90412DBC712E}"/>
  </hyperlinks>
  <pageMargins left="0.7" right="0.7" top="0.75" bottom="0.75" header="0.3" footer="0.3"/>
  <pageSetup paperSize="8" scale="34" orientation="landscape" r:id="rId1"/>
  <extLst>
    <ext xmlns:x14="http://schemas.microsoft.com/office/spreadsheetml/2009/9/main" uri="{CCE6A557-97BC-4b89-ADB6-D9C93CAAB3DF}">
      <x14:dataValidations xmlns:xm="http://schemas.microsoft.com/office/excel/2006/main" count="1">
        <x14:dataValidation type="list" allowBlank="1" showInputMessage="1" showErrorMessage="1" xr:uid="{D1EBCE18-FC7A-4EE8-AD45-C30B0B142045}">
          <x14:formula1>
            <xm:f>'Total budget summary'!$G$69:$G$80</xm:f>
          </x14:formula1>
          <xm:sqref>L18:L58 L66:L106 L114:L154 L162:L202 L210:L252 L258:L298 L306:L367 L377:L438 L447:L508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tabColor theme="7" tint="0.39997558519241921"/>
  </sheetPr>
  <dimension ref="A1:AC227"/>
  <sheetViews>
    <sheetView showGridLines="0" view="pageBreakPreview" topLeftCell="J15" zoomScale="82" zoomScaleNormal="108" zoomScaleSheetLayoutView="67" workbookViewId="0">
      <selection activeCell="P21" sqref="P21"/>
    </sheetView>
  </sheetViews>
  <sheetFormatPr defaultColWidth="8.7109375" defaultRowHeight="16.5" x14ac:dyDescent="0.25"/>
  <cols>
    <col min="1" max="1" width="1.5703125" style="133" customWidth="1"/>
    <col min="2" max="2" width="2.42578125" style="133" customWidth="1"/>
    <col min="3" max="3" width="8.7109375" style="133" customWidth="1"/>
    <col min="4" max="4" width="60.42578125" style="133" customWidth="1"/>
    <col min="5" max="6" width="27.28515625" style="133" customWidth="1"/>
    <col min="7" max="7" width="25.42578125" style="133" customWidth="1"/>
    <col min="8" max="8" width="28.42578125" style="133" customWidth="1"/>
    <col min="9" max="9" width="26.7109375" style="133" customWidth="1"/>
    <col min="10" max="10" width="14.5703125" style="133" customWidth="1"/>
    <col min="11" max="11" width="13.5703125" style="133" customWidth="1"/>
    <col min="12" max="12" width="23.5703125" style="133" customWidth="1"/>
    <col min="13" max="13" width="25.42578125" style="133" customWidth="1"/>
    <col min="14" max="14" width="29.28515625" style="133" customWidth="1"/>
    <col min="15" max="15" width="32.140625" style="133" customWidth="1"/>
    <col min="16" max="16" width="28" style="133" customWidth="1"/>
    <col min="17" max="17" width="28.42578125" style="133" customWidth="1"/>
    <col min="18" max="18" width="32" style="133" customWidth="1"/>
    <col min="19" max="19" width="36.140625" style="133" customWidth="1"/>
    <col min="20" max="20" width="31.85546875" style="133" customWidth="1"/>
    <col min="21" max="21" width="28.28515625" style="133" customWidth="1"/>
    <col min="22" max="22" width="26.85546875" style="133" customWidth="1"/>
    <col min="23" max="23" width="22" style="133" customWidth="1"/>
    <col min="24" max="24" width="29" style="133" customWidth="1"/>
    <col min="25" max="25" width="25.7109375" style="133" customWidth="1"/>
    <col min="26" max="26" width="27.140625" style="133" customWidth="1"/>
    <col min="27" max="27" width="33.7109375" style="133" customWidth="1"/>
    <col min="28" max="28" width="33.140625" style="133" customWidth="1"/>
    <col min="29" max="29" width="24.5703125" style="133" customWidth="1"/>
    <col min="30" max="30" width="30.5703125" style="133" customWidth="1"/>
    <col min="31" max="16384" width="8.7109375" style="133"/>
  </cols>
  <sheetData>
    <row r="1" spans="2:26" ht="5.0999999999999996" customHeight="1" thickBot="1" x14ac:dyDescent="0.3"/>
    <row r="2" spans="2:26" ht="15" customHeight="1" thickBot="1" x14ac:dyDescent="0.3">
      <c r="B2" s="868" t="s">
        <v>33</v>
      </c>
      <c r="C2" s="869"/>
      <c r="D2" s="869"/>
      <c r="E2" s="869"/>
      <c r="F2" s="869"/>
      <c r="G2" s="870"/>
      <c r="H2" s="134"/>
    </row>
    <row r="3" spans="2:26" ht="5.0999999999999996" customHeight="1" thickBot="1" x14ac:dyDescent="0.3">
      <c r="B3" s="135"/>
      <c r="C3" s="136"/>
      <c r="D3" s="136"/>
      <c r="E3" s="136"/>
      <c r="F3" s="136"/>
      <c r="G3" s="136"/>
      <c r="H3" s="136"/>
    </row>
    <row r="4" spans="2:26" ht="25.5" customHeight="1" thickBot="1" x14ac:dyDescent="0.3">
      <c r="B4" s="873" t="s">
        <v>46</v>
      </c>
      <c r="C4" s="874"/>
      <c r="D4" s="874"/>
      <c r="E4" s="874"/>
      <c r="F4" s="874"/>
      <c r="G4" s="874"/>
      <c r="H4" s="874"/>
      <c r="I4" s="874"/>
      <c r="J4" s="874"/>
      <c r="K4" s="874"/>
      <c r="L4" s="874"/>
      <c r="M4" s="874"/>
      <c r="N4" s="874"/>
      <c r="O4" s="874"/>
      <c r="P4" s="874"/>
      <c r="Q4" s="874"/>
      <c r="R4" s="874"/>
      <c r="S4" s="874"/>
      <c r="T4" s="874"/>
      <c r="U4" s="874"/>
      <c r="V4" s="874"/>
      <c r="W4" s="874"/>
      <c r="X4" s="874"/>
      <c r="Y4" s="874"/>
      <c r="Z4" s="875"/>
    </row>
    <row r="5" spans="2:26" s="137" customFormat="1" ht="25.5" customHeight="1" x14ac:dyDescent="0.25">
      <c r="B5" s="138"/>
      <c r="C5" s="138"/>
      <c r="D5" s="138"/>
      <c r="E5" s="138"/>
      <c r="F5" s="138"/>
      <c r="G5" s="138"/>
      <c r="H5" s="138"/>
      <c r="I5" s="138"/>
      <c r="J5" s="138"/>
      <c r="K5" s="138"/>
      <c r="L5" s="138"/>
      <c r="M5" s="138"/>
      <c r="N5" s="138"/>
      <c r="O5" s="138"/>
      <c r="P5" s="138"/>
      <c r="Q5" s="138"/>
      <c r="R5" s="138"/>
      <c r="S5" s="138"/>
      <c r="T5" s="138"/>
      <c r="U5" s="138"/>
      <c r="V5" s="138"/>
      <c r="W5" s="138"/>
      <c r="X5" s="138"/>
      <c r="Y5" s="138"/>
      <c r="Z5" s="138"/>
    </row>
    <row r="6" spans="2:26" s="137" customFormat="1" ht="25.5" customHeight="1" x14ac:dyDescent="0.25">
      <c r="B6" s="138"/>
      <c r="C6" s="138"/>
      <c r="D6" s="138"/>
      <c r="E6" s="138"/>
      <c r="F6" s="138"/>
      <c r="I6" s="138"/>
      <c r="J6" s="138"/>
      <c r="K6" s="138"/>
      <c r="L6" s="138"/>
      <c r="M6" s="138"/>
      <c r="N6" s="138"/>
      <c r="O6" s="138"/>
      <c r="P6" s="138"/>
      <c r="Q6" s="138"/>
      <c r="R6" s="138"/>
      <c r="S6" s="138"/>
      <c r="T6" s="138"/>
      <c r="U6" s="138"/>
      <c r="V6" s="138"/>
      <c r="W6" s="138"/>
      <c r="X6" s="138"/>
      <c r="Y6" s="138"/>
      <c r="Z6" s="138"/>
    </row>
    <row r="7" spans="2:26" s="137" customFormat="1" ht="25.5" customHeight="1" x14ac:dyDescent="0.25">
      <c r="B7" s="138"/>
      <c r="C7" s="138"/>
      <c r="D7" s="138"/>
      <c r="E7" s="138"/>
      <c r="F7" s="138"/>
      <c r="G7" s="139" t="s">
        <v>539</v>
      </c>
      <c r="H7" s="140" t="s">
        <v>540</v>
      </c>
      <c r="I7" s="138"/>
      <c r="J7" s="138"/>
      <c r="K7" s="138"/>
      <c r="L7" s="138"/>
      <c r="M7" s="138"/>
      <c r="N7" s="138"/>
      <c r="O7" s="138"/>
      <c r="P7" s="138"/>
      <c r="Q7" s="138"/>
      <c r="R7" s="138"/>
      <c r="S7" s="138"/>
      <c r="T7" s="138"/>
      <c r="U7" s="138"/>
      <c r="V7" s="138"/>
      <c r="W7" s="138"/>
      <c r="X7" s="138"/>
      <c r="Y7" s="138"/>
      <c r="Z7" s="138"/>
    </row>
    <row r="8" spans="2:26" ht="21.75" customHeight="1" x14ac:dyDescent="0.25">
      <c r="C8" s="1008" t="s">
        <v>419</v>
      </c>
      <c r="D8" s="1008"/>
      <c r="E8" s="1008"/>
      <c r="F8" s="1008"/>
      <c r="G8" s="1008"/>
      <c r="H8" s="1008"/>
    </row>
    <row r="9" spans="2:26" ht="15.95" customHeight="1" x14ac:dyDescent="0.25">
      <c r="C9" s="991" t="s">
        <v>614</v>
      </c>
      <c r="D9" s="992"/>
      <c r="E9" s="992"/>
      <c r="F9" s="992"/>
      <c r="G9" s="992"/>
      <c r="H9" s="992"/>
    </row>
    <row r="10" spans="2:26" ht="15.95" customHeight="1" x14ac:dyDescent="0.25">
      <c r="C10" s="984" t="s">
        <v>417</v>
      </c>
      <c r="D10" s="984"/>
      <c r="E10" s="984"/>
      <c r="F10" s="984"/>
      <c r="G10" s="984"/>
      <c r="H10" s="984"/>
    </row>
    <row r="11" spans="2:26" ht="15.95" customHeight="1" x14ac:dyDescent="0.25">
      <c r="C11" s="985" t="s">
        <v>418</v>
      </c>
      <c r="D11" s="985"/>
      <c r="E11" s="985"/>
      <c r="F11" s="985"/>
      <c r="G11" s="985"/>
      <c r="H11" s="985"/>
    </row>
    <row r="12" spans="2:26" ht="15.95" customHeight="1" x14ac:dyDescent="0.25">
      <c r="C12" s="987" t="s">
        <v>761</v>
      </c>
      <c r="D12" s="987"/>
      <c r="E12" s="987"/>
      <c r="F12" s="987"/>
      <c r="G12" s="987"/>
      <c r="H12" s="987"/>
    </row>
    <row r="13" spans="2:26" ht="15.95" customHeight="1" x14ac:dyDescent="0.25">
      <c r="C13" s="986" t="s">
        <v>762</v>
      </c>
      <c r="D13" s="986"/>
      <c r="E13" s="986"/>
      <c r="F13" s="986"/>
      <c r="G13" s="986"/>
      <c r="H13" s="986"/>
      <c r="I13" s="248"/>
    </row>
    <row r="14" spans="2:26" ht="15.95" customHeight="1" x14ac:dyDescent="0.25">
      <c r="C14" s="986" t="s">
        <v>763</v>
      </c>
      <c r="D14" s="986"/>
      <c r="E14" s="986"/>
      <c r="F14" s="986"/>
      <c r="G14" s="986"/>
      <c r="H14" s="986"/>
    </row>
    <row r="15" spans="2:26" ht="15.95" customHeight="1" x14ac:dyDescent="0.25">
      <c r="C15" s="987" t="s">
        <v>764</v>
      </c>
      <c r="D15" s="987"/>
      <c r="E15" s="987"/>
      <c r="F15" s="987"/>
      <c r="G15" s="987"/>
      <c r="H15" s="987"/>
      <c r="I15" s="248"/>
      <c r="J15" s="248"/>
      <c r="K15" s="248"/>
      <c r="L15" s="248"/>
      <c r="M15" s="248"/>
      <c r="N15" s="248"/>
      <c r="O15" s="248"/>
      <c r="P15" s="248"/>
      <c r="Q15" s="248"/>
      <c r="R15" s="248"/>
      <c r="S15" s="248"/>
      <c r="T15" s="248"/>
      <c r="U15" s="248"/>
    </row>
    <row r="16" spans="2:26" ht="15.95" customHeight="1" x14ac:dyDescent="0.25"/>
    <row r="17" spans="3:27" ht="16.5" customHeight="1" x14ac:dyDescent="0.25">
      <c r="C17" s="789" t="s">
        <v>35</v>
      </c>
      <c r="D17" s="789" t="s">
        <v>464</v>
      </c>
      <c r="E17" s="769" t="s">
        <v>110</v>
      </c>
      <c r="F17" s="769" t="s">
        <v>49</v>
      </c>
      <c r="G17" s="789" t="s">
        <v>96</v>
      </c>
      <c r="H17" s="789" t="s">
        <v>420</v>
      </c>
      <c r="I17" s="789" t="s">
        <v>189</v>
      </c>
      <c r="J17" s="766" t="s">
        <v>188</v>
      </c>
      <c r="K17" s="766"/>
      <c r="L17" s="766"/>
      <c r="M17" s="766"/>
      <c r="N17" s="769" t="s">
        <v>519</v>
      </c>
      <c r="O17" s="769" t="s">
        <v>520</v>
      </c>
      <c r="P17" s="769" t="s">
        <v>51</v>
      </c>
      <c r="Q17" s="789" t="s">
        <v>190</v>
      </c>
      <c r="R17" s="789" t="s">
        <v>191</v>
      </c>
      <c r="S17" s="767" t="s">
        <v>53</v>
      </c>
      <c r="T17" s="942"/>
      <c r="U17" s="942"/>
      <c r="V17" s="942"/>
      <c r="W17" s="942"/>
      <c r="X17" s="942"/>
      <c r="Y17" s="768"/>
      <c r="Z17" s="789" t="s">
        <v>415</v>
      </c>
      <c r="AA17" s="789" t="s">
        <v>107</v>
      </c>
    </row>
    <row r="18" spans="3:27" ht="16.5" customHeight="1" x14ac:dyDescent="0.25">
      <c r="C18" s="789"/>
      <c r="D18" s="789"/>
      <c r="E18" s="956"/>
      <c r="F18" s="956"/>
      <c r="G18" s="789"/>
      <c r="H18" s="789"/>
      <c r="I18" s="789"/>
      <c r="J18" s="766"/>
      <c r="K18" s="766"/>
      <c r="L18" s="766"/>
      <c r="M18" s="766"/>
      <c r="N18" s="956"/>
      <c r="O18" s="956"/>
      <c r="P18" s="956"/>
      <c r="Q18" s="789"/>
      <c r="R18" s="789"/>
      <c r="S18" s="940" t="s">
        <v>54</v>
      </c>
      <c r="T18" s="944"/>
      <c r="U18" s="941"/>
      <c r="V18" s="998" t="s">
        <v>55</v>
      </c>
      <c r="W18" s="998"/>
      <c r="X18" s="998" t="s">
        <v>58</v>
      </c>
      <c r="Y18" s="998"/>
      <c r="Z18" s="789"/>
      <c r="AA18" s="789"/>
    </row>
    <row r="19" spans="3:27" ht="33.950000000000003" customHeight="1" x14ac:dyDescent="0.25">
      <c r="C19" s="789"/>
      <c r="D19" s="789"/>
      <c r="E19" s="770"/>
      <c r="F19" s="770"/>
      <c r="G19" s="789"/>
      <c r="H19" s="789"/>
      <c r="I19" s="789"/>
      <c r="J19" s="259" t="s">
        <v>37</v>
      </c>
      <c r="K19" s="259" t="s">
        <v>38</v>
      </c>
      <c r="L19" s="259" t="s">
        <v>39</v>
      </c>
      <c r="M19" s="259" t="s">
        <v>40</v>
      </c>
      <c r="N19" s="770"/>
      <c r="O19" s="770"/>
      <c r="P19" s="770"/>
      <c r="Q19" s="789"/>
      <c r="R19" s="789"/>
      <c r="S19" s="260" t="s">
        <v>62</v>
      </c>
      <c r="T19" s="260" t="s">
        <v>63</v>
      </c>
      <c r="U19" s="260" t="s">
        <v>282</v>
      </c>
      <c r="V19" s="260" t="s">
        <v>56</v>
      </c>
      <c r="W19" s="260" t="s">
        <v>57</v>
      </c>
      <c r="X19" s="260" t="s">
        <v>56</v>
      </c>
      <c r="Y19" s="260" t="s">
        <v>57</v>
      </c>
      <c r="Z19" s="789"/>
      <c r="AA19" s="789"/>
    </row>
    <row r="20" spans="3:27" x14ac:dyDescent="0.25">
      <c r="C20" s="988" t="s">
        <v>614</v>
      </c>
      <c r="D20" s="989"/>
      <c r="E20" s="989"/>
      <c r="F20" s="989"/>
      <c r="G20" s="989"/>
      <c r="H20" s="990"/>
      <c r="I20" s="267"/>
      <c r="J20" s="267"/>
      <c r="K20" s="267"/>
      <c r="L20" s="267"/>
      <c r="M20" s="267"/>
      <c r="N20" s="267"/>
      <c r="O20" s="267"/>
      <c r="P20" s="267"/>
      <c r="Q20" s="267"/>
      <c r="R20" s="267"/>
      <c r="S20" s="267"/>
      <c r="T20" s="267"/>
      <c r="U20" s="267"/>
      <c r="V20" s="267"/>
      <c r="W20" s="267"/>
      <c r="X20" s="267"/>
      <c r="Y20" s="267"/>
      <c r="Z20" s="267"/>
      <c r="AA20" s="267"/>
    </row>
    <row r="21" spans="3:27" ht="247.5" x14ac:dyDescent="0.3">
      <c r="C21" s="151" t="s">
        <v>324</v>
      </c>
      <c r="D21" s="473" t="s">
        <v>957</v>
      </c>
      <c r="E21" s="473" t="s">
        <v>958</v>
      </c>
      <c r="F21" s="473">
        <v>12000</v>
      </c>
      <c r="G21" s="473" t="s">
        <v>959</v>
      </c>
      <c r="H21" s="471" t="s">
        <v>960</v>
      </c>
      <c r="I21" s="473" t="s">
        <v>940</v>
      </c>
      <c r="J21" s="473"/>
      <c r="K21" s="473"/>
      <c r="L21" s="473"/>
      <c r="M21" s="704"/>
      <c r="N21" s="510">
        <v>45962</v>
      </c>
      <c r="O21" s="510">
        <v>45688</v>
      </c>
      <c r="P21" s="474">
        <v>8294.1660305000005</v>
      </c>
      <c r="Q21" s="212">
        <f>F21*P21</f>
        <v>99529992.366000012</v>
      </c>
      <c r="R21" s="68" t="s">
        <v>730</v>
      </c>
      <c r="S21" s="156">
        <v>0</v>
      </c>
      <c r="T21" s="156">
        <v>99529992.365432099</v>
      </c>
      <c r="U21" s="156">
        <v>0</v>
      </c>
      <c r="V21" s="151"/>
      <c r="W21" s="156">
        <v>0</v>
      </c>
      <c r="X21" s="151"/>
      <c r="Y21" s="156">
        <v>0</v>
      </c>
      <c r="Z21" s="212">
        <f>Q21-SUM(S21:U21, W21,Y21)</f>
        <v>5.6791305541992188E-4</v>
      </c>
      <c r="AA21" s="151"/>
    </row>
    <row r="22" spans="3:27" ht="231" x14ac:dyDescent="0.3">
      <c r="C22" s="151" t="s">
        <v>325</v>
      </c>
      <c r="D22" s="473" t="s">
        <v>961</v>
      </c>
      <c r="E22" s="473" t="s">
        <v>962</v>
      </c>
      <c r="F22" s="473">
        <v>23</v>
      </c>
      <c r="G22" s="473" t="s">
        <v>963</v>
      </c>
      <c r="H22" s="471" t="s">
        <v>964</v>
      </c>
      <c r="I22" s="473" t="s">
        <v>940</v>
      </c>
      <c r="J22" s="482"/>
      <c r="K22" s="482"/>
      <c r="L22" s="482"/>
      <c r="M22" s="704"/>
      <c r="N22" s="510">
        <v>45962</v>
      </c>
      <c r="O22" s="510">
        <v>45688</v>
      </c>
      <c r="P22" s="474">
        <v>309099.35517390998</v>
      </c>
      <c r="Q22" s="212">
        <f t="shared" ref="Q22:Q50" si="0">F22*P22</f>
        <v>7109285.1689999299</v>
      </c>
      <c r="R22" s="68" t="s">
        <v>736</v>
      </c>
      <c r="S22" s="156">
        <v>0</v>
      </c>
      <c r="T22" s="156">
        <v>7109285.1699999999</v>
      </c>
      <c r="U22" s="156">
        <v>0</v>
      </c>
      <c r="V22" s="151"/>
      <c r="W22" s="156">
        <v>0</v>
      </c>
      <c r="X22" s="151"/>
      <c r="Y22" s="156">
        <v>0</v>
      </c>
      <c r="Z22" s="212">
        <f t="shared" ref="Z22:Z50" si="1">Q22-SUM(S22:U22, W22,Y22)</f>
        <v>-1.0000700131058693E-3</v>
      </c>
      <c r="AA22" s="151"/>
    </row>
    <row r="23" spans="3:27" ht="99" x14ac:dyDescent="0.3">
      <c r="C23" s="151" t="s">
        <v>326</v>
      </c>
      <c r="D23" s="450" t="s">
        <v>965</v>
      </c>
      <c r="E23" s="473" t="s">
        <v>966</v>
      </c>
      <c r="F23" s="473">
        <v>3</v>
      </c>
      <c r="G23" s="473" t="s">
        <v>969</v>
      </c>
      <c r="H23" s="471" t="s">
        <v>972</v>
      </c>
      <c r="I23" s="473" t="s">
        <v>940</v>
      </c>
      <c r="J23" s="482"/>
      <c r="K23" s="482"/>
      <c r="L23" s="482"/>
      <c r="M23" s="704"/>
      <c r="N23" s="510">
        <v>45962</v>
      </c>
      <c r="O23" s="510">
        <v>45688</v>
      </c>
      <c r="P23" s="474">
        <v>4739523.4460000005</v>
      </c>
      <c r="Q23" s="212">
        <f t="shared" si="0"/>
        <v>14218570.338000001</v>
      </c>
      <c r="R23" s="68" t="s">
        <v>728</v>
      </c>
      <c r="S23" s="156">
        <v>0</v>
      </c>
      <c r="T23" s="156">
        <v>14218570.34</v>
      </c>
      <c r="U23" s="156">
        <v>0</v>
      </c>
      <c r="V23" s="151"/>
      <c r="W23" s="156">
        <v>0</v>
      </c>
      <c r="X23" s="151"/>
      <c r="Y23" s="156">
        <v>0</v>
      </c>
      <c r="Z23" s="212">
        <f t="shared" si="1"/>
        <v>-1.999998465180397E-3</v>
      </c>
      <c r="AA23" s="151"/>
    </row>
    <row r="24" spans="3:27" ht="66.75" thickBot="1" x14ac:dyDescent="0.35">
      <c r="C24" s="151" t="s">
        <v>327</v>
      </c>
      <c r="D24" s="468" t="s">
        <v>1521</v>
      </c>
      <c r="E24" s="473" t="s">
        <v>967</v>
      </c>
      <c r="F24" s="473">
        <v>3</v>
      </c>
      <c r="G24" s="473" t="s">
        <v>970</v>
      </c>
      <c r="H24" s="536" t="s">
        <v>973</v>
      </c>
      <c r="I24" s="473" t="s">
        <v>940</v>
      </c>
      <c r="J24" s="482"/>
      <c r="K24" s="482"/>
      <c r="L24" s="482"/>
      <c r="M24" s="704"/>
      <c r="N24" s="510">
        <v>45962</v>
      </c>
      <c r="O24" s="510">
        <v>45688</v>
      </c>
      <c r="P24" s="474">
        <v>4739523.4460000005</v>
      </c>
      <c r="Q24" s="212">
        <f t="shared" si="0"/>
        <v>14218570.338000001</v>
      </c>
      <c r="R24" s="68" t="s">
        <v>728</v>
      </c>
      <c r="S24" s="156">
        <v>0</v>
      </c>
      <c r="T24" s="156">
        <v>14218570.34</v>
      </c>
      <c r="U24" s="156">
        <v>0</v>
      </c>
      <c r="V24" s="151"/>
      <c r="W24" s="156">
        <v>0</v>
      </c>
      <c r="X24" s="151"/>
      <c r="Y24" s="156">
        <v>0</v>
      </c>
      <c r="Z24" s="212">
        <f t="shared" si="1"/>
        <v>-1.999998465180397E-3</v>
      </c>
      <c r="AA24" s="151"/>
    </row>
    <row r="25" spans="3:27" ht="66.75" thickBot="1" x14ac:dyDescent="0.35">
      <c r="C25" s="151" t="s">
        <v>328</v>
      </c>
      <c r="D25" s="546" t="s">
        <v>968</v>
      </c>
      <c r="E25" s="535" t="s">
        <v>1578</v>
      </c>
      <c r="F25" s="473">
        <v>23</v>
      </c>
      <c r="G25" s="473" t="s">
        <v>971</v>
      </c>
      <c r="H25" s="547" t="s">
        <v>974</v>
      </c>
      <c r="I25" s="473" t="s">
        <v>940</v>
      </c>
      <c r="J25" s="482"/>
      <c r="K25" s="482"/>
      <c r="L25" s="482"/>
      <c r="M25" s="704"/>
      <c r="N25" s="510">
        <v>45962</v>
      </c>
      <c r="O25" s="510">
        <v>45688</v>
      </c>
      <c r="P25" s="474">
        <v>309099.35517390998</v>
      </c>
      <c r="Q25" s="212">
        <f t="shared" si="0"/>
        <v>7109285.1689999299</v>
      </c>
      <c r="R25" s="68" t="s">
        <v>728</v>
      </c>
      <c r="S25" s="156">
        <v>0</v>
      </c>
      <c r="T25" s="156">
        <v>7109285.165</v>
      </c>
      <c r="U25" s="156">
        <v>0</v>
      </c>
      <c r="V25" s="151"/>
      <c r="W25" s="156">
        <v>0</v>
      </c>
      <c r="X25" s="151"/>
      <c r="Y25" s="156">
        <v>0</v>
      </c>
      <c r="Z25" s="212">
        <f t="shared" si="1"/>
        <v>3.9999298751354218E-3</v>
      </c>
      <c r="AA25" s="151"/>
    </row>
    <row r="26" spans="3:27" ht="17.25" hidden="1" x14ac:dyDescent="0.3">
      <c r="C26" s="151" t="s">
        <v>329</v>
      </c>
      <c r="D26" s="151"/>
      <c r="E26" s="151"/>
      <c r="F26" s="151"/>
      <c r="G26" s="151"/>
      <c r="H26" s="160"/>
      <c r="I26" s="151"/>
      <c r="J26" s="249"/>
      <c r="K26" s="249"/>
      <c r="L26" s="249"/>
      <c r="M26" s="249"/>
      <c r="N26" s="151"/>
      <c r="O26" s="151"/>
      <c r="P26" s="156">
        <v>0</v>
      </c>
      <c r="Q26" s="212">
        <f t="shared" si="0"/>
        <v>0</v>
      </c>
      <c r="R26" s="68"/>
      <c r="S26" s="156">
        <v>0</v>
      </c>
      <c r="T26" s="156">
        <v>0</v>
      </c>
      <c r="U26" s="156">
        <v>0</v>
      </c>
      <c r="V26" s="151"/>
      <c r="W26" s="156">
        <v>0</v>
      </c>
      <c r="X26" s="151"/>
      <c r="Y26" s="156">
        <v>0</v>
      </c>
      <c r="Z26" s="212">
        <f t="shared" si="1"/>
        <v>0</v>
      </c>
      <c r="AA26" s="151"/>
    </row>
    <row r="27" spans="3:27" ht="17.25" hidden="1" x14ac:dyDescent="0.3">
      <c r="C27" s="151" t="s">
        <v>330</v>
      </c>
      <c r="D27" s="151"/>
      <c r="E27" s="151"/>
      <c r="F27" s="151"/>
      <c r="G27" s="151"/>
      <c r="H27" s="160"/>
      <c r="I27" s="151"/>
      <c r="J27" s="249"/>
      <c r="K27" s="249"/>
      <c r="L27" s="249"/>
      <c r="M27" s="249"/>
      <c r="N27" s="151"/>
      <c r="O27" s="151"/>
      <c r="P27" s="156">
        <v>0</v>
      </c>
      <c r="Q27" s="212">
        <f t="shared" si="0"/>
        <v>0</v>
      </c>
      <c r="R27" s="68"/>
      <c r="S27" s="156">
        <v>0</v>
      </c>
      <c r="T27" s="156">
        <v>0</v>
      </c>
      <c r="U27" s="156">
        <v>0</v>
      </c>
      <c r="V27" s="151"/>
      <c r="W27" s="156">
        <v>0</v>
      </c>
      <c r="X27" s="151"/>
      <c r="Y27" s="156">
        <v>0</v>
      </c>
      <c r="Z27" s="212">
        <f t="shared" si="1"/>
        <v>0</v>
      </c>
      <c r="AA27" s="151"/>
    </row>
    <row r="28" spans="3:27" ht="17.25" hidden="1" x14ac:dyDescent="0.3">
      <c r="C28" s="151" t="s">
        <v>331</v>
      </c>
      <c r="D28" s="151"/>
      <c r="E28" s="151"/>
      <c r="F28" s="151"/>
      <c r="G28" s="151"/>
      <c r="H28" s="160"/>
      <c r="I28" s="151"/>
      <c r="J28" s="249"/>
      <c r="K28" s="249"/>
      <c r="L28" s="249"/>
      <c r="M28" s="249"/>
      <c r="N28" s="151"/>
      <c r="O28" s="151"/>
      <c r="P28" s="156">
        <v>0</v>
      </c>
      <c r="Q28" s="212">
        <f t="shared" si="0"/>
        <v>0</v>
      </c>
      <c r="R28" s="68"/>
      <c r="S28" s="156">
        <v>0</v>
      </c>
      <c r="T28" s="156">
        <v>0</v>
      </c>
      <c r="U28" s="156">
        <v>0</v>
      </c>
      <c r="V28" s="151"/>
      <c r="W28" s="156">
        <v>0</v>
      </c>
      <c r="X28" s="151"/>
      <c r="Y28" s="156">
        <v>0</v>
      </c>
      <c r="Z28" s="212">
        <f t="shared" si="1"/>
        <v>0</v>
      </c>
      <c r="AA28" s="151"/>
    </row>
    <row r="29" spans="3:27" ht="17.25" hidden="1" x14ac:dyDescent="0.3">
      <c r="C29" s="151" t="s">
        <v>332</v>
      </c>
      <c r="D29" s="151"/>
      <c r="E29" s="151"/>
      <c r="F29" s="151"/>
      <c r="G29" s="151"/>
      <c r="H29" s="160"/>
      <c r="I29" s="151"/>
      <c r="J29" s="249"/>
      <c r="K29" s="249"/>
      <c r="L29" s="249"/>
      <c r="M29" s="249"/>
      <c r="N29" s="151"/>
      <c r="O29" s="151"/>
      <c r="P29" s="156">
        <v>0</v>
      </c>
      <c r="Q29" s="212">
        <f t="shared" si="0"/>
        <v>0</v>
      </c>
      <c r="R29" s="68"/>
      <c r="S29" s="156">
        <v>0</v>
      </c>
      <c r="T29" s="156">
        <v>0</v>
      </c>
      <c r="U29" s="156">
        <v>0</v>
      </c>
      <c r="V29" s="151"/>
      <c r="W29" s="156">
        <v>0</v>
      </c>
      <c r="X29" s="151"/>
      <c r="Y29" s="156">
        <v>0</v>
      </c>
      <c r="Z29" s="212">
        <f t="shared" si="1"/>
        <v>0</v>
      </c>
      <c r="AA29" s="151"/>
    </row>
    <row r="30" spans="3:27" ht="17.25" hidden="1" x14ac:dyDescent="0.3">
      <c r="C30" s="151" t="s">
        <v>333</v>
      </c>
      <c r="D30" s="151"/>
      <c r="E30" s="151"/>
      <c r="F30" s="151"/>
      <c r="G30" s="151"/>
      <c r="H30" s="160"/>
      <c r="I30" s="151"/>
      <c r="J30" s="249"/>
      <c r="K30" s="249"/>
      <c r="L30" s="249"/>
      <c r="M30" s="249"/>
      <c r="N30" s="151"/>
      <c r="O30" s="151"/>
      <c r="P30" s="156">
        <v>0</v>
      </c>
      <c r="Q30" s="212">
        <f t="shared" si="0"/>
        <v>0</v>
      </c>
      <c r="R30" s="68"/>
      <c r="S30" s="156">
        <v>0</v>
      </c>
      <c r="T30" s="156">
        <v>0</v>
      </c>
      <c r="U30" s="156">
        <v>0</v>
      </c>
      <c r="V30" s="151"/>
      <c r="W30" s="156">
        <v>0</v>
      </c>
      <c r="X30" s="151"/>
      <c r="Y30" s="156">
        <v>0</v>
      </c>
      <c r="Z30" s="212">
        <f t="shared" si="1"/>
        <v>0</v>
      </c>
      <c r="AA30" s="151"/>
    </row>
    <row r="31" spans="3:27" ht="17.25" hidden="1" x14ac:dyDescent="0.3">
      <c r="C31" s="151" t="s">
        <v>334</v>
      </c>
      <c r="D31" s="151"/>
      <c r="E31" s="151"/>
      <c r="F31" s="151"/>
      <c r="G31" s="151"/>
      <c r="H31" s="160"/>
      <c r="I31" s="151"/>
      <c r="J31" s="249"/>
      <c r="K31" s="249"/>
      <c r="L31" s="249"/>
      <c r="M31" s="249"/>
      <c r="N31" s="151"/>
      <c r="O31" s="151"/>
      <c r="P31" s="156">
        <v>0</v>
      </c>
      <c r="Q31" s="212">
        <f t="shared" si="0"/>
        <v>0</v>
      </c>
      <c r="R31" s="68"/>
      <c r="S31" s="156">
        <v>0</v>
      </c>
      <c r="T31" s="156">
        <v>0</v>
      </c>
      <c r="U31" s="156">
        <v>0</v>
      </c>
      <c r="V31" s="151"/>
      <c r="W31" s="156">
        <v>0</v>
      </c>
      <c r="X31" s="151"/>
      <c r="Y31" s="156">
        <v>0</v>
      </c>
      <c r="Z31" s="212">
        <f t="shared" si="1"/>
        <v>0</v>
      </c>
      <c r="AA31" s="151"/>
    </row>
    <row r="32" spans="3:27" ht="17.25" hidden="1" x14ac:dyDescent="0.3">
      <c r="C32" s="151" t="s">
        <v>335</v>
      </c>
      <c r="D32" s="151"/>
      <c r="E32" s="151"/>
      <c r="F32" s="151"/>
      <c r="G32" s="151"/>
      <c r="H32" s="160"/>
      <c r="I32" s="151"/>
      <c r="J32" s="249"/>
      <c r="K32" s="249"/>
      <c r="L32" s="249"/>
      <c r="M32" s="249"/>
      <c r="N32" s="151"/>
      <c r="O32" s="151"/>
      <c r="P32" s="156">
        <v>0</v>
      </c>
      <c r="Q32" s="212">
        <f t="shared" si="0"/>
        <v>0</v>
      </c>
      <c r="R32" s="68"/>
      <c r="S32" s="156">
        <v>0</v>
      </c>
      <c r="T32" s="156">
        <v>0</v>
      </c>
      <c r="U32" s="156">
        <v>0</v>
      </c>
      <c r="V32" s="151"/>
      <c r="W32" s="156">
        <v>0</v>
      </c>
      <c r="X32" s="151"/>
      <c r="Y32" s="156">
        <v>0</v>
      </c>
      <c r="Z32" s="212">
        <f t="shared" si="1"/>
        <v>0</v>
      </c>
      <c r="AA32" s="151"/>
    </row>
    <row r="33" spans="3:27" ht="17.25" hidden="1" x14ac:dyDescent="0.3">
      <c r="C33" s="151" t="s">
        <v>336</v>
      </c>
      <c r="D33" s="151"/>
      <c r="E33" s="151"/>
      <c r="F33" s="151"/>
      <c r="G33" s="151"/>
      <c r="H33" s="160"/>
      <c r="I33" s="151"/>
      <c r="J33" s="249"/>
      <c r="K33" s="249"/>
      <c r="L33" s="249"/>
      <c r="M33" s="249"/>
      <c r="N33" s="151"/>
      <c r="O33" s="151"/>
      <c r="P33" s="156">
        <v>0</v>
      </c>
      <c r="Q33" s="212">
        <f t="shared" si="0"/>
        <v>0</v>
      </c>
      <c r="R33" s="68"/>
      <c r="S33" s="156">
        <v>0</v>
      </c>
      <c r="T33" s="156">
        <v>0</v>
      </c>
      <c r="U33" s="156">
        <v>0</v>
      </c>
      <c r="V33" s="151"/>
      <c r="W33" s="156">
        <v>0</v>
      </c>
      <c r="X33" s="151"/>
      <c r="Y33" s="156">
        <v>0</v>
      </c>
      <c r="Z33" s="212">
        <f t="shared" si="1"/>
        <v>0</v>
      </c>
      <c r="AA33" s="151"/>
    </row>
    <row r="34" spans="3:27" ht="17.25" hidden="1" x14ac:dyDescent="0.3">
      <c r="C34" s="151" t="s">
        <v>337</v>
      </c>
      <c r="D34" s="151"/>
      <c r="E34" s="151"/>
      <c r="F34" s="151"/>
      <c r="G34" s="151"/>
      <c r="H34" s="160"/>
      <c r="I34" s="151"/>
      <c r="J34" s="249"/>
      <c r="K34" s="249"/>
      <c r="L34" s="249"/>
      <c r="M34" s="249"/>
      <c r="N34" s="151"/>
      <c r="O34" s="151"/>
      <c r="P34" s="156">
        <v>0</v>
      </c>
      <c r="Q34" s="212">
        <f t="shared" si="0"/>
        <v>0</v>
      </c>
      <c r="R34" s="68"/>
      <c r="S34" s="156">
        <v>0</v>
      </c>
      <c r="T34" s="156">
        <v>0</v>
      </c>
      <c r="U34" s="156">
        <v>0</v>
      </c>
      <c r="V34" s="151"/>
      <c r="W34" s="156">
        <v>0</v>
      </c>
      <c r="X34" s="151"/>
      <c r="Y34" s="156">
        <v>0</v>
      </c>
      <c r="Z34" s="212">
        <f t="shared" si="1"/>
        <v>0</v>
      </c>
      <c r="AA34" s="151"/>
    </row>
    <row r="35" spans="3:27" ht="17.25" hidden="1" x14ac:dyDescent="0.3">
      <c r="C35" s="151" t="s">
        <v>338</v>
      </c>
      <c r="D35" s="151"/>
      <c r="E35" s="151"/>
      <c r="F35" s="151"/>
      <c r="G35" s="151"/>
      <c r="H35" s="160"/>
      <c r="I35" s="151"/>
      <c r="J35" s="249"/>
      <c r="K35" s="249"/>
      <c r="L35" s="249"/>
      <c r="M35" s="249"/>
      <c r="N35" s="151"/>
      <c r="O35" s="151"/>
      <c r="P35" s="156">
        <v>0</v>
      </c>
      <c r="Q35" s="212">
        <f t="shared" si="0"/>
        <v>0</v>
      </c>
      <c r="R35" s="68"/>
      <c r="S35" s="156">
        <v>0</v>
      </c>
      <c r="T35" s="156">
        <v>0</v>
      </c>
      <c r="U35" s="156">
        <v>0</v>
      </c>
      <c r="V35" s="151"/>
      <c r="W35" s="156">
        <v>0</v>
      </c>
      <c r="X35" s="151"/>
      <c r="Y35" s="156">
        <v>0</v>
      </c>
      <c r="Z35" s="212">
        <f t="shared" si="1"/>
        <v>0</v>
      </c>
      <c r="AA35" s="151"/>
    </row>
    <row r="36" spans="3:27" ht="17.25" hidden="1" x14ac:dyDescent="0.3">
      <c r="C36" s="151" t="s">
        <v>339</v>
      </c>
      <c r="D36" s="151"/>
      <c r="E36" s="151"/>
      <c r="F36" s="151"/>
      <c r="G36" s="151"/>
      <c r="H36" s="160"/>
      <c r="I36" s="151"/>
      <c r="J36" s="249"/>
      <c r="K36" s="249"/>
      <c r="L36" s="249"/>
      <c r="M36" s="249"/>
      <c r="N36" s="151"/>
      <c r="O36" s="151"/>
      <c r="P36" s="156">
        <v>0</v>
      </c>
      <c r="Q36" s="212">
        <f t="shared" si="0"/>
        <v>0</v>
      </c>
      <c r="R36" s="68"/>
      <c r="S36" s="156">
        <v>0</v>
      </c>
      <c r="T36" s="156">
        <v>0</v>
      </c>
      <c r="U36" s="156">
        <v>0</v>
      </c>
      <c r="V36" s="151"/>
      <c r="W36" s="156">
        <v>0</v>
      </c>
      <c r="X36" s="151"/>
      <c r="Y36" s="156">
        <v>0</v>
      </c>
      <c r="Z36" s="212">
        <f t="shared" si="1"/>
        <v>0</v>
      </c>
      <c r="AA36" s="151"/>
    </row>
    <row r="37" spans="3:27" ht="17.25" hidden="1" x14ac:dyDescent="0.3">
      <c r="C37" s="151" t="s">
        <v>340</v>
      </c>
      <c r="D37" s="151"/>
      <c r="E37" s="151"/>
      <c r="F37" s="151"/>
      <c r="G37" s="151"/>
      <c r="H37" s="160"/>
      <c r="I37" s="151"/>
      <c r="J37" s="249"/>
      <c r="K37" s="249"/>
      <c r="L37" s="249"/>
      <c r="M37" s="249"/>
      <c r="N37" s="151"/>
      <c r="O37" s="151"/>
      <c r="P37" s="156">
        <v>0</v>
      </c>
      <c r="Q37" s="212">
        <f t="shared" si="0"/>
        <v>0</v>
      </c>
      <c r="R37" s="68"/>
      <c r="S37" s="156">
        <v>0</v>
      </c>
      <c r="T37" s="156">
        <v>0</v>
      </c>
      <c r="U37" s="156">
        <v>0</v>
      </c>
      <c r="V37" s="151"/>
      <c r="W37" s="156">
        <v>0</v>
      </c>
      <c r="X37" s="151"/>
      <c r="Y37" s="156">
        <v>0</v>
      </c>
      <c r="Z37" s="212">
        <f t="shared" si="1"/>
        <v>0</v>
      </c>
      <c r="AA37" s="151"/>
    </row>
    <row r="38" spans="3:27" ht="17.25" hidden="1" x14ac:dyDescent="0.3">
      <c r="C38" s="151" t="s">
        <v>341</v>
      </c>
      <c r="D38" s="151"/>
      <c r="E38" s="151"/>
      <c r="F38" s="151"/>
      <c r="G38" s="151"/>
      <c r="H38" s="160"/>
      <c r="I38" s="151"/>
      <c r="J38" s="249"/>
      <c r="K38" s="249"/>
      <c r="L38" s="249"/>
      <c r="M38" s="249"/>
      <c r="N38" s="151"/>
      <c r="O38" s="151"/>
      <c r="P38" s="156">
        <v>0</v>
      </c>
      <c r="Q38" s="212">
        <f t="shared" si="0"/>
        <v>0</v>
      </c>
      <c r="R38" s="68"/>
      <c r="S38" s="156">
        <v>0</v>
      </c>
      <c r="T38" s="156">
        <v>0</v>
      </c>
      <c r="U38" s="156">
        <v>0</v>
      </c>
      <c r="V38" s="151"/>
      <c r="W38" s="156">
        <v>0</v>
      </c>
      <c r="X38" s="151"/>
      <c r="Y38" s="156">
        <v>0</v>
      </c>
      <c r="Z38" s="212">
        <f t="shared" si="1"/>
        <v>0</v>
      </c>
      <c r="AA38" s="151"/>
    </row>
    <row r="39" spans="3:27" ht="17.25" hidden="1" x14ac:dyDescent="0.3">
      <c r="C39" s="151" t="s">
        <v>342</v>
      </c>
      <c r="D39" s="151"/>
      <c r="E39" s="151"/>
      <c r="F39" s="151"/>
      <c r="G39" s="151"/>
      <c r="H39" s="160"/>
      <c r="I39" s="151"/>
      <c r="J39" s="249"/>
      <c r="K39" s="249"/>
      <c r="L39" s="249"/>
      <c r="M39" s="249"/>
      <c r="N39" s="151"/>
      <c r="O39" s="151"/>
      <c r="P39" s="156">
        <v>0</v>
      </c>
      <c r="Q39" s="212">
        <f t="shared" si="0"/>
        <v>0</v>
      </c>
      <c r="R39" s="68"/>
      <c r="S39" s="156">
        <v>0</v>
      </c>
      <c r="T39" s="156">
        <v>0</v>
      </c>
      <c r="U39" s="156">
        <v>0</v>
      </c>
      <c r="V39" s="151"/>
      <c r="W39" s="156">
        <v>0</v>
      </c>
      <c r="X39" s="151"/>
      <c r="Y39" s="156">
        <v>0</v>
      </c>
      <c r="Z39" s="212">
        <f t="shared" si="1"/>
        <v>0</v>
      </c>
      <c r="AA39" s="151"/>
    </row>
    <row r="40" spans="3:27" ht="17.25" hidden="1" x14ac:dyDescent="0.3">
      <c r="C40" s="151" t="s">
        <v>343</v>
      </c>
      <c r="D40" s="151"/>
      <c r="E40" s="151"/>
      <c r="F40" s="151"/>
      <c r="G40" s="151"/>
      <c r="H40" s="160"/>
      <c r="I40" s="151"/>
      <c r="J40" s="249"/>
      <c r="K40" s="249"/>
      <c r="L40" s="249"/>
      <c r="M40" s="249"/>
      <c r="N40" s="151"/>
      <c r="O40" s="151"/>
      <c r="P40" s="156">
        <v>0</v>
      </c>
      <c r="Q40" s="212">
        <f t="shared" si="0"/>
        <v>0</v>
      </c>
      <c r="R40" s="68"/>
      <c r="S40" s="156">
        <v>0</v>
      </c>
      <c r="T40" s="156">
        <v>0</v>
      </c>
      <c r="U40" s="156">
        <v>0</v>
      </c>
      <c r="V40" s="151"/>
      <c r="W40" s="156">
        <v>0</v>
      </c>
      <c r="X40" s="151"/>
      <c r="Y40" s="156">
        <v>0</v>
      </c>
      <c r="Z40" s="212">
        <f t="shared" si="1"/>
        <v>0</v>
      </c>
      <c r="AA40" s="151"/>
    </row>
    <row r="41" spans="3:27" ht="17.25" hidden="1" x14ac:dyDescent="0.3">
      <c r="C41" s="151" t="s">
        <v>344</v>
      </c>
      <c r="D41" s="151"/>
      <c r="E41" s="151"/>
      <c r="F41" s="151"/>
      <c r="G41" s="151"/>
      <c r="H41" s="160"/>
      <c r="I41" s="151"/>
      <c r="J41" s="249"/>
      <c r="K41" s="249"/>
      <c r="L41" s="249"/>
      <c r="M41" s="249"/>
      <c r="N41" s="151"/>
      <c r="O41" s="151"/>
      <c r="P41" s="156">
        <v>0</v>
      </c>
      <c r="Q41" s="212">
        <f t="shared" si="0"/>
        <v>0</v>
      </c>
      <c r="R41" s="68"/>
      <c r="S41" s="156">
        <v>0</v>
      </c>
      <c r="T41" s="156">
        <v>0</v>
      </c>
      <c r="U41" s="156">
        <v>0</v>
      </c>
      <c r="V41" s="151"/>
      <c r="W41" s="156">
        <v>0</v>
      </c>
      <c r="X41" s="151"/>
      <c r="Y41" s="156">
        <v>0</v>
      </c>
      <c r="Z41" s="212">
        <f t="shared" si="1"/>
        <v>0</v>
      </c>
      <c r="AA41" s="151"/>
    </row>
    <row r="42" spans="3:27" ht="17.25" hidden="1" x14ac:dyDescent="0.3">
      <c r="C42" s="151" t="s">
        <v>345</v>
      </c>
      <c r="D42" s="151"/>
      <c r="E42" s="151"/>
      <c r="F42" s="151"/>
      <c r="G42" s="151"/>
      <c r="H42" s="160"/>
      <c r="I42" s="151"/>
      <c r="J42" s="151"/>
      <c r="K42" s="151"/>
      <c r="L42" s="151"/>
      <c r="M42" s="151"/>
      <c r="N42" s="151"/>
      <c r="O42" s="151"/>
      <c r="P42" s="156">
        <v>0</v>
      </c>
      <c r="Q42" s="212">
        <f t="shared" si="0"/>
        <v>0</v>
      </c>
      <c r="R42" s="68"/>
      <c r="S42" s="156">
        <v>0</v>
      </c>
      <c r="T42" s="156">
        <v>0</v>
      </c>
      <c r="U42" s="156">
        <v>0</v>
      </c>
      <c r="V42" s="151"/>
      <c r="W42" s="156">
        <v>0</v>
      </c>
      <c r="X42" s="151"/>
      <c r="Y42" s="156">
        <v>0</v>
      </c>
      <c r="Z42" s="212">
        <f t="shared" si="1"/>
        <v>0</v>
      </c>
      <c r="AA42" s="151"/>
    </row>
    <row r="43" spans="3:27" ht="17.25" hidden="1" x14ac:dyDescent="0.3">
      <c r="C43" s="151" t="s">
        <v>346</v>
      </c>
      <c r="D43" s="151"/>
      <c r="E43" s="151"/>
      <c r="F43" s="151"/>
      <c r="G43" s="151"/>
      <c r="H43" s="160"/>
      <c r="I43" s="151"/>
      <c r="J43" s="151"/>
      <c r="K43" s="151"/>
      <c r="L43" s="151"/>
      <c r="M43" s="151"/>
      <c r="N43" s="151"/>
      <c r="O43" s="151"/>
      <c r="P43" s="156">
        <v>0</v>
      </c>
      <c r="Q43" s="212">
        <f t="shared" si="0"/>
        <v>0</v>
      </c>
      <c r="R43" s="68"/>
      <c r="S43" s="156">
        <v>0</v>
      </c>
      <c r="T43" s="156">
        <v>0</v>
      </c>
      <c r="U43" s="156">
        <v>0</v>
      </c>
      <c r="V43" s="151"/>
      <c r="W43" s="156">
        <v>0</v>
      </c>
      <c r="X43" s="151"/>
      <c r="Y43" s="156">
        <v>0</v>
      </c>
      <c r="Z43" s="212">
        <f t="shared" si="1"/>
        <v>0</v>
      </c>
      <c r="AA43" s="151"/>
    </row>
    <row r="44" spans="3:27" ht="17.25" hidden="1" x14ac:dyDescent="0.3">
      <c r="C44" s="151" t="s">
        <v>347</v>
      </c>
      <c r="D44" s="151"/>
      <c r="E44" s="151"/>
      <c r="F44" s="151"/>
      <c r="G44" s="151"/>
      <c r="H44" s="160"/>
      <c r="I44" s="151"/>
      <c r="J44" s="151"/>
      <c r="K44" s="151"/>
      <c r="L44" s="151"/>
      <c r="M44" s="151"/>
      <c r="N44" s="151"/>
      <c r="O44" s="151"/>
      <c r="P44" s="156">
        <v>0</v>
      </c>
      <c r="Q44" s="212">
        <f t="shared" si="0"/>
        <v>0</v>
      </c>
      <c r="R44" s="68"/>
      <c r="S44" s="156">
        <v>0</v>
      </c>
      <c r="T44" s="156">
        <v>0</v>
      </c>
      <c r="U44" s="156">
        <v>0</v>
      </c>
      <c r="V44" s="151"/>
      <c r="W44" s="156">
        <v>0</v>
      </c>
      <c r="X44" s="151"/>
      <c r="Y44" s="156">
        <v>0</v>
      </c>
      <c r="Z44" s="212">
        <f t="shared" si="1"/>
        <v>0</v>
      </c>
      <c r="AA44" s="151"/>
    </row>
    <row r="45" spans="3:27" ht="17.25" hidden="1" x14ac:dyDescent="0.3">
      <c r="C45" s="151" t="s">
        <v>348</v>
      </c>
      <c r="D45" s="151"/>
      <c r="E45" s="151"/>
      <c r="F45" s="151"/>
      <c r="G45" s="151"/>
      <c r="H45" s="160"/>
      <c r="I45" s="151"/>
      <c r="J45" s="151"/>
      <c r="K45" s="151"/>
      <c r="L45" s="151"/>
      <c r="M45" s="151"/>
      <c r="N45" s="151"/>
      <c r="O45" s="151"/>
      <c r="P45" s="156">
        <v>0</v>
      </c>
      <c r="Q45" s="212">
        <f t="shared" si="0"/>
        <v>0</v>
      </c>
      <c r="R45" s="68"/>
      <c r="S45" s="156">
        <v>0</v>
      </c>
      <c r="T45" s="156">
        <v>0</v>
      </c>
      <c r="U45" s="156">
        <v>0</v>
      </c>
      <c r="V45" s="151"/>
      <c r="W45" s="156">
        <v>0</v>
      </c>
      <c r="X45" s="151"/>
      <c r="Y45" s="156">
        <v>0</v>
      </c>
      <c r="Z45" s="212">
        <f t="shared" si="1"/>
        <v>0</v>
      </c>
      <c r="AA45" s="151"/>
    </row>
    <row r="46" spans="3:27" ht="17.25" hidden="1" x14ac:dyDescent="0.3">
      <c r="C46" s="151" t="s">
        <v>349</v>
      </c>
      <c r="D46" s="151"/>
      <c r="E46" s="151"/>
      <c r="F46" s="151"/>
      <c r="G46" s="151"/>
      <c r="H46" s="160"/>
      <c r="I46" s="151"/>
      <c r="J46" s="151"/>
      <c r="K46" s="151"/>
      <c r="L46" s="151"/>
      <c r="M46" s="151"/>
      <c r="N46" s="151"/>
      <c r="O46" s="151"/>
      <c r="P46" s="156">
        <v>0</v>
      </c>
      <c r="Q46" s="212">
        <f t="shared" si="0"/>
        <v>0</v>
      </c>
      <c r="R46" s="68"/>
      <c r="S46" s="156">
        <v>0</v>
      </c>
      <c r="T46" s="156">
        <v>0</v>
      </c>
      <c r="U46" s="156">
        <v>0</v>
      </c>
      <c r="V46" s="151"/>
      <c r="W46" s="156">
        <v>0</v>
      </c>
      <c r="X46" s="151"/>
      <c r="Y46" s="156">
        <v>0</v>
      </c>
      <c r="Z46" s="212">
        <f t="shared" si="1"/>
        <v>0</v>
      </c>
      <c r="AA46" s="151"/>
    </row>
    <row r="47" spans="3:27" ht="17.25" hidden="1" x14ac:dyDescent="0.3">
      <c r="C47" s="151" t="s">
        <v>350</v>
      </c>
      <c r="D47" s="151"/>
      <c r="E47" s="151"/>
      <c r="F47" s="151"/>
      <c r="G47" s="151"/>
      <c r="H47" s="160"/>
      <c r="I47" s="151"/>
      <c r="J47" s="151"/>
      <c r="K47" s="151"/>
      <c r="L47" s="151"/>
      <c r="M47" s="151"/>
      <c r="N47" s="151"/>
      <c r="O47" s="151"/>
      <c r="P47" s="156">
        <v>0</v>
      </c>
      <c r="Q47" s="212">
        <f t="shared" si="0"/>
        <v>0</v>
      </c>
      <c r="R47" s="68"/>
      <c r="S47" s="156">
        <v>0</v>
      </c>
      <c r="T47" s="156">
        <v>0</v>
      </c>
      <c r="U47" s="156">
        <v>0</v>
      </c>
      <c r="V47" s="151"/>
      <c r="W47" s="156">
        <v>0</v>
      </c>
      <c r="X47" s="151"/>
      <c r="Y47" s="156">
        <v>0</v>
      </c>
      <c r="Z47" s="212">
        <f t="shared" si="1"/>
        <v>0</v>
      </c>
      <c r="AA47" s="151"/>
    </row>
    <row r="48" spans="3:27" ht="17.25" hidden="1" x14ac:dyDescent="0.3">
      <c r="C48" s="151" t="s">
        <v>351</v>
      </c>
      <c r="D48" s="151"/>
      <c r="E48" s="151"/>
      <c r="F48" s="151"/>
      <c r="G48" s="151"/>
      <c r="H48" s="160"/>
      <c r="I48" s="151"/>
      <c r="J48" s="151"/>
      <c r="K48" s="151"/>
      <c r="L48" s="151"/>
      <c r="M48" s="151"/>
      <c r="N48" s="151"/>
      <c r="O48" s="151"/>
      <c r="P48" s="156">
        <v>0</v>
      </c>
      <c r="Q48" s="212">
        <f t="shared" si="0"/>
        <v>0</v>
      </c>
      <c r="R48" s="68"/>
      <c r="S48" s="156">
        <v>0</v>
      </c>
      <c r="T48" s="156">
        <v>0</v>
      </c>
      <c r="U48" s="156">
        <v>0</v>
      </c>
      <c r="V48" s="151"/>
      <c r="W48" s="156">
        <v>0</v>
      </c>
      <c r="X48" s="151"/>
      <c r="Y48" s="156">
        <v>0</v>
      </c>
      <c r="Z48" s="212">
        <f t="shared" si="1"/>
        <v>0</v>
      </c>
      <c r="AA48" s="151"/>
    </row>
    <row r="49" spans="3:27" ht="17.25" hidden="1" x14ac:dyDescent="0.3">
      <c r="C49" s="151" t="s">
        <v>352</v>
      </c>
      <c r="D49" s="151"/>
      <c r="E49" s="151"/>
      <c r="F49" s="151"/>
      <c r="G49" s="151"/>
      <c r="H49" s="160"/>
      <c r="I49" s="151"/>
      <c r="J49" s="151"/>
      <c r="K49" s="151"/>
      <c r="L49" s="151"/>
      <c r="M49" s="151"/>
      <c r="N49" s="151"/>
      <c r="O49" s="151"/>
      <c r="P49" s="156">
        <v>0</v>
      </c>
      <c r="Q49" s="212">
        <f>F49*P49</f>
        <v>0</v>
      </c>
      <c r="R49" s="68"/>
      <c r="S49" s="156">
        <v>0</v>
      </c>
      <c r="T49" s="156">
        <v>0</v>
      </c>
      <c r="U49" s="156">
        <v>0</v>
      </c>
      <c r="V49" s="151"/>
      <c r="W49" s="156">
        <v>0</v>
      </c>
      <c r="X49" s="151"/>
      <c r="Y49" s="156">
        <v>0</v>
      </c>
      <c r="Z49" s="212">
        <f t="shared" si="1"/>
        <v>0</v>
      </c>
      <c r="AA49" s="151"/>
    </row>
    <row r="50" spans="3:27" ht="17.25" hidden="1" x14ac:dyDescent="0.3">
      <c r="C50" s="151" t="s">
        <v>353</v>
      </c>
      <c r="D50" s="151"/>
      <c r="E50" s="151"/>
      <c r="F50" s="151"/>
      <c r="G50" s="151"/>
      <c r="H50" s="160"/>
      <c r="I50" s="151"/>
      <c r="J50" s="151"/>
      <c r="K50" s="151"/>
      <c r="L50" s="151"/>
      <c r="M50" s="151"/>
      <c r="N50" s="151"/>
      <c r="O50" s="151"/>
      <c r="P50" s="156">
        <v>0</v>
      </c>
      <c r="Q50" s="212">
        <f t="shared" si="0"/>
        <v>0</v>
      </c>
      <c r="R50" s="68"/>
      <c r="S50" s="156">
        <v>0</v>
      </c>
      <c r="T50" s="156">
        <v>0</v>
      </c>
      <c r="U50" s="156">
        <v>0</v>
      </c>
      <c r="V50" s="151"/>
      <c r="W50" s="156">
        <v>0</v>
      </c>
      <c r="X50" s="151"/>
      <c r="Y50" s="156">
        <v>0</v>
      </c>
      <c r="Z50" s="212">
        <f t="shared" si="1"/>
        <v>0</v>
      </c>
      <c r="AA50" s="151"/>
    </row>
    <row r="51" spans="3:27" x14ac:dyDescent="0.25">
      <c r="C51" s="859" t="s">
        <v>133</v>
      </c>
      <c r="D51" s="859"/>
      <c r="E51" s="159"/>
      <c r="F51" s="159"/>
      <c r="G51" s="159"/>
      <c r="H51" s="250"/>
      <c r="I51" s="159"/>
      <c r="J51" s="159"/>
      <c r="K51" s="159"/>
      <c r="L51" s="159"/>
      <c r="M51" s="159"/>
      <c r="N51" s="159"/>
      <c r="O51" s="158"/>
      <c r="P51" s="158"/>
      <c r="Q51" s="214">
        <f>SUM(Q21:Q50)</f>
        <v>142185703.37999988</v>
      </c>
      <c r="R51" s="158"/>
      <c r="S51" s="214">
        <f>SUM(S21:S50)</f>
        <v>0</v>
      </c>
      <c r="T51" s="214">
        <f>SUM(T21:T50)</f>
        <v>142185703.3804321</v>
      </c>
      <c r="U51" s="214">
        <f>SUM(U21:U50)</f>
        <v>0</v>
      </c>
      <c r="V51" s="834">
        <f>SUM(W21:W50,Y21:Y50)</f>
        <v>0</v>
      </c>
      <c r="W51" s="835"/>
      <c r="X51" s="835"/>
      <c r="Y51" s="836"/>
      <c r="Z51" s="214">
        <f>SUM(Z21:Z50)</f>
        <v>-4.3222401291131973E-4</v>
      </c>
      <c r="AA51" s="151"/>
    </row>
    <row r="52" spans="3:27" x14ac:dyDescent="0.25">
      <c r="H52" s="251"/>
    </row>
    <row r="53" spans="3:27" ht="16.5" customHeight="1" x14ac:dyDescent="0.25">
      <c r="C53" s="789" t="s">
        <v>35</v>
      </c>
      <c r="D53" s="789" t="s">
        <v>34</v>
      </c>
      <c r="E53" s="769" t="s">
        <v>110</v>
      </c>
      <c r="F53" s="769" t="s">
        <v>49</v>
      </c>
      <c r="G53" s="789" t="s">
        <v>96</v>
      </c>
      <c r="H53" s="789" t="s">
        <v>420</v>
      </c>
      <c r="I53" s="789" t="s">
        <v>189</v>
      </c>
      <c r="J53" s="766" t="s">
        <v>36</v>
      </c>
      <c r="K53" s="766"/>
      <c r="L53" s="766"/>
      <c r="M53" s="766"/>
      <c r="N53" s="769" t="s">
        <v>519</v>
      </c>
      <c r="O53" s="769" t="s">
        <v>520</v>
      </c>
      <c r="P53" s="769" t="s">
        <v>51</v>
      </c>
      <c r="Q53" s="789" t="s">
        <v>190</v>
      </c>
      <c r="R53" s="789" t="s">
        <v>191</v>
      </c>
      <c r="S53" s="767" t="s">
        <v>53</v>
      </c>
      <c r="T53" s="942"/>
      <c r="U53" s="942"/>
      <c r="V53" s="942"/>
      <c r="W53" s="942"/>
      <c r="X53" s="942"/>
      <c r="Y53" s="768"/>
      <c r="Z53" s="789" t="s">
        <v>415</v>
      </c>
      <c r="AA53" s="789" t="s">
        <v>107</v>
      </c>
    </row>
    <row r="54" spans="3:27" ht="16.5" customHeight="1" x14ac:dyDescent="0.25">
      <c r="C54" s="789"/>
      <c r="D54" s="789"/>
      <c r="E54" s="956"/>
      <c r="F54" s="956"/>
      <c r="G54" s="789"/>
      <c r="H54" s="789"/>
      <c r="I54" s="789"/>
      <c r="J54" s="766"/>
      <c r="K54" s="766"/>
      <c r="L54" s="766"/>
      <c r="M54" s="766"/>
      <c r="N54" s="956"/>
      <c r="O54" s="956"/>
      <c r="P54" s="956"/>
      <c r="Q54" s="789"/>
      <c r="R54" s="789"/>
      <c r="S54" s="940" t="s">
        <v>54</v>
      </c>
      <c r="T54" s="944"/>
      <c r="U54" s="941"/>
      <c r="V54" s="258" t="s">
        <v>55</v>
      </c>
      <c r="W54" s="258"/>
      <c r="X54" s="258" t="s">
        <v>58</v>
      </c>
      <c r="Y54" s="258"/>
      <c r="Z54" s="789"/>
      <c r="AA54" s="789"/>
    </row>
    <row r="55" spans="3:27" ht="33" x14ac:dyDescent="0.25">
      <c r="C55" s="789"/>
      <c r="D55" s="789"/>
      <c r="E55" s="770"/>
      <c r="F55" s="770"/>
      <c r="G55" s="789"/>
      <c r="H55" s="789"/>
      <c r="I55" s="789"/>
      <c r="J55" s="259" t="s">
        <v>37</v>
      </c>
      <c r="K55" s="259" t="s">
        <v>38</v>
      </c>
      <c r="L55" s="259" t="s">
        <v>39</v>
      </c>
      <c r="M55" s="259" t="s">
        <v>40</v>
      </c>
      <c r="N55" s="770"/>
      <c r="O55" s="770"/>
      <c r="P55" s="770"/>
      <c r="Q55" s="789"/>
      <c r="R55" s="789"/>
      <c r="S55" s="260" t="s">
        <v>62</v>
      </c>
      <c r="T55" s="260" t="s">
        <v>63</v>
      </c>
      <c r="U55" s="260" t="s">
        <v>282</v>
      </c>
      <c r="V55" s="260" t="s">
        <v>56</v>
      </c>
      <c r="W55" s="260" t="s">
        <v>57</v>
      </c>
      <c r="X55" s="260" t="s">
        <v>56</v>
      </c>
      <c r="Y55" s="260" t="s">
        <v>57</v>
      </c>
      <c r="Z55" s="789"/>
      <c r="AA55" s="789"/>
    </row>
    <row r="56" spans="3:27" x14ac:dyDescent="0.25">
      <c r="C56" s="999" t="s">
        <v>595</v>
      </c>
      <c r="D56" s="1000"/>
      <c r="E56" s="1000"/>
      <c r="F56" s="1000"/>
      <c r="G56" s="1000"/>
      <c r="H56" s="1001"/>
      <c r="I56" s="268"/>
      <c r="J56" s="268"/>
      <c r="K56" s="268"/>
      <c r="L56" s="268"/>
      <c r="M56" s="268"/>
      <c r="N56" s="268"/>
      <c r="O56" s="268"/>
      <c r="P56" s="268"/>
      <c r="Q56" s="268"/>
      <c r="R56" s="268"/>
      <c r="S56" s="268"/>
      <c r="T56" s="268"/>
      <c r="U56" s="268"/>
      <c r="V56" s="268"/>
      <c r="W56" s="268"/>
      <c r="X56" s="268"/>
      <c r="Y56" s="268"/>
      <c r="Z56" s="268"/>
      <c r="AA56" s="268"/>
    </row>
    <row r="57" spans="3:27" ht="86.1" customHeight="1" x14ac:dyDescent="0.3">
      <c r="C57" s="151" t="s">
        <v>354</v>
      </c>
      <c r="D57" s="361" t="str">
        <f>'Infrastructure Projects'!D1422</f>
        <v>PROCUREMENT OF LITERACY AND NUMERACY TEXT/WORKBOOKS FOR PRIMARY SCHOOLS</v>
      </c>
      <c r="E57" s="645" t="s">
        <v>1551</v>
      </c>
      <c r="F57" s="17">
        <v>80000</v>
      </c>
      <c r="G57" s="151" t="s">
        <v>1788</v>
      </c>
      <c r="H57" s="648" t="s">
        <v>868</v>
      </c>
      <c r="I57" s="151" t="s">
        <v>935</v>
      </c>
      <c r="J57" s="151"/>
      <c r="K57" s="151"/>
      <c r="L57" s="151"/>
      <c r="M57" s="704"/>
      <c r="N57" s="510">
        <v>45962</v>
      </c>
      <c r="O57" s="510">
        <v>45688</v>
      </c>
      <c r="P57" s="993">
        <f>'Infrastructure Projects'!P1421</f>
        <v>721626000</v>
      </c>
      <c r="Q57" s="994"/>
      <c r="R57" s="68"/>
      <c r="S57" s="156">
        <v>0</v>
      </c>
      <c r="T57" s="156">
        <v>722400000</v>
      </c>
      <c r="U57" s="156">
        <v>0</v>
      </c>
      <c r="V57" s="151"/>
      <c r="W57" s="156">
        <v>0</v>
      </c>
      <c r="X57" s="151"/>
      <c r="Y57" s="156">
        <v>0</v>
      </c>
      <c r="Z57" s="212">
        <f>Q57-SUM(S57:U57, W57,Y57)</f>
        <v>-722400000</v>
      </c>
      <c r="AA57" s="151"/>
    </row>
    <row r="58" spans="3:27" ht="17.25" hidden="1" x14ac:dyDescent="0.3">
      <c r="C58" s="151" t="s">
        <v>355</v>
      </c>
      <c r="D58" s="17"/>
      <c r="E58" s="17"/>
      <c r="F58" s="17">
        <v>1</v>
      </c>
      <c r="G58" s="151"/>
      <c r="H58" s="151"/>
      <c r="I58" s="151"/>
      <c r="J58" s="151"/>
      <c r="K58" s="151"/>
      <c r="L58" s="151"/>
      <c r="M58" s="151"/>
      <c r="N58" s="151"/>
      <c r="O58" s="151"/>
      <c r="P58" s="156">
        <v>722400000</v>
      </c>
      <c r="Q58" s="212">
        <f t="shared" ref="Q58:Q86" si="2">F58*P58</f>
        <v>722400000</v>
      </c>
      <c r="R58" s="68"/>
      <c r="S58" s="156">
        <v>0</v>
      </c>
      <c r="T58" s="156">
        <v>0</v>
      </c>
      <c r="U58" s="156">
        <v>0</v>
      </c>
      <c r="V58" s="151"/>
      <c r="W58" s="156">
        <v>0</v>
      </c>
      <c r="X58" s="151"/>
      <c r="Y58" s="156">
        <v>0</v>
      </c>
      <c r="Z58" s="212">
        <f t="shared" ref="Z58:Z86" si="3">Q58-SUM(S58:U58, W58,Y58)</f>
        <v>722400000</v>
      </c>
      <c r="AA58" s="151"/>
    </row>
    <row r="59" spans="3:27" ht="17.25" hidden="1" x14ac:dyDescent="0.3">
      <c r="C59" s="151" t="s">
        <v>356</v>
      </c>
      <c r="D59" s="252"/>
      <c r="E59" s="17"/>
      <c r="F59" s="17"/>
      <c r="G59" s="151"/>
      <c r="H59" s="151"/>
      <c r="I59" s="151"/>
      <c r="J59" s="151"/>
      <c r="K59" s="151"/>
      <c r="L59" s="151"/>
      <c r="M59" s="151"/>
      <c r="N59" s="151"/>
      <c r="O59" s="151"/>
      <c r="P59" s="156">
        <v>0</v>
      </c>
      <c r="Q59" s="212">
        <f t="shared" si="2"/>
        <v>0</v>
      </c>
      <c r="R59" s="68"/>
      <c r="S59" s="156">
        <v>0</v>
      </c>
      <c r="T59" s="156">
        <v>0</v>
      </c>
      <c r="U59" s="156">
        <v>0</v>
      </c>
      <c r="V59" s="151"/>
      <c r="W59" s="156">
        <v>0</v>
      </c>
      <c r="X59" s="151"/>
      <c r="Y59" s="156">
        <v>0</v>
      </c>
      <c r="Z59" s="212">
        <f t="shared" si="3"/>
        <v>0</v>
      </c>
      <c r="AA59" s="151"/>
    </row>
    <row r="60" spans="3:27" ht="17.25" hidden="1" x14ac:dyDescent="0.3">
      <c r="C60" s="151" t="s">
        <v>357</v>
      </c>
      <c r="D60" s="17"/>
      <c r="E60" s="17"/>
      <c r="F60" s="17"/>
      <c r="G60" s="151"/>
      <c r="H60" s="151"/>
      <c r="I60" s="151"/>
      <c r="J60" s="151"/>
      <c r="K60" s="151"/>
      <c r="L60" s="151"/>
      <c r="M60" s="151"/>
      <c r="N60" s="151"/>
      <c r="O60" s="151"/>
      <c r="P60" s="156">
        <v>0</v>
      </c>
      <c r="Q60" s="212">
        <f t="shared" si="2"/>
        <v>0</v>
      </c>
      <c r="R60" s="68"/>
      <c r="S60" s="156">
        <v>0</v>
      </c>
      <c r="T60" s="156">
        <v>0</v>
      </c>
      <c r="U60" s="156">
        <v>0</v>
      </c>
      <c r="V60" s="151"/>
      <c r="W60" s="156">
        <v>0</v>
      </c>
      <c r="X60" s="151"/>
      <c r="Y60" s="156">
        <v>0</v>
      </c>
      <c r="Z60" s="212">
        <f t="shared" si="3"/>
        <v>0</v>
      </c>
      <c r="AA60" s="151"/>
    </row>
    <row r="61" spans="3:27" ht="17.25" hidden="1" x14ac:dyDescent="0.3">
      <c r="C61" s="151" t="s">
        <v>358</v>
      </c>
      <c r="D61" s="17"/>
      <c r="E61" s="17"/>
      <c r="F61" s="17"/>
      <c r="G61" s="151"/>
      <c r="H61" s="151"/>
      <c r="I61" s="151"/>
      <c r="J61" s="151"/>
      <c r="K61" s="151"/>
      <c r="L61" s="151"/>
      <c r="M61" s="151"/>
      <c r="N61" s="151"/>
      <c r="O61" s="151"/>
      <c r="P61" s="156">
        <v>0</v>
      </c>
      <c r="Q61" s="212">
        <f t="shared" si="2"/>
        <v>0</v>
      </c>
      <c r="R61" s="68"/>
      <c r="S61" s="156">
        <v>0</v>
      </c>
      <c r="T61" s="156">
        <v>0</v>
      </c>
      <c r="U61" s="156">
        <v>0</v>
      </c>
      <c r="V61" s="151"/>
      <c r="W61" s="156">
        <v>0</v>
      </c>
      <c r="X61" s="151"/>
      <c r="Y61" s="156">
        <v>0</v>
      </c>
      <c r="Z61" s="212">
        <f t="shared" si="3"/>
        <v>0</v>
      </c>
      <c r="AA61" s="151"/>
    </row>
    <row r="62" spans="3:27" ht="17.25" hidden="1" x14ac:dyDescent="0.3">
      <c r="C62" s="151" t="s">
        <v>359</v>
      </c>
      <c r="D62" s="17"/>
      <c r="E62" s="17"/>
      <c r="F62" s="17"/>
      <c r="G62" s="151"/>
      <c r="H62" s="151"/>
      <c r="I62" s="151"/>
      <c r="J62" s="151"/>
      <c r="K62" s="151"/>
      <c r="L62" s="151"/>
      <c r="M62" s="151"/>
      <c r="N62" s="151"/>
      <c r="O62" s="151"/>
      <c r="P62" s="156">
        <v>0</v>
      </c>
      <c r="Q62" s="212">
        <f t="shared" si="2"/>
        <v>0</v>
      </c>
      <c r="R62" s="68"/>
      <c r="S62" s="156">
        <v>0</v>
      </c>
      <c r="T62" s="156">
        <v>0</v>
      </c>
      <c r="U62" s="156">
        <v>0</v>
      </c>
      <c r="V62" s="151"/>
      <c r="W62" s="156">
        <v>0</v>
      </c>
      <c r="X62" s="151"/>
      <c r="Y62" s="156">
        <v>0</v>
      </c>
      <c r="Z62" s="212">
        <f t="shared" si="3"/>
        <v>0</v>
      </c>
      <c r="AA62" s="151"/>
    </row>
    <row r="63" spans="3:27" ht="17.25" hidden="1" x14ac:dyDescent="0.3">
      <c r="C63" s="151" t="s">
        <v>360</v>
      </c>
      <c r="D63" s="17"/>
      <c r="E63" s="17"/>
      <c r="F63" s="17"/>
      <c r="G63" s="151"/>
      <c r="H63" s="151"/>
      <c r="I63" s="151"/>
      <c r="J63" s="151"/>
      <c r="K63" s="151"/>
      <c r="L63" s="151"/>
      <c r="M63" s="151"/>
      <c r="N63" s="151"/>
      <c r="O63" s="151"/>
      <c r="P63" s="156">
        <v>0</v>
      </c>
      <c r="Q63" s="212">
        <f t="shared" si="2"/>
        <v>0</v>
      </c>
      <c r="R63" s="68"/>
      <c r="S63" s="156">
        <v>0</v>
      </c>
      <c r="T63" s="156">
        <v>0</v>
      </c>
      <c r="U63" s="156">
        <v>0</v>
      </c>
      <c r="V63" s="151"/>
      <c r="W63" s="156">
        <v>0</v>
      </c>
      <c r="X63" s="151"/>
      <c r="Y63" s="156">
        <v>0</v>
      </c>
      <c r="Z63" s="212">
        <f t="shared" si="3"/>
        <v>0</v>
      </c>
      <c r="AA63" s="151"/>
    </row>
    <row r="64" spans="3:27" ht="17.25" hidden="1" x14ac:dyDescent="0.3">
      <c r="C64" s="151" t="s">
        <v>361</v>
      </c>
      <c r="D64" s="17"/>
      <c r="E64" s="17"/>
      <c r="F64" s="17"/>
      <c r="G64" s="151"/>
      <c r="H64" s="151"/>
      <c r="I64" s="151"/>
      <c r="J64" s="151"/>
      <c r="K64" s="151"/>
      <c r="L64" s="151"/>
      <c r="M64" s="151"/>
      <c r="N64" s="151"/>
      <c r="O64" s="151"/>
      <c r="P64" s="156">
        <v>0</v>
      </c>
      <c r="Q64" s="212">
        <f t="shared" si="2"/>
        <v>0</v>
      </c>
      <c r="R64" s="68"/>
      <c r="S64" s="156">
        <v>0</v>
      </c>
      <c r="T64" s="156">
        <v>0</v>
      </c>
      <c r="U64" s="156">
        <v>0</v>
      </c>
      <c r="V64" s="151"/>
      <c r="W64" s="156">
        <v>0</v>
      </c>
      <c r="X64" s="151"/>
      <c r="Y64" s="156">
        <v>0</v>
      </c>
      <c r="Z64" s="212">
        <f t="shared" si="3"/>
        <v>0</v>
      </c>
      <c r="AA64" s="151"/>
    </row>
    <row r="65" spans="3:27" ht="17.25" hidden="1" x14ac:dyDescent="0.3">
      <c r="C65" s="151" t="s">
        <v>362</v>
      </c>
      <c r="D65" s="17"/>
      <c r="E65" s="17"/>
      <c r="F65" s="17"/>
      <c r="G65" s="151"/>
      <c r="H65" s="151"/>
      <c r="I65" s="151"/>
      <c r="J65" s="151"/>
      <c r="K65" s="151"/>
      <c r="L65" s="151"/>
      <c r="M65" s="151"/>
      <c r="N65" s="151"/>
      <c r="O65" s="151"/>
      <c r="P65" s="156">
        <v>0</v>
      </c>
      <c r="Q65" s="212">
        <f t="shared" si="2"/>
        <v>0</v>
      </c>
      <c r="R65" s="68"/>
      <c r="S65" s="156">
        <v>0</v>
      </c>
      <c r="T65" s="156">
        <v>0</v>
      </c>
      <c r="U65" s="156">
        <v>0</v>
      </c>
      <c r="V65" s="151"/>
      <c r="W65" s="156">
        <v>0</v>
      </c>
      <c r="X65" s="151"/>
      <c r="Y65" s="156">
        <v>0</v>
      </c>
      <c r="Z65" s="212">
        <f t="shared" si="3"/>
        <v>0</v>
      </c>
      <c r="AA65" s="151"/>
    </row>
    <row r="66" spans="3:27" ht="17.25" hidden="1" x14ac:dyDescent="0.3">
      <c r="C66" s="151" t="s">
        <v>363</v>
      </c>
      <c r="D66" s="17"/>
      <c r="E66" s="17"/>
      <c r="F66" s="17"/>
      <c r="G66" s="151"/>
      <c r="H66" s="151"/>
      <c r="I66" s="151"/>
      <c r="J66" s="151"/>
      <c r="K66" s="151"/>
      <c r="L66" s="151"/>
      <c r="M66" s="151"/>
      <c r="N66" s="151"/>
      <c r="O66" s="151"/>
      <c r="P66" s="156">
        <v>0</v>
      </c>
      <c r="Q66" s="212">
        <f t="shared" si="2"/>
        <v>0</v>
      </c>
      <c r="R66" s="68"/>
      <c r="S66" s="156">
        <v>0</v>
      </c>
      <c r="T66" s="156">
        <v>0</v>
      </c>
      <c r="U66" s="156">
        <v>0</v>
      </c>
      <c r="V66" s="151"/>
      <c r="W66" s="156">
        <v>0</v>
      </c>
      <c r="X66" s="151"/>
      <c r="Y66" s="156">
        <v>0</v>
      </c>
      <c r="Z66" s="212">
        <f t="shared" si="3"/>
        <v>0</v>
      </c>
      <c r="AA66" s="151"/>
    </row>
    <row r="67" spans="3:27" ht="17.25" hidden="1" x14ac:dyDescent="0.3">
      <c r="C67" s="151" t="s">
        <v>364</v>
      </c>
      <c r="D67" s="17"/>
      <c r="E67" s="17"/>
      <c r="F67" s="17"/>
      <c r="G67" s="151"/>
      <c r="H67" s="151"/>
      <c r="I67" s="151"/>
      <c r="J67" s="151"/>
      <c r="K67" s="151"/>
      <c r="L67" s="151"/>
      <c r="M67" s="151"/>
      <c r="N67" s="151"/>
      <c r="O67" s="151"/>
      <c r="P67" s="156">
        <v>0</v>
      </c>
      <c r="Q67" s="212">
        <f t="shared" si="2"/>
        <v>0</v>
      </c>
      <c r="R67" s="68"/>
      <c r="S67" s="156">
        <v>0</v>
      </c>
      <c r="T67" s="156">
        <v>0</v>
      </c>
      <c r="U67" s="156">
        <v>0</v>
      </c>
      <c r="V67" s="151"/>
      <c r="W67" s="156">
        <v>0</v>
      </c>
      <c r="X67" s="151"/>
      <c r="Y67" s="156">
        <v>0</v>
      </c>
      <c r="Z67" s="212">
        <f t="shared" si="3"/>
        <v>0</v>
      </c>
      <c r="AA67" s="151"/>
    </row>
    <row r="68" spans="3:27" ht="17.25" hidden="1" x14ac:dyDescent="0.3">
      <c r="C68" s="151" t="s">
        <v>365</v>
      </c>
      <c r="D68" s="17"/>
      <c r="E68" s="17"/>
      <c r="F68" s="17"/>
      <c r="G68" s="151"/>
      <c r="H68" s="151"/>
      <c r="I68" s="151"/>
      <c r="J68" s="151"/>
      <c r="K68" s="151"/>
      <c r="L68" s="151"/>
      <c r="M68" s="151"/>
      <c r="N68" s="151"/>
      <c r="O68" s="151"/>
      <c r="P68" s="156">
        <v>0</v>
      </c>
      <c r="Q68" s="212">
        <f t="shared" si="2"/>
        <v>0</v>
      </c>
      <c r="R68" s="68"/>
      <c r="S68" s="156">
        <v>0</v>
      </c>
      <c r="T68" s="156">
        <v>0</v>
      </c>
      <c r="U68" s="156">
        <v>0</v>
      </c>
      <c r="V68" s="151"/>
      <c r="W68" s="156">
        <v>0</v>
      </c>
      <c r="X68" s="151"/>
      <c r="Y68" s="156">
        <v>0</v>
      </c>
      <c r="Z68" s="212">
        <f t="shared" si="3"/>
        <v>0</v>
      </c>
      <c r="AA68" s="151"/>
    </row>
    <row r="69" spans="3:27" ht="17.25" hidden="1" x14ac:dyDescent="0.3">
      <c r="C69" s="151" t="s">
        <v>366</v>
      </c>
      <c r="D69" s="17"/>
      <c r="E69" s="17"/>
      <c r="F69" s="17"/>
      <c r="G69" s="151"/>
      <c r="H69" s="151"/>
      <c r="I69" s="151"/>
      <c r="J69" s="151"/>
      <c r="K69" s="151"/>
      <c r="L69" s="151"/>
      <c r="M69" s="151"/>
      <c r="N69" s="151"/>
      <c r="O69" s="151"/>
      <c r="P69" s="156">
        <v>0</v>
      </c>
      <c r="Q69" s="212">
        <f t="shared" si="2"/>
        <v>0</v>
      </c>
      <c r="R69" s="68"/>
      <c r="S69" s="156">
        <v>0</v>
      </c>
      <c r="T69" s="156">
        <v>0</v>
      </c>
      <c r="U69" s="156">
        <v>0</v>
      </c>
      <c r="V69" s="151"/>
      <c r="W69" s="156">
        <v>0</v>
      </c>
      <c r="X69" s="151"/>
      <c r="Y69" s="156">
        <v>0</v>
      </c>
      <c r="Z69" s="212">
        <f t="shared" si="3"/>
        <v>0</v>
      </c>
      <c r="AA69" s="151"/>
    </row>
    <row r="70" spans="3:27" ht="17.25" hidden="1" x14ac:dyDescent="0.3">
      <c r="C70" s="151" t="s">
        <v>367</v>
      </c>
      <c r="D70" s="17"/>
      <c r="E70" s="17"/>
      <c r="F70" s="17"/>
      <c r="G70" s="151"/>
      <c r="H70" s="151"/>
      <c r="I70" s="151"/>
      <c r="J70" s="151"/>
      <c r="K70" s="151"/>
      <c r="L70" s="151"/>
      <c r="M70" s="151"/>
      <c r="N70" s="151"/>
      <c r="O70" s="151"/>
      <c r="P70" s="156">
        <v>0</v>
      </c>
      <c r="Q70" s="212">
        <f t="shared" si="2"/>
        <v>0</v>
      </c>
      <c r="R70" s="68"/>
      <c r="S70" s="156">
        <v>0</v>
      </c>
      <c r="T70" s="156">
        <v>0</v>
      </c>
      <c r="U70" s="156">
        <v>0</v>
      </c>
      <c r="V70" s="151"/>
      <c r="W70" s="156">
        <v>0</v>
      </c>
      <c r="X70" s="151"/>
      <c r="Y70" s="156">
        <v>0</v>
      </c>
      <c r="Z70" s="212">
        <f t="shared" si="3"/>
        <v>0</v>
      </c>
      <c r="AA70" s="151"/>
    </row>
    <row r="71" spans="3:27" ht="17.25" hidden="1" x14ac:dyDescent="0.3">
      <c r="C71" s="151" t="s">
        <v>368</v>
      </c>
      <c r="D71" s="17"/>
      <c r="E71" s="17"/>
      <c r="F71" s="17"/>
      <c r="G71" s="151"/>
      <c r="H71" s="151"/>
      <c r="I71" s="151"/>
      <c r="J71" s="151"/>
      <c r="K71" s="151"/>
      <c r="L71" s="151"/>
      <c r="M71" s="151"/>
      <c r="N71" s="151"/>
      <c r="O71" s="151"/>
      <c r="P71" s="156">
        <v>0</v>
      </c>
      <c r="Q71" s="212">
        <f t="shared" si="2"/>
        <v>0</v>
      </c>
      <c r="R71" s="68"/>
      <c r="S71" s="156">
        <v>0</v>
      </c>
      <c r="T71" s="156">
        <v>0</v>
      </c>
      <c r="U71" s="156">
        <v>0</v>
      </c>
      <c r="V71" s="151"/>
      <c r="W71" s="156">
        <v>0</v>
      </c>
      <c r="X71" s="151"/>
      <c r="Y71" s="156">
        <v>0</v>
      </c>
      <c r="Z71" s="212">
        <f t="shared" si="3"/>
        <v>0</v>
      </c>
      <c r="AA71" s="151"/>
    </row>
    <row r="72" spans="3:27" ht="17.25" hidden="1" x14ac:dyDescent="0.3">
      <c r="C72" s="151" t="s">
        <v>369</v>
      </c>
      <c r="D72" s="17"/>
      <c r="E72" s="17"/>
      <c r="F72" s="17"/>
      <c r="G72" s="151"/>
      <c r="H72" s="151"/>
      <c r="I72" s="151"/>
      <c r="J72" s="151"/>
      <c r="K72" s="151"/>
      <c r="L72" s="151"/>
      <c r="M72" s="151"/>
      <c r="N72" s="151"/>
      <c r="O72" s="151"/>
      <c r="P72" s="156">
        <v>0</v>
      </c>
      <c r="Q72" s="212">
        <f t="shared" si="2"/>
        <v>0</v>
      </c>
      <c r="R72" s="68"/>
      <c r="S72" s="156">
        <v>0</v>
      </c>
      <c r="T72" s="156">
        <v>0</v>
      </c>
      <c r="U72" s="156">
        <v>0</v>
      </c>
      <c r="V72" s="151"/>
      <c r="W72" s="156">
        <v>0</v>
      </c>
      <c r="X72" s="151"/>
      <c r="Y72" s="156">
        <v>0</v>
      </c>
      <c r="Z72" s="212">
        <f t="shared" si="3"/>
        <v>0</v>
      </c>
      <c r="AA72" s="151"/>
    </row>
    <row r="73" spans="3:27" ht="17.25" hidden="1" x14ac:dyDescent="0.3">
      <c r="C73" s="151" t="s">
        <v>370</v>
      </c>
      <c r="D73" s="17"/>
      <c r="E73" s="17"/>
      <c r="F73" s="17"/>
      <c r="G73" s="151"/>
      <c r="H73" s="151"/>
      <c r="I73" s="151"/>
      <c r="J73" s="151"/>
      <c r="K73" s="151"/>
      <c r="L73" s="151"/>
      <c r="M73" s="151"/>
      <c r="N73" s="151"/>
      <c r="O73" s="151"/>
      <c r="P73" s="156">
        <v>0</v>
      </c>
      <c r="Q73" s="212">
        <f t="shared" si="2"/>
        <v>0</v>
      </c>
      <c r="R73" s="68"/>
      <c r="S73" s="156">
        <v>0</v>
      </c>
      <c r="T73" s="156">
        <v>0</v>
      </c>
      <c r="U73" s="156">
        <v>0</v>
      </c>
      <c r="V73" s="151"/>
      <c r="W73" s="156">
        <v>0</v>
      </c>
      <c r="X73" s="151"/>
      <c r="Y73" s="156">
        <v>0</v>
      </c>
      <c r="Z73" s="212">
        <f t="shared" si="3"/>
        <v>0</v>
      </c>
      <c r="AA73" s="151"/>
    </row>
    <row r="74" spans="3:27" ht="17.25" hidden="1" x14ac:dyDescent="0.3">
      <c r="C74" s="151" t="s">
        <v>371</v>
      </c>
      <c r="D74" s="17"/>
      <c r="E74" s="17"/>
      <c r="F74" s="17"/>
      <c r="G74" s="151"/>
      <c r="H74" s="151"/>
      <c r="I74" s="151"/>
      <c r="J74" s="151"/>
      <c r="K74" s="151"/>
      <c r="L74" s="151"/>
      <c r="M74" s="151"/>
      <c r="N74" s="151"/>
      <c r="O74" s="151"/>
      <c r="P74" s="156">
        <v>0</v>
      </c>
      <c r="Q74" s="212">
        <f t="shared" si="2"/>
        <v>0</v>
      </c>
      <c r="R74" s="68"/>
      <c r="S74" s="156">
        <v>0</v>
      </c>
      <c r="T74" s="156">
        <v>0</v>
      </c>
      <c r="U74" s="156">
        <v>0</v>
      </c>
      <c r="V74" s="151"/>
      <c r="W74" s="156">
        <v>0</v>
      </c>
      <c r="X74" s="151"/>
      <c r="Y74" s="156">
        <v>0</v>
      </c>
      <c r="Z74" s="212">
        <f t="shared" si="3"/>
        <v>0</v>
      </c>
      <c r="AA74" s="151"/>
    </row>
    <row r="75" spans="3:27" ht="17.25" hidden="1" x14ac:dyDescent="0.3">
      <c r="C75" s="151" t="s">
        <v>372</v>
      </c>
      <c r="D75" s="17"/>
      <c r="E75" s="17"/>
      <c r="F75" s="17"/>
      <c r="G75" s="151"/>
      <c r="H75" s="151"/>
      <c r="I75" s="151"/>
      <c r="J75" s="151"/>
      <c r="K75" s="151"/>
      <c r="L75" s="151"/>
      <c r="M75" s="151"/>
      <c r="N75" s="151"/>
      <c r="O75" s="151"/>
      <c r="P75" s="156">
        <v>0</v>
      </c>
      <c r="Q75" s="212">
        <f t="shared" si="2"/>
        <v>0</v>
      </c>
      <c r="R75" s="68"/>
      <c r="S75" s="156">
        <v>0</v>
      </c>
      <c r="T75" s="156">
        <v>0</v>
      </c>
      <c r="U75" s="156">
        <v>0</v>
      </c>
      <c r="V75" s="151"/>
      <c r="W75" s="156">
        <v>0</v>
      </c>
      <c r="X75" s="151"/>
      <c r="Y75" s="156">
        <v>0</v>
      </c>
      <c r="Z75" s="212">
        <f t="shared" si="3"/>
        <v>0</v>
      </c>
      <c r="AA75" s="151"/>
    </row>
    <row r="76" spans="3:27" ht="17.25" hidden="1" x14ac:dyDescent="0.3">
      <c r="C76" s="151" t="s">
        <v>373</v>
      </c>
      <c r="D76" s="17"/>
      <c r="E76" s="17"/>
      <c r="F76" s="17"/>
      <c r="G76" s="151"/>
      <c r="H76" s="151"/>
      <c r="I76" s="151"/>
      <c r="J76" s="151"/>
      <c r="K76" s="151"/>
      <c r="L76" s="151"/>
      <c r="M76" s="151"/>
      <c r="N76" s="151"/>
      <c r="O76" s="151"/>
      <c r="P76" s="156">
        <v>0</v>
      </c>
      <c r="Q76" s="212">
        <f t="shared" si="2"/>
        <v>0</v>
      </c>
      <c r="R76" s="68"/>
      <c r="S76" s="156">
        <v>0</v>
      </c>
      <c r="T76" s="156">
        <v>0</v>
      </c>
      <c r="U76" s="156">
        <v>0</v>
      </c>
      <c r="V76" s="151"/>
      <c r="W76" s="156">
        <v>0</v>
      </c>
      <c r="X76" s="151"/>
      <c r="Y76" s="156">
        <v>0</v>
      </c>
      <c r="Z76" s="212">
        <f t="shared" si="3"/>
        <v>0</v>
      </c>
      <c r="AA76" s="151"/>
    </row>
    <row r="77" spans="3:27" ht="17.25" hidden="1" x14ac:dyDescent="0.3">
      <c r="C77" s="151" t="s">
        <v>374</v>
      </c>
      <c r="D77" s="17"/>
      <c r="E77" s="17"/>
      <c r="F77" s="17"/>
      <c r="G77" s="151"/>
      <c r="H77" s="151"/>
      <c r="I77" s="151"/>
      <c r="J77" s="151"/>
      <c r="K77" s="151"/>
      <c r="L77" s="151"/>
      <c r="M77" s="151"/>
      <c r="N77" s="151"/>
      <c r="O77" s="151"/>
      <c r="P77" s="156">
        <v>0</v>
      </c>
      <c r="Q77" s="212">
        <f t="shared" si="2"/>
        <v>0</v>
      </c>
      <c r="R77" s="68"/>
      <c r="S77" s="156">
        <v>0</v>
      </c>
      <c r="T77" s="156">
        <v>0</v>
      </c>
      <c r="U77" s="156">
        <v>0</v>
      </c>
      <c r="V77" s="151"/>
      <c r="W77" s="156">
        <v>0</v>
      </c>
      <c r="X77" s="151"/>
      <c r="Y77" s="156">
        <v>0</v>
      </c>
      <c r="Z77" s="212">
        <f t="shared" si="3"/>
        <v>0</v>
      </c>
      <c r="AA77" s="151"/>
    </row>
    <row r="78" spans="3:27" ht="17.25" hidden="1" x14ac:dyDescent="0.3">
      <c r="C78" s="151" t="s">
        <v>375</v>
      </c>
      <c r="D78" s="17"/>
      <c r="E78" s="17"/>
      <c r="F78" s="17"/>
      <c r="G78" s="151"/>
      <c r="H78" s="151"/>
      <c r="I78" s="151"/>
      <c r="J78" s="151"/>
      <c r="K78" s="151"/>
      <c r="L78" s="151"/>
      <c r="M78" s="151"/>
      <c r="N78" s="151"/>
      <c r="O78" s="151"/>
      <c r="P78" s="156">
        <v>0</v>
      </c>
      <c r="Q78" s="212">
        <f t="shared" si="2"/>
        <v>0</v>
      </c>
      <c r="R78" s="68"/>
      <c r="S78" s="156">
        <v>0</v>
      </c>
      <c r="T78" s="156">
        <v>0</v>
      </c>
      <c r="U78" s="156">
        <v>0</v>
      </c>
      <c r="V78" s="151"/>
      <c r="W78" s="156">
        <v>0</v>
      </c>
      <c r="X78" s="151"/>
      <c r="Y78" s="156">
        <v>0</v>
      </c>
      <c r="Z78" s="212">
        <f t="shared" si="3"/>
        <v>0</v>
      </c>
      <c r="AA78" s="151"/>
    </row>
    <row r="79" spans="3:27" ht="17.25" hidden="1" x14ac:dyDescent="0.3">
      <c r="C79" s="151" t="s">
        <v>376</v>
      </c>
      <c r="D79" s="17"/>
      <c r="E79" s="17"/>
      <c r="F79" s="17"/>
      <c r="G79" s="151"/>
      <c r="H79" s="151"/>
      <c r="I79" s="151"/>
      <c r="J79" s="151"/>
      <c r="K79" s="151"/>
      <c r="L79" s="151"/>
      <c r="M79" s="151"/>
      <c r="N79" s="151"/>
      <c r="O79" s="151"/>
      <c r="P79" s="156">
        <v>0</v>
      </c>
      <c r="Q79" s="212">
        <f t="shared" si="2"/>
        <v>0</v>
      </c>
      <c r="R79" s="68"/>
      <c r="S79" s="156">
        <v>0</v>
      </c>
      <c r="T79" s="156">
        <v>0</v>
      </c>
      <c r="U79" s="156">
        <v>0</v>
      </c>
      <c r="V79" s="151"/>
      <c r="W79" s="156">
        <v>0</v>
      </c>
      <c r="X79" s="151"/>
      <c r="Y79" s="156">
        <v>0</v>
      </c>
      <c r="Z79" s="212">
        <f t="shared" si="3"/>
        <v>0</v>
      </c>
      <c r="AA79" s="151"/>
    </row>
    <row r="80" spans="3:27" ht="17.25" hidden="1" x14ac:dyDescent="0.3">
      <c r="C80" s="151" t="s">
        <v>377</v>
      </c>
      <c r="D80" s="17"/>
      <c r="E80" s="17"/>
      <c r="F80" s="17"/>
      <c r="G80" s="151"/>
      <c r="H80" s="151"/>
      <c r="I80" s="151"/>
      <c r="J80" s="151"/>
      <c r="K80" s="151"/>
      <c r="L80" s="151"/>
      <c r="M80" s="151"/>
      <c r="N80" s="151"/>
      <c r="O80" s="151"/>
      <c r="P80" s="156">
        <v>0</v>
      </c>
      <c r="Q80" s="212">
        <f t="shared" si="2"/>
        <v>0</v>
      </c>
      <c r="R80" s="68"/>
      <c r="S80" s="156">
        <v>0</v>
      </c>
      <c r="T80" s="156">
        <v>0</v>
      </c>
      <c r="U80" s="156">
        <v>0</v>
      </c>
      <c r="V80" s="151"/>
      <c r="W80" s="156">
        <v>0</v>
      </c>
      <c r="X80" s="151"/>
      <c r="Y80" s="156">
        <v>0</v>
      </c>
      <c r="Z80" s="212">
        <f t="shared" si="3"/>
        <v>0</v>
      </c>
      <c r="AA80" s="151"/>
    </row>
    <row r="81" spans="3:29" ht="17.25" hidden="1" x14ac:dyDescent="0.3">
      <c r="C81" s="151" t="s">
        <v>378</v>
      </c>
      <c r="D81" s="17"/>
      <c r="E81" s="17"/>
      <c r="F81" s="17"/>
      <c r="G81" s="151"/>
      <c r="H81" s="151"/>
      <c r="I81" s="151"/>
      <c r="J81" s="151"/>
      <c r="K81" s="151"/>
      <c r="L81" s="151"/>
      <c r="M81" s="151"/>
      <c r="N81" s="151"/>
      <c r="O81" s="151"/>
      <c r="P81" s="156">
        <v>0</v>
      </c>
      <c r="Q81" s="212">
        <f t="shared" si="2"/>
        <v>0</v>
      </c>
      <c r="R81" s="68"/>
      <c r="S81" s="156">
        <v>0</v>
      </c>
      <c r="T81" s="156">
        <v>0</v>
      </c>
      <c r="U81" s="156">
        <v>0</v>
      </c>
      <c r="V81" s="151"/>
      <c r="W81" s="156">
        <v>0</v>
      </c>
      <c r="X81" s="151"/>
      <c r="Y81" s="156">
        <v>0</v>
      </c>
      <c r="Z81" s="212">
        <f t="shared" si="3"/>
        <v>0</v>
      </c>
      <c r="AA81" s="151"/>
    </row>
    <row r="82" spans="3:29" ht="17.25" hidden="1" x14ac:dyDescent="0.3">
      <c r="C82" s="151" t="s">
        <v>379</v>
      </c>
      <c r="D82" s="17"/>
      <c r="E82" s="17"/>
      <c r="F82" s="17"/>
      <c r="G82" s="151"/>
      <c r="H82" s="151"/>
      <c r="I82" s="151"/>
      <c r="J82" s="151"/>
      <c r="K82" s="151"/>
      <c r="L82" s="151"/>
      <c r="M82" s="151"/>
      <c r="N82" s="151"/>
      <c r="O82" s="151"/>
      <c r="P82" s="156">
        <v>0</v>
      </c>
      <c r="Q82" s="212">
        <f t="shared" si="2"/>
        <v>0</v>
      </c>
      <c r="R82" s="68"/>
      <c r="S82" s="156">
        <v>0</v>
      </c>
      <c r="T82" s="156">
        <v>0</v>
      </c>
      <c r="U82" s="156">
        <v>0</v>
      </c>
      <c r="V82" s="151"/>
      <c r="W82" s="156">
        <v>0</v>
      </c>
      <c r="X82" s="151"/>
      <c r="Y82" s="156">
        <v>0</v>
      </c>
      <c r="Z82" s="212">
        <f t="shared" si="3"/>
        <v>0</v>
      </c>
      <c r="AA82" s="151"/>
    </row>
    <row r="83" spans="3:29" ht="17.25" hidden="1" x14ac:dyDescent="0.3">
      <c r="C83" s="151" t="s">
        <v>380</v>
      </c>
      <c r="D83" s="17"/>
      <c r="E83" s="17"/>
      <c r="F83" s="17"/>
      <c r="G83" s="151"/>
      <c r="H83" s="151"/>
      <c r="I83" s="151"/>
      <c r="J83" s="151"/>
      <c r="K83" s="151"/>
      <c r="L83" s="151"/>
      <c r="M83" s="151"/>
      <c r="N83" s="151"/>
      <c r="O83" s="151"/>
      <c r="P83" s="156">
        <v>0</v>
      </c>
      <c r="Q83" s="212">
        <f t="shared" si="2"/>
        <v>0</v>
      </c>
      <c r="R83" s="68"/>
      <c r="S83" s="156">
        <v>0</v>
      </c>
      <c r="T83" s="156">
        <v>0</v>
      </c>
      <c r="U83" s="156">
        <v>0</v>
      </c>
      <c r="V83" s="151"/>
      <c r="W83" s="156">
        <v>0</v>
      </c>
      <c r="X83" s="151"/>
      <c r="Y83" s="156">
        <v>0</v>
      </c>
      <c r="Z83" s="212">
        <f t="shared" si="3"/>
        <v>0</v>
      </c>
      <c r="AA83" s="151"/>
    </row>
    <row r="84" spans="3:29" ht="17.25" hidden="1" x14ac:dyDescent="0.3">
      <c r="C84" s="151" t="s">
        <v>381</v>
      </c>
      <c r="D84" s="17"/>
      <c r="E84" s="17"/>
      <c r="F84" s="17"/>
      <c r="G84" s="151"/>
      <c r="H84" s="151"/>
      <c r="I84" s="151"/>
      <c r="J84" s="151"/>
      <c r="K84" s="151"/>
      <c r="L84" s="151"/>
      <c r="M84" s="151"/>
      <c r="N84" s="151"/>
      <c r="O84" s="151"/>
      <c r="P84" s="156">
        <v>0</v>
      </c>
      <c r="Q84" s="212">
        <f t="shared" si="2"/>
        <v>0</v>
      </c>
      <c r="R84" s="68"/>
      <c r="S84" s="156">
        <v>0</v>
      </c>
      <c r="T84" s="156">
        <v>0</v>
      </c>
      <c r="U84" s="156">
        <v>0</v>
      </c>
      <c r="V84" s="151"/>
      <c r="W84" s="156">
        <v>0</v>
      </c>
      <c r="X84" s="151"/>
      <c r="Y84" s="156">
        <v>0</v>
      </c>
      <c r="Z84" s="212">
        <f t="shared" si="3"/>
        <v>0</v>
      </c>
      <c r="AA84" s="151"/>
    </row>
    <row r="85" spans="3:29" ht="17.25" hidden="1" x14ac:dyDescent="0.3">
      <c r="C85" s="151" t="s">
        <v>382</v>
      </c>
      <c r="D85" s="17"/>
      <c r="E85" s="17"/>
      <c r="F85" s="17"/>
      <c r="G85" s="151"/>
      <c r="H85" s="151"/>
      <c r="I85" s="151"/>
      <c r="J85" s="151"/>
      <c r="K85" s="151"/>
      <c r="L85" s="151"/>
      <c r="M85" s="151"/>
      <c r="N85" s="151"/>
      <c r="O85" s="151"/>
      <c r="P85" s="156">
        <v>0</v>
      </c>
      <c r="Q85" s="212">
        <f t="shared" si="2"/>
        <v>0</v>
      </c>
      <c r="R85" s="68"/>
      <c r="S85" s="156">
        <v>0</v>
      </c>
      <c r="T85" s="156">
        <v>0</v>
      </c>
      <c r="U85" s="156">
        <v>0</v>
      </c>
      <c r="V85" s="151"/>
      <c r="W85" s="156">
        <v>0</v>
      </c>
      <c r="X85" s="151"/>
      <c r="Y85" s="156">
        <v>0</v>
      </c>
      <c r="Z85" s="212">
        <f t="shared" si="3"/>
        <v>0</v>
      </c>
      <c r="AA85" s="151"/>
    </row>
    <row r="86" spans="3:29" ht="17.25" hidden="1" x14ac:dyDescent="0.3">
      <c r="C86" s="151" t="s">
        <v>383</v>
      </c>
      <c r="D86" s="17"/>
      <c r="E86" s="17"/>
      <c r="F86" s="17"/>
      <c r="G86" s="151"/>
      <c r="H86" s="151"/>
      <c r="I86" s="151"/>
      <c r="J86" s="151"/>
      <c r="K86" s="151"/>
      <c r="L86" s="151"/>
      <c r="M86" s="151"/>
      <c r="N86" s="151"/>
      <c r="O86" s="151"/>
      <c r="P86" s="156">
        <v>0</v>
      </c>
      <c r="Q86" s="212">
        <f t="shared" si="2"/>
        <v>0</v>
      </c>
      <c r="R86" s="68"/>
      <c r="S86" s="156">
        <v>0</v>
      </c>
      <c r="T86" s="156">
        <v>0</v>
      </c>
      <c r="U86" s="156">
        <v>0</v>
      </c>
      <c r="V86" s="151"/>
      <c r="W86" s="156">
        <v>0</v>
      </c>
      <c r="X86" s="151"/>
      <c r="Y86" s="156">
        <v>0</v>
      </c>
      <c r="Z86" s="212">
        <f t="shared" si="3"/>
        <v>0</v>
      </c>
      <c r="AA86" s="151"/>
    </row>
    <row r="87" spans="3:29" x14ac:dyDescent="0.25">
      <c r="C87" s="859" t="s">
        <v>133</v>
      </c>
      <c r="D87" s="859"/>
      <c r="E87" s="159"/>
      <c r="F87" s="159"/>
      <c r="G87" s="159"/>
      <c r="H87" s="250"/>
      <c r="I87" s="159"/>
      <c r="J87" s="159"/>
      <c r="K87" s="159"/>
      <c r="L87" s="159"/>
      <c r="M87" s="159"/>
      <c r="N87" s="159"/>
      <c r="O87" s="159"/>
      <c r="P87" s="159"/>
      <c r="Q87" s="214">
        <f>SUM(Q57:Q86)</f>
        <v>722400000</v>
      </c>
      <c r="R87" s="158"/>
      <c r="S87" s="214">
        <f>SUM(S57:S86)</f>
        <v>0</v>
      </c>
      <c r="T87" s="214">
        <f>SUM(T57:T86)</f>
        <v>722400000</v>
      </c>
      <c r="U87" s="214">
        <f>SUM(U57:U86)</f>
        <v>0</v>
      </c>
      <c r="V87" s="834">
        <f>SUM(W57:W86,Y57:Y86)</f>
        <v>0</v>
      </c>
      <c r="W87" s="835"/>
      <c r="X87" s="835"/>
      <c r="Y87" s="836"/>
      <c r="Z87" s="214">
        <f>SUM(Z57:Z86)</f>
        <v>0</v>
      </c>
      <c r="AA87" s="151"/>
    </row>
    <row r="88" spans="3:29" x14ac:dyDescent="0.25">
      <c r="H88" s="251"/>
    </row>
    <row r="89" spans="3:29" x14ac:dyDescent="0.25">
      <c r="H89" s="251"/>
    </row>
    <row r="90" spans="3:29" ht="16.5" customHeight="1" x14ac:dyDescent="0.25">
      <c r="C90" s="789" t="s">
        <v>35</v>
      </c>
      <c r="D90" s="789" t="s">
        <v>34</v>
      </c>
      <c r="E90" s="769" t="s">
        <v>110</v>
      </c>
      <c r="F90" s="769" t="s">
        <v>49</v>
      </c>
      <c r="G90" s="789" t="s">
        <v>96</v>
      </c>
      <c r="H90" s="789" t="s">
        <v>414</v>
      </c>
      <c r="I90" s="789" t="s">
        <v>189</v>
      </c>
      <c r="J90" s="766" t="s">
        <v>36</v>
      </c>
      <c r="K90" s="766"/>
      <c r="L90" s="766"/>
      <c r="M90" s="766"/>
      <c r="N90" s="769" t="s">
        <v>519</v>
      </c>
      <c r="O90" s="769" t="s">
        <v>520</v>
      </c>
      <c r="P90" s="995" t="s">
        <v>146</v>
      </c>
      <c r="Q90" s="995" t="s">
        <v>144</v>
      </c>
      <c r="R90" s="995" t="s">
        <v>145</v>
      </c>
      <c r="S90" s="789" t="s">
        <v>190</v>
      </c>
      <c r="T90" s="789" t="s">
        <v>191</v>
      </c>
      <c r="U90" s="767" t="s">
        <v>53</v>
      </c>
      <c r="V90" s="942"/>
      <c r="W90" s="942"/>
      <c r="X90" s="942"/>
      <c r="Y90" s="942"/>
      <c r="Z90" s="942"/>
      <c r="AA90" s="768"/>
      <c r="AB90" s="789" t="s">
        <v>415</v>
      </c>
      <c r="AC90" s="789" t="s">
        <v>107</v>
      </c>
    </row>
    <row r="91" spans="3:29" ht="16.5" customHeight="1" x14ac:dyDescent="0.25">
      <c r="C91" s="789"/>
      <c r="D91" s="789"/>
      <c r="E91" s="956"/>
      <c r="F91" s="956"/>
      <c r="G91" s="789"/>
      <c r="H91" s="789"/>
      <c r="I91" s="789"/>
      <c r="J91" s="766"/>
      <c r="K91" s="766"/>
      <c r="L91" s="766"/>
      <c r="M91" s="766"/>
      <c r="N91" s="956"/>
      <c r="O91" s="956"/>
      <c r="P91" s="996"/>
      <c r="Q91" s="996"/>
      <c r="R91" s="996"/>
      <c r="S91" s="789"/>
      <c r="T91" s="789"/>
      <c r="U91" s="940" t="s">
        <v>54</v>
      </c>
      <c r="V91" s="944"/>
      <c r="W91" s="941"/>
      <c r="X91" s="258" t="s">
        <v>55</v>
      </c>
      <c r="Y91" s="258"/>
      <c r="Z91" s="258" t="s">
        <v>58</v>
      </c>
      <c r="AA91" s="258"/>
      <c r="AB91" s="789"/>
      <c r="AC91" s="789"/>
    </row>
    <row r="92" spans="3:29" ht="49.5" customHeight="1" x14ac:dyDescent="0.25">
      <c r="C92" s="789"/>
      <c r="D92" s="789"/>
      <c r="E92" s="770"/>
      <c r="F92" s="770"/>
      <c r="G92" s="789"/>
      <c r="H92" s="789"/>
      <c r="I92" s="789"/>
      <c r="J92" s="259" t="s">
        <v>37</v>
      </c>
      <c r="K92" s="259" t="s">
        <v>38</v>
      </c>
      <c r="L92" s="259" t="s">
        <v>39</v>
      </c>
      <c r="M92" s="259" t="s">
        <v>40</v>
      </c>
      <c r="N92" s="770"/>
      <c r="O92" s="770"/>
      <c r="P92" s="997"/>
      <c r="Q92" s="997"/>
      <c r="R92" s="997"/>
      <c r="S92" s="789"/>
      <c r="T92" s="789"/>
      <c r="U92" s="260" t="s">
        <v>62</v>
      </c>
      <c r="V92" s="260" t="s">
        <v>63</v>
      </c>
      <c r="W92" s="260" t="s">
        <v>282</v>
      </c>
      <c r="X92" s="260" t="s">
        <v>56</v>
      </c>
      <c r="Y92" s="260" t="s">
        <v>57</v>
      </c>
      <c r="Z92" s="260" t="s">
        <v>56</v>
      </c>
      <c r="AA92" s="260" t="s">
        <v>57</v>
      </c>
      <c r="AB92" s="789"/>
      <c r="AC92" s="789"/>
    </row>
    <row r="93" spans="3:29" ht="18.95" customHeight="1" x14ac:dyDescent="0.25">
      <c r="C93" s="1005" t="s">
        <v>596</v>
      </c>
      <c r="D93" s="1006"/>
      <c r="E93" s="1006"/>
      <c r="F93" s="1006"/>
      <c r="G93" s="1006"/>
      <c r="H93" s="1007"/>
      <c r="I93" s="268"/>
      <c r="J93" s="268"/>
      <c r="K93" s="268"/>
      <c r="L93" s="268"/>
      <c r="M93" s="268"/>
      <c r="N93" s="268"/>
      <c r="O93" s="268"/>
      <c r="P93" s="268"/>
      <c r="Q93" s="268"/>
      <c r="R93" s="268"/>
      <c r="S93" s="268"/>
      <c r="T93" s="268"/>
      <c r="U93" s="268"/>
      <c r="V93" s="268"/>
      <c r="W93" s="268"/>
      <c r="X93" s="268"/>
      <c r="Y93" s="268"/>
      <c r="Z93" s="268"/>
      <c r="AA93" s="268"/>
      <c r="AB93" s="268"/>
      <c r="AC93" s="268"/>
    </row>
    <row r="94" spans="3:29" ht="49.5" x14ac:dyDescent="0.3">
      <c r="C94" s="151" t="s">
        <v>384</v>
      </c>
      <c r="D94" s="483" t="s">
        <v>956</v>
      </c>
      <c r="E94" s="645" t="s">
        <v>1520</v>
      </c>
      <c r="F94" s="441">
        <v>9700</v>
      </c>
      <c r="G94" s="473" t="s">
        <v>975</v>
      </c>
      <c r="H94" s="648" t="s">
        <v>1519</v>
      </c>
      <c r="I94" s="473" t="s">
        <v>940</v>
      </c>
      <c r="J94" s="473"/>
      <c r="K94" s="473"/>
      <c r="L94" s="473"/>
      <c r="M94" s="704"/>
      <c r="N94" s="510">
        <v>45962</v>
      </c>
      <c r="O94" s="510">
        <v>45688</v>
      </c>
      <c r="P94" s="473"/>
      <c r="Q94" s="473"/>
      <c r="R94" s="474">
        <v>102000</v>
      </c>
      <c r="S94" s="212">
        <f>F94*R94</f>
        <v>989400000</v>
      </c>
      <c r="T94" s="68" t="s">
        <v>736</v>
      </c>
      <c r="U94" s="156">
        <v>989400000</v>
      </c>
      <c r="V94" s="156">
        <v>0</v>
      </c>
      <c r="W94" s="156">
        <v>0</v>
      </c>
      <c r="X94" s="151"/>
      <c r="Y94" s="156">
        <v>0</v>
      </c>
      <c r="Z94" s="151"/>
      <c r="AA94" s="156">
        <v>0</v>
      </c>
      <c r="AB94" s="212">
        <f>S94-SUM(U94:W94, Y94,AA94)</f>
        <v>0</v>
      </c>
      <c r="AC94" s="151"/>
    </row>
    <row r="95" spans="3:29" ht="17.25" hidden="1" x14ac:dyDescent="0.3">
      <c r="C95" s="151" t="s">
        <v>385</v>
      </c>
      <c r="D95" s="17"/>
      <c r="E95" s="17"/>
      <c r="F95" s="17"/>
      <c r="G95" s="151"/>
      <c r="H95" s="151"/>
      <c r="I95" s="151"/>
      <c r="J95" s="151"/>
      <c r="K95" s="151"/>
      <c r="L95" s="151"/>
      <c r="M95" s="151"/>
      <c r="N95" s="151"/>
      <c r="O95" s="151"/>
      <c r="P95" s="151"/>
      <c r="Q95" s="151"/>
      <c r="R95" s="156">
        <v>0</v>
      </c>
      <c r="S95" s="212">
        <f t="shared" ref="S95:S123" si="4">F95*R95</f>
        <v>0</v>
      </c>
      <c r="T95" s="68"/>
      <c r="U95" s="156">
        <v>0</v>
      </c>
      <c r="V95" s="156">
        <v>0</v>
      </c>
      <c r="W95" s="156">
        <v>0</v>
      </c>
      <c r="X95" s="151"/>
      <c r="Y95" s="156">
        <v>0</v>
      </c>
      <c r="Z95" s="151"/>
      <c r="AA95" s="156">
        <v>0</v>
      </c>
      <c r="AB95" s="212">
        <f t="shared" ref="AB95:AB123" si="5">S95-SUM(U95:W95, Y95,AA95)</f>
        <v>0</v>
      </c>
      <c r="AC95" s="151"/>
    </row>
    <row r="96" spans="3:29" ht="17.25" hidden="1" x14ac:dyDescent="0.3">
      <c r="C96" s="151" t="s">
        <v>386</v>
      </c>
      <c r="D96" s="17"/>
      <c r="E96" s="17"/>
      <c r="F96" s="17"/>
      <c r="G96" s="151"/>
      <c r="H96" s="151"/>
      <c r="I96" s="151"/>
      <c r="J96" s="151"/>
      <c r="K96" s="151"/>
      <c r="L96" s="151"/>
      <c r="M96" s="151"/>
      <c r="N96" s="151"/>
      <c r="O96" s="151"/>
      <c r="P96" s="151"/>
      <c r="Q96" s="151"/>
      <c r="R96" s="156">
        <v>0</v>
      </c>
      <c r="S96" s="212">
        <f t="shared" si="4"/>
        <v>0</v>
      </c>
      <c r="T96" s="68"/>
      <c r="U96" s="156">
        <v>0</v>
      </c>
      <c r="V96" s="156">
        <v>0</v>
      </c>
      <c r="W96" s="156">
        <v>0</v>
      </c>
      <c r="X96" s="151"/>
      <c r="Y96" s="156">
        <v>0</v>
      </c>
      <c r="Z96" s="151"/>
      <c r="AA96" s="156">
        <v>0</v>
      </c>
      <c r="AB96" s="212">
        <f t="shared" si="5"/>
        <v>0</v>
      </c>
      <c r="AC96" s="151"/>
    </row>
    <row r="97" spans="3:29" ht="17.25" hidden="1" x14ac:dyDescent="0.3">
      <c r="C97" s="151" t="s">
        <v>387</v>
      </c>
      <c r="D97" s="17"/>
      <c r="E97" s="17"/>
      <c r="F97" s="17"/>
      <c r="G97" s="151"/>
      <c r="H97" s="151"/>
      <c r="I97" s="151"/>
      <c r="J97" s="151"/>
      <c r="K97" s="151"/>
      <c r="L97" s="151"/>
      <c r="M97" s="151"/>
      <c r="N97" s="151"/>
      <c r="O97" s="151"/>
      <c r="P97" s="151"/>
      <c r="Q97" s="151"/>
      <c r="R97" s="156">
        <v>0</v>
      </c>
      <c r="S97" s="212">
        <f t="shared" si="4"/>
        <v>0</v>
      </c>
      <c r="T97" s="68"/>
      <c r="U97" s="156">
        <v>0</v>
      </c>
      <c r="V97" s="156">
        <v>0</v>
      </c>
      <c r="W97" s="156">
        <v>0</v>
      </c>
      <c r="X97" s="151"/>
      <c r="Y97" s="156">
        <v>0</v>
      </c>
      <c r="Z97" s="151"/>
      <c r="AA97" s="156">
        <v>0</v>
      </c>
      <c r="AB97" s="212">
        <f t="shared" si="5"/>
        <v>0</v>
      </c>
      <c r="AC97" s="151"/>
    </row>
    <row r="98" spans="3:29" ht="17.25" hidden="1" x14ac:dyDescent="0.3">
      <c r="C98" s="151" t="s">
        <v>388</v>
      </c>
      <c r="D98" s="17"/>
      <c r="E98" s="17"/>
      <c r="F98" s="17"/>
      <c r="G98" s="151"/>
      <c r="H98" s="151"/>
      <c r="I98" s="151"/>
      <c r="J98" s="151"/>
      <c r="K98" s="151"/>
      <c r="L98" s="151"/>
      <c r="M98" s="151"/>
      <c r="N98" s="151"/>
      <c r="O98" s="151"/>
      <c r="P98" s="151"/>
      <c r="Q98" s="151"/>
      <c r="R98" s="156">
        <v>0</v>
      </c>
      <c r="S98" s="212">
        <f t="shared" si="4"/>
        <v>0</v>
      </c>
      <c r="T98" s="68"/>
      <c r="U98" s="156">
        <v>0</v>
      </c>
      <c r="V98" s="156">
        <v>0</v>
      </c>
      <c r="W98" s="156">
        <v>0</v>
      </c>
      <c r="X98" s="151"/>
      <c r="Y98" s="156">
        <v>0</v>
      </c>
      <c r="Z98" s="151"/>
      <c r="AA98" s="156">
        <v>0</v>
      </c>
      <c r="AB98" s="212">
        <f t="shared" si="5"/>
        <v>0</v>
      </c>
      <c r="AC98" s="151"/>
    </row>
    <row r="99" spans="3:29" ht="17.25" hidden="1" x14ac:dyDescent="0.3">
      <c r="C99" s="151" t="s">
        <v>389</v>
      </c>
      <c r="D99" s="17"/>
      <c r="E99" s="17"/>
      <c r="F99" s="17"/>
      <c r="G99" s="151"/>
      <c r="H99" s="151"/>
      <c r="I99" s="151"/>
      <c r="J99" s="151"/>
      <c r="K99" s="151"/>
      <c r="L99" s="151"/>
      <c r="M99" s="151"/>
      <c r="N99" s="151"/>
      <c r="O99" s="151"/>
      <c r="P99" s="151"/>
      <c r="Q99" s="151"/>
      <c r="R99" s="156">
        <v>0</v>
      </c>
      <c r="S99" s="212">
        <f t="shared" si="4"/>
        <v>0</v>
      </c>
      <c r="T99" s="68"/>
      <c r="U99" s="156">
        <v>0</v>
      </c>
      <c r="V99" s="156">
        <v>0</v>
      </c>
      <c r="W99" s="156">
        <v>0</v>
      </c>
      <c r="X99" s="151"/>
      <c r="Y99" s="156">
        <v>0</v>
      </c>
      <c r="Z99" s="151"/>
      <c r="AA99" s="156">
        <v>0</v>
      </c>
      <c r="AB99" s="212">
        <f t="shared" si="5"/>
        <v>0</v>
      </c>
      <c r="AC99" s="151"/>
    </row>
    <row r="100" spans="3:29" ht="17.25" hidden="1" x14ac:dyDescent="0.3">
      <c r="C100" s="151" t="s">
        <v>390</v>
      </c>
      <c r="D100" s="17"/>
      <c r="E100" s="17"/>
      <c r="F100" s="17"/>
      <c r="G100" s="151"/>
      <c r="H100" s="151"/>
      <c r="I100" s="151"/>
      <c r="J100" s="151"/>
      <c r="K100" s="151"/>
      <c r="L100" s="151"/>
      <c r="M100" s="151"/>
      <c r="N100" s="151"/>
      <c r="O100" s="151"/>
      <c r="P100" s="151"/>
      <c r="Q100" s="151"/>
      <c r="R100" s="156">
        <v>0</v>
      </c>
      <c r="S100" s="212">
        <f t="shared" si="4"/>
        <v>0</v>
      </c>
      <c r="T100" s="68"/>
      <c r="U100" s="156">
        <v>0</v>
      </c>
      <c r="V100" s="156">
        <v>0</v>
      </c>
      <c r="W100" s="156">
        <v>0</v>
      </c>
      <c r="X100" s="151"/>
      <c r="Y100" s="156">
        <v>0</v>
      </c>
      <c r="Z100" s="151"/>
      <c r="AA100" s="156">
        <v>0</v>
      </c>
      <c r="AB100" s="212">
        <f t="shared" si="5"/>
        <v>0</v>
      </c>
      <c r="AC100" s="151"/>
    </row>
    <row r="101" spans="3:29" ht="17.25" hidden="1" x14ac:dyDescent="0.3">
      <c r="C101" s="151" t="s">
        <v>391</v>
      </c>
      <c r="D101" s="17"/>
      <c r="E101" s="17"/>
      <c r="F101" s="17"/>
      <c r="G101" s="151"/>
      <c r="H101" s="151"/>
      <c r="I101" s="151"/>
      <c r="J101" s="151"/>
      <c r="K101" s="151"/>
      <c r="L101" s="151"/>
      <c r="M101" s="151"/>
      <c r="N101" s="151"/>
      <c r="O101" s="151"/>
      <c r="P101" s="151"/>
      <c r="Q101" s="151"/>
      <c r="R101" s="156">
        <v>0</v>
      </c>
      <c r="S101" s="212">
        <f t="shared" si="4"/>
        <v>0</v>
      </c>
      <c r="T101" s="68"/>
      <c r="U101" s="156">
        <v>0</v>
      </c>
      <c r="V101" s="156">
        <v>0</v>
      </c>
      <c r="W101" s="156">
        <v>0</v>
      </c>
      <c r="X101" s="151"/>
      <c r="Y101" s="156">
        <v>0</v>
      </c>
      <c r="Z101" s="151"/>
      <c r="AA101" s="156">
        <v>0</v>
      </c>
      <c r="AB101" s="212">
        <f t="shared" si="5"/>
        <v>0</v>
      </c>
      <c r="AC101" s="151"/>
    </row>
    <row r="102" spans="3:29" ht="17.25" hidden="1" x14ac:dyDescent="0.3">
      <c r="C102" s="151" t="s">
        <v>392</v>
      </c>
      <c r="D102" s="17"/>
      <c r="E102" s="17"/>
      <c r="F102" s="17"/>
      <c r="G102" s="151"/>
      <c r="H102" s="151"/>
      <c r="I102" s="151"/>
      <c r="J102" s="151"/>
      <c r="K102" s="151"/>
      <c r="L102" s="151"/>
      <c r="M102" s="151"/>
      <c r="N102" s="151"/>
      <c r="O102" s="151"/>
      <c r="P102" s="151"/>
      <c r="Q102" s="151"/>
      <c r="R102" s="156">
        <v>0</v>
      </c>
      <c r="S102" s="212">
        <f t="shared" si="4"/>
        <v>0</v>
      </c>
      <c r="T102" s="68"/>
      <c r="U102" s="156">
        <v>0</v>
      </c>
      <c r="V102" s="156">
        <v>0</v>
      </c>
      <c r="W102" s="156">
        <v>0</v>
      </c>
      <c r="X102" s="151"/>
      <c r="Y102" s="156">
        <v>0</v>
      </c>
      <c r="Z102" s="151"/>
      <c r="AA102" s="156">
        <v>0</v>
      </c>
      <c r="AB102" s="212">
        <f t="shared" si="5"/>
        <v>0</v>
      </c>
      <c r="AC102" s="151"/>
    </row>
    <row r="103" spans="3:29" ht="17.25" hidden="1" x14ac:dyDescent="0.3">
      <c r="C103" s="151" t="s">
        <v>393</v>
      </c>
      <c r="D103" s="17"/>
      <c r="E103" s="17"/>
      <c r="F103" s="17"/>
      <c r="G103" s="151"/>
      <c r="H103" s="151"/>
      <c r="I103" s="151"/>
      <c r="J103" s="151"/>
      <c r="K103" s="151"/>
      <c r="L103" s="151"/>
      <c r="M103" s="151"/>
      <c r="N103" s="151"/>
      <c r="O103" s="151"/>
      <c r="P103" s="151"/>
      <c r="Q103" s="151"/>
      <c r="R103" s="156">
        <v>0</v>
      </c>
      <c r="S103" s="212">
        <f t="shared" si="4"/>
        <v>0</v>
      </c>
      <c r="T103" s="68"/>
      <c r="U103" s="156">
        <v>0</v>
      </c>
      <c r="V103" s="156">
        <v>0</v>
      </c>
      <c r="W103" s="156">
        <v>0</v>
      </c>
      <c r="X103" s="151"/>
      <c r="Y103" s="156">
        <v>0</v>
      </c>
      <c r="Z103" s="151"/>
      <c r="AA103" s="156">
        <v>0</v>
      </c>
      <c r="AB103" s="212">
        <f t="shared" si="5"/>
        <v>0</v>
      </c>
      <c r="AC103" s="151"/>
    </row>
    <row r="104" spans="3:29" ht="17.25" hidden="1" x14ac:dyDescent="0.3">
      <c r="C104" s="151" t="s">
        <v>394</v>
      </c>
      <c r="D104" s="17"/>
      <c r="E104" s="17"/>
      <c r="F104" s="17"/>
      <c r="G104" s="151"/>
      <c r="H104" s="151"/>
      <c r="I104" s="151"/>
      <c r="J104" s="151"/>
      <c r="K104" s="151"/>
      <c r="L104" s="151"/>
      <c r="M104" s="151"/>
      <c r="N104" s="151"/>
      <c r="O104" s="151"/>
      <c r="P104" s="151"/>
      <c r="Q104" s="151"/>
      <c r="R104" s="156">
        <v>0</v>
      </c>
      <c r="S104" s="212">
        <f t="shared" si="4"/>
        <v>0</v>
      </c>
      <c r="T104" s="68"/>
      <c r="U104" s="156">
        <v>0</v>
      </c>
      <c r="V104" s="156">
        <v>0</v>
      </c>
      <c r="W104" s="156">
        <v>0</v>
      </c>
      <c r="X104" s="151"/>
      <c r="Y104" s="156">
        <v>0</v>
      </c>
      <c r="Z104" s="151"/>
      <c r="AA104" s="156">
        <v>0</v>
      </c>
      <c r="AB104" s="212">
        <f t="shared" si="5"/>
        <v>0</v>
      </c>
      <c r="AC104" s="151"/>
    </row>
    <row r="105" spans="3:29" ht="17.25" hidden="1" x14ac:dyDescent="0.3">
      <c r="C105" s="151" t="s">
        <v>395</v>
      </c>
      <c r="D105" s="17"/>
      <c r="E105" s="17"/>
      <c r="F105" s="17"/>
      <c r="G105" s="151"/>
      <c r="H105" s="151"/>
      <c r="I105" s="151"/>
      <c r="J105" s="151"/>
      <c r="K105" s="151"/>
      <c r="L105" s="151"/>
      <c r="M105" s="151"/>
      <c r="N105" s="151"/>
      <c r="O105" s="151"/>
      <c r="P105" s="151"/>
      <c r="Q105" s="151"/>
      <c r="R105" s="156">
        <v>0</v>
      </c>
      <c r="S105" s="212">
        <f t="shared" si="4"/>
        <v>0</v>
      </c>
      <c r="T105" s="68"/>
      <c r="U105" s="156">
        <v>0</v>
      </c>
      <c r="V105" s="156">
        <v>0</v>
      </c>
      <c r="W105" s="156">
        <v>0</v>
      </c>
      <c r="X105" s="151"/>
      <c r="Y105" s="156">
        <v>0</v>
      </c>
      <c r="Z105" s="151"/>
      <c r="AA105" s="156">
        <v>0</v>
      </c>
      <c r="AB105" s="212">
        <f t="shared" si="5"/>
        <v>0</v>
      </c>
      <c r="AC105" s="151"/>
    </row>
    <row r="106" spans="3:29" ht="17.25" hidden="1" x14ac:dyDescent="0.3">
      <c r="C106" s="151" t="s">
        <v>396</v>
      </c>
      <c r="D106" s="17"/>
      <c r="E106" s="17"/>
      <c r="F106" s="17"/>
      <c r="G106" s="151"/>
      <c r="H106" s="151"/>
      <c r="I106" s="151"/>
      <c r="J106" s="151"/>
      <c r="K106" s="151"/>
      <c r="L106" s="151"/>
      <c r="M106" s="151"/>
      <c r="N106" s="151"/>
      <c r="O106" s="151"/>
      <c r="P106" s="151"/>
      <c r="Q106" s="151"/>
      <c r="R106" s="156">
        <v>0</v>
      </c>
      <c r="S106" s="212">
        <f t="shared" si="4"/>
        <v>0</v>
      </c>
      <c r="T106" s="68"/>
      <c r="U106" s="156">
        <v>0</v>
      </c>
      <c r="V106" s="156">
        <v>0</v>
      </c>
      <c r="W106" s="156">
        <v>0</v>
      </c>
      <c r="X106" s="151"/>
      <c r="Y106" s="156">
        <v>0</v>
      </c>
      <c r="Z106" s="151"/>
      <c r="AA106" s="156">
        <v>0</v>
      </c>
      <c r="AB106" s="212">
        <f t="shared" si="5"/>
        <v>0</v>
      </c>
      <c r="AC106" s="151"/>
    </row>
    <row r="107" spans="3:29" ht="17.25" hidden="1" x14ac:dyDescent="0.3">
      <c r="C107" s="151" t="s">
        <v>397</v>
      </c>
      <c r="D107" s="17"/>
      <c r="E107" s="17"/>
      <c r="F107" s="17"/>
      <c r="G107" s="151"/>
      <c r="H107" s="151"/>
      <c r="I107" s="151"/>
      <c r="J107" s="151"/>
      <c r="K107" s="151"/>
      <c r="L107" s="151"/>
      <c r="M107" s="151"/>
      <c r="N107" s="151"/>
      <c r="O107" s="151"/>
      <c r="P107" s="151"/>
      <c r="Q107" s="151"/>
      <c r="R107" s="156">
        <v>0</v>
      </c>
      <c r="S107" s="212">
        <f t="shared" si="4"/>
        <v>0</v>
      </c>
      <c r="T107" s="68"/>
      <c r="U107" s="156">
        <v>0</v>
      </c>
      <c r="V107" s="156">
        <v>0</v>
      </c>
      <c r="W107" s="156">
        <v>0</v>
      </c>
      <c r="X107" s="151"/>
      <c r="Y107" s="156">
        <v>0</v>
      </c>
      <c r="Z107" s="151"/>
      <c r="AA107" s="156">
        <v>0</v>
      </c>
      <c r="AB107" s="212">
        <f t="shared" si="5"/>
        <v>0</v>
      </c>
      <c r="AC107" s="151"/>
    </row>
    <row r="108" spans="3:29" ht="17.25" hidden="1" x14ac:dyDescent="0.3">
      <c r="C108" s="151" t="s">
        <v>398</v>
      </c>
      <c r="D108" s="17"/>
      <c r="E108" s="17"/>
      <c r="F108" s="17"/>
      <c r="G108" s="151"/>
      <c r="H108" s="151"/>
      <c r="I108" s="151"/>
      <c r="J108" s="151"/>
      <c r="K108" s="151"/>
      <c r="L108" s="151"/>
      <c r="M108" s="151"/>
      <c r="N108" s="151"/>
      <c r="O108" s="151"/>
      <c r="P108" s="151"/>
      <c r="Q108" s="151"/>
      <c r="R108" s="156">
        <v>0</v>
      </c>
      <c r="S108" s="212">
        <f t="shared" si="4"/>
        <v>0</v>
      </c>
      <c r="T108" s="68"/>
      <c r="U108" s="156">
        <v>0</v>
      </c>
      <c r="V108" s="156">
        <v>0</v>
      </c>
      <c r="W108" s="156">
        <v>0</v>
      </c>
      <c r="X108" s="151"/>
      <c r="Y108" s="156">
        <v>0</v>
      </c>
      <c r="Z108" s="151"/>
      <c r="AA108" s="156">
        <v>0</v>
      </c>
      <c r="AB108" s="212">
        <f t="shared" si="5"/>
        <v>0</v>
      </c>
      <c r="AC108" s="151"/>
    </row>
    <row r="109" spans="3:29" ht="17.25" hidden="1" x14ac:dyDescent="0.3">
      <c r="C109" s="151" t="s">
        <v>399</v>
      </c>
      <c r="D109" s="17"/>
      <c r="E109" s="17"/>
      <c r="F109" s="17"/>
      <c r="G109" s="151"/>
      <c r="H109" s="151"/>
      <c r="I109" s="151"/>
      <c r="J109" s="151"/>
      <c r="K109" s="151"/>
      <c r="L109" s="151"/>
      <c r="M109" s="151"/>
      <c r="N109" s="151"/>
      <c r="O109" s="151"/>
      <c r="P109" s="151"/>
      <c r="Q109" s="151"/>
      <c r="R109" s="156">
        <v>0</v>
      </c>
      <c r="S109" s="212">
        <f t="shared" si="4"/>
        <v>0</v>
      </c>
      <c r="T109" s="68"/>
      <c r="U109" s="156">
        <v>0</v>
      </c>
      <c r="V109" s="156">
        <v>0</v>
      </c>
      <c r="W109" s="156">
        <v>0</v>
      </c>
      <c r="X109" s="151"/>
      <c r="Y109" s="156">
        <v>0</v>
      </c>
      <c r="Z109" s="151"/>
      <c r="AA109" s="156">
        <v>0</v>
      </c>
      <c r="AB109" s="212">
        <f t="shared" si="5"/>
        <v>0</v>
      </c>
      <c r="AC109" s="151"/>
    </row>
    <row r="110" spans="3:29" ht="17.25" hidden="1" x14ac:dyDescent="0.3">
      <c r="C110" s="151" t="s">
        <v>400</v>
      </c>
      <c r="D110" s="17"/>
      <c r="E110" s="17"/>
      <c r="F110" s="17"/>
      <c r="G110" s="151"/>
      <c r="H110" s="151"/>
      <c r="I110" s="151"/>
      <c r="J110" s="151"/>
      <c r="K110" s="151"/>
      <c r="L110" s="151"/>
      <c r="M110" s="151"/>
      <c r="N110" s="151"/>
      <c r="O110" s="151"/>
      <c r="P110" s="151"/>
      <c r="Q110" s="151"/>
      <c r="R110" s="156">
        <v>0</v>
      </c>
      <c r="S110" s="212">
        <f t="shared" si="4"/>
        <v>0</v>
      </c>
      <c r="T110" s="68"/>
      <c r="U110" s="156">
        <v>0</v>
      </c>
      <c r="V110" s="156">
        <v>0</v>
      </c>
      <c r="W110" s="156">
        <v>0</v>
      </c>
      <c r="X110" s="151"/>
      <c r="Y110" s="156">
        <v>0</v>
      </c>
      <c r="Z110" s="151"/>
      <c r="AA110" s="156">
        <v>0</v>
      </c>
      <c r="AB110" s="212">
        <f t="shared" si="5"/>
        <v>0</v>
      </c>
      <c r="AC110" s="151"/>
    </row>
    <row r="111" spans="3:29" ht="17.25" hidden="1" x14ac:dyDescent="0.3">
      <c r="C111" s="151" t="s">
        <v>401</v>
      </c>
      <c r="D111" s="17"/>
      <c r="E111" s="17"/>
      <c r="F111" s="17"/>
      <c r="G111" s="151"/>
      <c r="H111" s="151"/>
      <c r="I111" s="151"/>
      <c r="J111" s="151"/>
      <c r="K111" s="151"/>
      <c r="L111" s="151"/>
      <c r="M111" s="151"/>
      <c r="N111" s="151"/>
      <c r="O111" s="151"/>
      <c r="P111" s="151"/>
      <c r="Q111" s="151"/>
      <c r="R111" s="156">
        <v>0</v>
      </c>
      <c r="S111" s="212">
        <f t="shared" si="4"/>
        <v>0</v>
      </c>
      <c r="T111" s="68"/>
      <c r="U111" s="156">
        <v>0</v>
      </c>
      <c r="V111" s="156">
        <v>0</v>
      </c>
      <c r="W111" s="156">
        <v>0</v>
      </c>
      <c r="X111" s="151"/>
      <c r="Y111" s="156">
        <v>0</v>
      </c>
      <c r="Z111" s="151"/>
      <c r="AA111" s="156">
        <v>0</v>
      </c>
      <c r="AB111" s="212">
        <f t="shared" si="5"/>
        <v>0</v>
      </c>
      <c r="AC111" s="151"/>
    </row>
    <row r="112" spans="3:29" ht="17.25" hidden="1" x14ac:dyDescent="0.3">
      <c r="C112" s="151" t="s">
        <v>402</v>
      </c>
      <c r="D112" s="17"/>
      <c r="E112" s="17"/>
      <c r="F112" s="17"/>
      <c r="G112" s="151"/>
      <c r="H112" s="151"/>
      <c r="I112" s="151"/>
      <c r="J112" s="151"/>
      <c r="K112" s="151"/>
      <c r="L112" s="151"/>
      <c r="M112" s="151"/>
      <c r="N112" s="151"/>
      <c r="O112" s="151"/>
      <c r="P112" s="151"/>
      <c r="Q112" s="151"/>
      <c r="R112" s="156">
        <v>0</v>
      </c>
      <c r="S112" s="212">
        <f t="shared" si="4"/>
        <v>0</v>
      </c>
      <c r="T112" s="68"/>
      <c r="U112" s="156">
        <v>0</v>
      </c>
      <c r="V112" s="156">
        <v>0</v>
      </c>
      <c r="W112" s="156">
        <v>0</v>
      </c>
      <c r="X112" s="151"/>
      <c r="Y112" s="156">
        <v>0</v>
      </c>
      <c r="Z112" s="151"/>
      <c r="AA112" s="156">
        <v>0</v>
      </c>
      <c r="AB112" s="212">
        <f t="shared" si="5"/>
        <v>0</v>
      </c>
      <c r="AC112" s="151"/>
    </row>
    <row r="113" spans="3:29" ht="17.25" hidden="1" x14ac:dyDescent="0.3">
      <c r="C113" s="151" t="s">
        <v>403</v>
      </c>
      <c r="D113" s="17"/>
      <c r="E113" s="17"/>
      <c r="F113" s="17"/>
      <c r="G113" s="151"/>
      <c r="H113" s="151"/>
      <c r="I113" s="151"/>
      <c r="J113" s="151"/>
      <c r="K113" s="151"/>
      <c r="L113" s="151"/>
      <c r="M113" s="151"/>
      <c r="N113" s="151"/>
      <c r="O113" s="151"/>
      <c r="P113" s="151"/>
      <c r="Q113" s="151"/>
      <c r="R113" s="156">
        <v>0</v>
      </c>
      <c r="S113" s="212">
        <f t="shared" si="4"/>
        <v>0</v>
      </c>
      <c r="T113" s="68"/>
      <c r="U113" s="156">
        <v>0</v>
      </c>
      <c r="V113" s="156">
        <v>0</v>
      </c>
      <c r="W113" s="156">
        <v>0</v>
      </c>
      <c r="X113" s="151"/>
      <c r="Y113" s="156">
        <v>0</v>
      </c>
      <c r="Z113" s="151"/>
      <c r="AA113" s="156">
        <v>0</v>
      </c>
      <c r="AB113" s="212">
        <f t="shared" si="5"/>
        <v>0</v>
      </c>
      <c r="AC113" s="151"/>
    </row>
    <row r="114" spans="3:29" ht="17.25" hidden="1" x14ac:dyDescent="0.3">
      <c r="C114" s="151" t="s">
        <v>404</v>
      </c>
      <c r="D114" s="17"/>
      <c r="E114" s="17"/>
      <c r="F114" s="17"/>
      <c r="G114" s="151"/>
      <c r="H114" s="151"/>
      <c r="I114" s="151"/>
      <c r="J114" s="151"/>
      <c r="K114" s="151"/>
      <c r="L114" s="151"/>
      <c r="M114" s="151"/>
      <c r="N114" s="151"/>
      <c r="O114" s="151"/>
      <c r="P114" s="151"/>
      <c r="Q114" s="151"/>
      <c r="R114" s="156">
        <v>0</v>
      </c>
      <c r="S114" s="212">
        <f t="shared" si="4"/>
        <v>0</v>
      </c>
      <c r="T114" s="68"/>
      <c r="U114" s="156">
        <v>0</v>
      </c>
      <c r="V114" s="156">
        <v>0</v>
      </c>
      <c r="W114" s="156">
        <v>0</v>
      </c>
      <c r="X114" s="151"/>
      <c r="Y114" s="156">
        <v>0</v>
      </c>
      <c r="Z114" s="151"/>
      <c r="AA114" s="156">
        <v>0</v>
      </c>
      <c r="AB114" s="212">
        <f t="shared" si="5"/>
        <v>0</v>
      </c>
      <c r="AC114" s="151"/>
    </row>
    <row r="115" spans="3:29" ht="17.25" hidden="1" x14ac:dyDescent="0.3">
      <c r="C115" s="151" t="s">
        <v>405</v>
      </c>
      <c r="D115" s="17"/>
      <c r="E115" s="17"/>
      <c r="F115" s="17"/>
      <c r="G115" s="151"/>
      <c r="H115" s="151"/>
      <c r="I115" s="151"/>
      <c r="J115" s="151"/>
      <c r="K115" s="151"/>
      <c r="L115" s="151"/>
      <c r="M115" s="151"/>
      <c r="N115" s="151"/>
      <c r="O115" s="151"/>
      <c r="P115" s="151"/>
      <c r="Q115" s="151"/>
      <c r="R115" s="156">
        <v>0</v>
      </c>
      <c r="S115" s="212">
        <f t="shared" si="4"/>
        <v>0</v>
      </c>
      <c r="T115" s="68"/>
      <c r="U115" s="156">
        <v>0</v>
      </c>
      <c r="V115" s="156">
        <v>0</v>
      </c>
      <c r="W115" s="156">
        <v>0</v>
      </c>
      <c r="X115" s="151"/>
      <c r="Y115" s="156">
        <v>0</v>
      </c>
      <c r="Z115" s="151"/>
      <c r="AA115" s="156">
        <v>0</v>
      </c>
      <c r="AB115" s="212">
        <f t="shared" si="5"/>
        <v>0</v>
      </c>
      <c r="AC115" s="151"/>
    </row>
    <row r="116" spans="3:29" ht="17.25" hidden="1" x14ac:dyDescent="0.3">
      <c r="C116" s="151" t="s">
        <v>406</v>
      </c>
      <c r="D116" s="151"/>
      <c r="E116" s="151"/>
      <c r="F116" s="151"/>
      <c r="G116" s="151"/>
      <c r="H116" s="160"/>
      <c r="I116" s="151"/>
      <c r="J116" s="151"/>
      <c r="K116" s="151"/>
      <c r="L116" s="151"/>
      <c r="M116" s="151"/>
      <c r="N116" s="151"/>
      <c r="O116" s="151"/>
      <c r="P116" s="151"/>
      <c r="Q116" s="151"/>
      <c r="R116" s="156">
        <v>0</v>
      </c>
      <c r="S116" s="212">
        <f t="shared" si="4"/>
        <v>0</v>
      </c>
      <c r="T116" s="68"/>
      <c r="U116" s="156">
        <v>0</v>
      </c>
      <c r="V116" s="156">
        <v>0</v>
      </c>
      <c r="W116" s="156">
        <v>0</v>
      </c>
      <c r="X116" s="151"/>
      <c r="Y116" s="156">
        <v>0</v>
      </c>
      <c r="Z116" s="151"/>
      <c r="AA116" s="156">
        <v>0</v>
      </c>
      <c r="AB116" s="212">
        <f t="shared" si="5"/>
        <v>0</v>
      </c>
      <c r="AC116" s="151"/>
    </row>
    <row r="117" spans="3:29" ht="17.25" hidden="1" x14ac:dyDescent="0.3">
      <c r="C117" s="151" t="s">
        <v>407</v>
      </c>
      <c r="D117" s="151"/>
      <c r="E117" s="151"/>
      <c r="F117" s="151"/>
      <c r="G117" s="151"/>
      <c r="H117" s="160"/>
      <c r="I117" s="151"/>
      <c r="J117" s="151"/>
      <c r="K117" s="151"/>
      <c r="L117" s="151"/>
      <c r="M117" s="151"/>
      <c r="N117" s="151"/>
      <c r="O117" s="151"/>
      <c r="P117" s="151"/>
      <c r="Q117" s="151"/>
      <c r="R117" s="156">
        <v>0</v>
      </c>
      <c r="S117" s="212">
        <f t="shared" si="4"/>
        <v>0</v>
      </c>
      <c r="T117" s="68"/>
      <c r="U117" s="156">
        <v>0</v>
      </c>
      <c r="V117" s="156">
        <v>0</v>
      </c>
      <c r="W117" s="156">
        <v>0</v>
      </c>
      <c r="X117" s="151"/>
      <c r="Y117" s="156">
        <v>0</v>
      </c>
      <c r="Z117" s="151"/>
      <c r="AA117" s="156">
        <v>0</v>
      </c>
      <c r="AB117" s="212">
        <f t="shared" si="5"/>
        <v>0</v>
      </c>
      <c r="AC117" s="151"/>
    </row>
    <row r="118" spans="3:29" ht="17.25" hidden="1" x14ac:dyDescent="0.3">
      <c r="C118" s="151" t="s">
        <v>408</v>
      </c>
      <c r="D118" s="151"/>
      <c r="E118" s="151"/>
      <c r="F118" s="151"/>
      <c r="G118" s="151"/>
      <c r="H118" s="160"/>
      <c r="I118" s="151"/>
      <c r="J118" s="151"/>
      <c r="K118" s="151"/>
      <c r="L118" s="151"/>
      <c r="M118" s="151"/>
      <c r="N118" s="151"/>
      <c r="O118" s="151"/>
      <c r="P118" s="151"/>
      <c r="Q118" s="151"/>
      <c r="R118" s="156">
        <v>0</v>
      </c>
      <c r="S118" s="212">
        <f t="shared" si="4"/>
        <v>0</v>
      </c>
      <c r="T118" s="68"/>
      <c r="U118" s="156">
        <v>0</v>
      </c>
      <c r="V118" s="156">
        <v>0</v>
      </c>
      <c r="W118" s="156">
        <v>0</v>
      </c>
      <c r="X118" s="151"/>
      <c r="Y118" s="156">
        <v>0</v>
      </c>
      <c r="Z118" s="151"/>
      <c r="AA118" s="156">
        <v>0</v>
      </c>
      <c r="AB118" s="212">
        <f t="shared" si="5"/>
        <v>0</v>
      </c>
      <c r="AC118" s="151"/>
    </row>
    <row r="119" spans="3:29" ht="17.25" hidden="1" x14ac:dyDescent="0.3">
      <c r="C119" s="151" t="s">
        <v>409</v>
      </c>
      <c r="D119" s="151"/>
      <c r="E119" s="151"/>
      <c r="F119" s="151"/>
      <c r="G119" s="151"/>
      <c r="H119" s="160"/>
      <c r="I119" s="151"/>
      <c r="J119" s="151"/>
      <c r="K119" s="151"/>
      <c r="L119" s="151"/>
      <c r="M119" s="151"/>
      <c r="N119" s="151"/>
      <c r="O119" s="151"/>
      <c r="P119" s="151"/>
      <c r="Q119" s="151"/>
      <c r="R119" s="156">
        <v>0</v>
      </c>
      <c r="S119" s="212">
        <f t="shared" si="4"/>
        <v>0</v>
      </c>
      <c r="T119" s="68"/>
      <c r="U119" s="156">
        <v>0</v>
      </c>
      <c r="V119" s="156">
        <v>0</v>
      </c>
      <c r="W119" s="156">
        <v>0</v>
      </c>
      <c r="X119" s="151"/>
      <c r="Y119" s="156">
        <v>0</v>
      </c>
      <c r="Z119" s="151"/>
      <c r="AA119" s="156">
        <v>0</v>
      </c>
      <c r="AB119" s="212">
        <f t="shared" si="5"/>
        <v>0</v>
      </c>
      <c r="AC119" s="151"/>
    </row>
    <row r="120" spans="3:29" ht="17.25" hidden="1" x14ac:dyDescent="0.3">
      <c r="C120" s="151" t="s">
        <v>410</v>
      </c>
      <c r="D120" s="151"/>
      <c r="E120" s="151"/>
      <c r="F120" s="151"/>
      <c r="G120" s="151"/>
      <c r="H120" s="160"/>
      <c r="I120" s="151"/>
      <c r="J120" s="151"/>
      <c r="K120" s="151"/>
      <c r="L120" s="151"/>
      <c r="M120" s="151"/>
      <c r="N120" s="151"/>
      <c r="O120" s="151"/>
      <c r="P120" s="151"/>
      <c r="Q120" s="151"/>
      <c r="R120" s="156">
        <v>0</v>
      </c>
      <c r="S120" s="212">
        <f t="shared" si="4"/>
        <v>0</v>
      </c>
      <c r="T120" s="68"/>
      <c r="U120" s="156">
        <v>0</v>
      </c>
      <c r="V120" s="156">
        <v>0</v>
      </c>
      <c r="W120" s="156">
        <v>0</v>
      </c>
      <c r="X120" s="151"/>
      <c r="Y120" s="156">
        <v>0</v>
      </c>
      <c r="Z120" s="151"/>
      <c r="AA120" s="156">
        <v>0</v>
      </c>
      <c r="AB120" s="212">
        <f t="shared" si="5"/>
        <v>0</v>
      </c>
      <c r="AC120" s="151"/>
    </row>
    <row r="121" spans="3:29" ht="17.25" hidden="1" x14ac:dyDescent="0.3">
      <c r="C121" s="151" t="s">
        <v>411</v>
      </c>
      <c r="D121" s="151"/>
      <c r="E121" s="151"/>
      <c r="F121" s="151"/>
      <c r="G121" s="151"/>
      <c r="H121" s="160"/>
      <c r="I121" s="151"/>
      <c r="J121" s="151"/>
      <c r="K121" s="151"/>
      <c r="L121" s="151"/>
      <c r="M121" s="151"/>
      <c r="N121" s="151"/>
      <c r="O121" s="151"/>
      <c r="P121" s="151"/>
      <c r="Q121" s="151"/>
      <c r="R121" s="156">
        <v>0</v>
      </c>
      <c r="S121" s="212">
        <f t="shared" si="4"/>
        <v>0</v>
      </c>
      <c r="T121" s="68"/>
      <c r="U121" s="156">
        <v>0</v>
      </c>
      <c r="V121" s="156">
        <v>0</v>
      </c>
      <c r="W121" s="156">
        <v>0</v>
      </c>
      <c r="X121" s="151"/>
      <c r="Y121" s="156">
        <v>0</v>
      </c>
      <c r="Z121" s="151"/>
      <c r="AA121" s="156">
        <v>0</v>
      </c>
      <c r="AB121" s="212">
        <f t="shared" si="5"/>
        <v>0</v>
      </c>
      <c r="AC121" s="151"/>
    </row>
    <row r="122" spans="3:29" ht="17.25" hidden="1" x14ac:dyDescent="0.3">
      <c r="C122" s="151" t="s">
        <v>412</v>
      </c>
      <c r="D122" s="151"/>
      <c r="E122" s="151"/>
      <c r="F122" s="151"/>
      <c r="G122" s="151"/>
      <c r="H122" s="160"/>
      <c r="I122" s="151"/>
      <c r="J122" s="151"/>
      <c r="K122" s="151"/>
      <c r="L122" s="151"/>
      <c r="M122" s="151"/>
      <c r="N122" s="151"/>
      <c r="O122" s="151"/>
      <c r="P122" s="151"/>
      <c r="Q122" s="151"/>
      <c r="R122" s="156">
        <v>0</v>
      </c>
      <c r="S122" s="212">
        <f t="shared" si="4"/>
        <v>0</v>
      </c>
      <c r="T122" s="68"/>
      <c r="U122" s="156">
        <v>0</v>
      </c>
      <c r="V122" s="156">
        <v>0</v>
      </c>
      <c r="W122" s="156">
        <v>0</v>
      </c>
      <c r="X122" s="151"/>
      <c r="Y122" s="156">
        <v>0</v>
      </c>
      <c r="Z122" s="151"/>
      <c r="AA122" s="156">
        <v>0</v>
      </c>
      <c r="AB122" s="212">
        <f t="shared" si="5"/>
        <v>0</v>
      </c>
      <c r="AC122" s="151"/>
    </row>
    <row r="123" spans="3:29" ht="17.25" hidden="1" x14ac:dyDescent="0.3">
      <c r="C123" s="151" t="s">
        <v>413</v>
      </c>
      <c r="D123" s="151"/>
      <c r="E123" s="151"/>
      <c r="F123" s="151"/>
      <c r="G123" s="151"/>
      <c r="H123" s="160"/>
      <c r="I123" s="151"/>
      <c r="J123" s="151"/>
      <c r="K123" s="151"/>
      <c r="L123" s="151"/>
      <c r="M123" s="151"/>
      <c r="N123" s="151"/>
      <c r="O123" s="151"/>
      <c r="P123" s="151"/>
      <c r="Q123" s="151"/>
      <c r="R123" s="156">
        <v>0</v>
      </c>
      <c r="S123" s="212">
        <f t="shared" si="4"/>
        <v>0</v>
      </c>
      <c r="T123" s="68"/>
      <c r="U123" s="156">
        <v>0</v>
      </c>
      <c r="V123" s="156">
        <v>0</v>
      </c>
      <c r="W123" s="156">
        <v>0</v>
      </c>
      <c r="X123" s="151"/>
      <c r="Y123" s="156">
        <v>0</v>
      </c>
      <c r="Z123" s="151"/>
      <c r="AA123" s="156">
        <v>0</v>
      </c>
      <c r="AB123" s="212">
        <f t="shared" si="5"/>
        <v>0</v>
      </c>
      <c r="AC123" s="151"/>
    </row>
    <row r="124" spans="3:29" x14ac:dyDescent="0.25">
      <c r="C124" s="859" t="s">
        <v>133</v>
      </c>
      <c r="D124" s="859"/>
      <c r="E124" s="159"/>
      <c r="F124" s="159"/>
      <c r="G124" s="159"/>
      <c r="H124" s="250"/>
      <c r="I124" s="159"/>
      <c r="J124" s="159"/>
      <c r="K124" s="159"/>
      <c r="L124" s="159"/>
      <c r="M124" s="159"/>
      <c r="N124" s="159"/>
      <c r="O124" s="159"/>
      <c r="P124" s="159"/>
      <c r="Q124" s="158"/>
      <c r="R124" s="159"/>
      <c r="S124" s="214">
        <f>SUM(S94:S123)</f>
        <v>989400000</v>
      </c>
      <c r="T124" s="158"/>
      <c r="U124" s="214">
        <f>SUM(U94:U123)</f>
        <v>989400000</v>
      </c>
      <c r="V124" s="214">
        <f>SUM(V94:V123)</f>
        <v>0</v>
      </c>
      <c r="W124" s="214">
        <f>SUM(W94:W123)</f>
        <v>0</v>
      </c>
      <c r="X124" s="834">
        <f>SUM(Y94:Y123,AA94:AA123)</f>
        <v>0</v>
      </c>
      <c r="Y124" s="835"/>
      <c r="Z124" s="835"/>
      <c r="AA124" s="836"/>
      <c r="AB124" s="214">
        <f>SUM(AB94:AB123)</f>
        <v>0</v>
      </c>
      <c r="AC124" s="151"/>
    </row>
    <row r="125" spans="3:29" x14ac:dyDescent="0.25">
      <c r="H125" s="251"/>
      <c r="Q125" s="179"/>
    </row>
    <row r="126" spans="3:29" x14ac:dyDescent="0.25">
      <c r="H126" s="251"/>
      <c r="Q126" s="179"/>
    </row>
    <row r="127" spans="3:29" ht="11.45" customHeight="1" x14ac:dyDescent="0.25">
      <c r="H127" s="251"/>
      <c r="Q127" s="179"/>
    </row>
    <row r="128" spans="3:29" x14ac:dyDescent="0.25">
      <c r="H128" s="251"/>
      <c r="Q128" s="179"/>
    </row>
    <row r="129" spans="3:26" ht="16.5" customHeight="1" x14ac:dyDescent="0.25">
      <c r="C129" s="789" t="s">
        <v>35</v>
      </c>
      <c r="D129" s="789" t="s">
        <v>34</v>
      </c>
      <c r="E129" s="769" t="s">
        <v>110</v>
      </c>
      <c r="F129" s="766" t="s">
        <v>175</v>
      </c>
      <c r="G129" s="766" t="s">
        <v>170</v>
      </c>
      <c r="H129" s="953" t="s">
        <v>420</v>
      </c>
      <c r="I129" s="789" t="s">
        <v>189</v>
      </c>
      <c r="J129" s="817" t="s">
        <v>36</v>
      </c>
      <c r="K129" s="960"/>
      <c r="L129" s="960"/>
      <c r="M129" s="793"/>
      <c r="N129" s="1002" t="s">
        <v>168</v>
      </c>
      <c r="O129" s="769" t="s">
        <v>51</v>
      </c>
      <c r="P129" s="789" t="s">
        <v>190</v>
      </c>
      <c r="Q129" s="789" t="s">
        <v>191</v>
      </c>
      <c r="R129" s="767" t="s">
        <v>53</v>
      </c>
      <c r="S129" s="942"/>
      <c r="T129" s="942"/>
      <c r="U129" s="942"/>
      <c r="V129" s="942"/>
      <c r="W129" s="942"/>
      <c r="X129" s="768"/>
      <c r="Y129" s="789" t="s">
        <v>415</v>
      </c>
      <c r="Z129" s="789" t="s">
        <v>107</v>
      </c>
    </row>
    <row r="130" spans="3:26" ht="16.5" customHeight="1" x14ac:dyDescent="0.25">
      <c r="C130" s="789"/>
      <c r="D130" s="789"/>
      <c r="E130" s="956"/>
      <c r="F130" s="766"/>
      <c r="G130" s="766"/>
      <c r="H130" s="954"/>
      <c r="I130" s="789"/>
      <c r="J130" s="818"/>
      <c r="K130" s="964"/>
      <c r="L130" s="964"/>
      <c r="M130" s="794"/>
      <c r="N130" s="1003"/>
      <c r="O130" s="956"/>
      <c r="P130" s="789"/>
      <c r="Q130" s="789"/>
      <c r="R130" s="940" t="s">
        <v>54</v>
      </c>
      <c r="S130" s="944"/>
      <c r="T130" s="941"/>
      <c r="U130" s="258" t="s">
        <v>55</v>
      </c>
      <c r="V130" s="258"/>
      <c r="W130" s="258" t="s">
        <v>58</v>
      </c>
      <c r="X130" s="258"/>
      <c r="Y130" s="789"/>
      <c r="Z130" s="789"/>
    </row>
    <row r="131" spans="3:26" ht="33" x14ac:dyDescent="0.25">
      <c r="C131" s="789"/>
      <c r="D131" s="789"/>
      <c r="E131" s="770"/>
      <c r="F131" s="766"/>
      <c r="G131" s="766"/>
      <c r="H131" s="955"/>
      <c r="I131" s="789"/>
      <c r="J131" s="259" t="s">
        <v>37</v>
      </c>
      <c r="K131" s="259" t="s">
        <v>38</v>
      </c>
      <c r="L131" s="259" t="s">
        <v>39</v>
      </c>
      <c r="M131" s="259" t="s">
        <v>40</v>
      </c>
      <c r="N131" s="1004"/>
      <c r="O131" s="770"/>
      <c r="P131" s="789"/>
      <c r="Q131" s="789"/>
      <c r="R131" s="260" t="s">
        <v>62</v>
      </c>
      <c r="S131" s="260" t="s">
        <v>63</v>
      </c>
      <c r="T131" s="260" t="s">
        <v>282</v>
      </c>
      <c r="U131" s="260" t="s">
        <v>56</v>
      </c>
      <c r="V131" s="260" t="s">
        <v>57</v>
      </c>
      <c r="W131" s="260" t="s">
        <v>56</v>
      </c>
      <c r="X131" s="260" t="s">
        <v>57</v>
      </c>
      <c r="Y131" s="789"/>
      <c r="Z131" s="789"/>
    </row>
    <row r="132" spans="3:26" x14ac:dyDescent="0.25">
      <c r="C132" s="983" t="s">
        <v>694</v>
      </c>
      <c r="D132" s="983"/>
      <c r="E132" s="983"/>
      <c r="F132" s="267"/>
      <c r="G132" s="264"/>
      <c r="H132" s="264"/>
      <c r="I132" s="264"/>
      <c r="J132" s="261"/>
      <c r="K132" s="262"/>
      <c r="L132" s="262"/>
      <c r="M132" s="263"/>
      <c r="N132" s="264"/>
      <c r="O132" s="264"/>
      <c r="P132" s="264"/>
      <c r="Q132" s="264"/>
      <c r="R132" s="264"/>
      <c r="S132" s="264"/>
      <c r="T132" s="264"/>
      <c r="U132" s="264"/>
      <c r="V132" s="264"/>
      <c r="W132" s="264"/>
      <c r="X132" s="264"/>
      <c r="Y132" s="264"/>
      <c r="Z132" s="264"/>
    </row>
    <row r="133" spans="3:26" ht="82.5" x14ac:dyDescent="0.3">
      <c r="C133" s="151">
        <v>1</v>
      </c>
      <c r="D133" s="473" t="s">
        <v>1796</v>
      </c>
      <c r="E133" s="473" t="s">
        <v>937</v>
      </c>
      <c r="F133" s="534">
        <v>150</v>
      </c>
      <c r="G133" s="473" t="s">
        <v>943</v>
      </c>
      <c r="H133" s="471" t="s">
        <v>976</v>
      </c>
      <c r="I133" s="473" t="s">
        <v>940</v>
      </c>
      <c r="J133" s="473"/>
      <c r="K133" s="473"/>
      <c r="L133" s="473"/>
      <c r="M133" s="704"/>
      <c r="N133" s="471" t="s">
        <v>1810</v>
      </c>
      <c r="O133" s="474">
        <v>102000</v>
      </c>
      <c r="P133" s="212">
        <f>F133*O133</f>
        <v>15300000</v>
      </c>
      <c r="Q133" s="68"/>
      <c r="R133" s="156">
        <v>0</v>
      </c>
      <c r="S133" s="474">
        <v>15300000</v>
      </c>
      <c r="T133" s="156">
        <v>0</v>
      </c>
      <c r="U133" s="151"/>
      <c r="V133" s="156">
        <v>0</v>
      </c>
      <c r="W133" s="151"/>
      <c r="X133" s="156">
        <v>0</v>
      </c>
      <c r="Y133" s="212">
        <f>P133-SUM(R133:T133, V133,X133)</f>
        <v>0</v>
      </c>
      <c r="Z133" s="151"/>
    </row>
    <row r="134" spans="3:26" ht="48.75" customHeight="1" x14ac:dyDescent="0.3">
      <c r="C134" s="151">
        <v>2</v>
      </c>
      <c r="D134" s="473" t="s">
        <v>941</v>
      </c>
      <c r="E134" s="473" t="s">
        <v>942</v>
      </c>
      <c r="F134" s="478">
        <v>1</v>
      </c>
      <c r="G134" s="473" t="s">
        <v>943</v>
      </c>
      <c r="H134" s="471" t="s">
        <v>977</v>
      </c>
      <c r="I134" s="473" t="s">
        <v>940</v>
      </c>
      <c r="J134" s="473"/>
      <c r="K134" s="473"/>
      <c r="L134" s="473"/>
      <c r="M134" s="704"/>
      <c r="N134" s="471" t="s">
        <v>977</v>
      </c>
      <c r="O134" s="474">
        <v>2000000</v>
      </c>
      <c r="P134" s="212">
        <f t="shared" ref="P134:P161" si="6">F134*O134</f>
        <v>2000000</v>
      </c>
      <c r="Q134" s="68"/>
      <c r="R134" s="156">
        <v>0</v>
      </c>
      <c r="S134" s="474">
        <v>2000000</v>
      </c>
      <c r="T134" s="156">
        <v>0</v>
      </c>
      <c r="U134" s="151"/>
      <c r="V134" s="156">
        <v>0</v>
      </c>
      <c r="W134" s="151"/>
      <c r="X134" s="156">
        <v>0</v>
      </c>
      <c r="Y134" s="212">
        <f t="shared" ref="Y134:Y162" si="7">P134-SUM(R134:T134, V134,X134)</f>
        <v>0</v>
      </c>
      <c r="Z134" s="151"/>
    </row>
    <row r="135" spans="3:26" ht="17.25" hidden="1" x14ac:dyDescent="0.3">
      <c r="C135" s="151">
        <v>3</v>
      </c>
      <c r="D135" s="437"/>
      <c r="E135" s="531"/>
      <c r="F135" s="545"/>
      <c r="G135" s="473"/>
      <c r="H135" s="471"/>
      <c r="I135" s="473"/>
      <c r="J135" s="473"/>
      <c r="K135" s="473"/>
      <c r="L135" s="473"/>
      <c r="M135" s="704"/>
      <c r="N135" s="471"/>
      <c r="O135" s="474"/>
      <c r="P135" s="212">
        <f t="shared" si="6"/>
        <v>0</v>
      </c>
      <c r="Q135" s="68"/>
      <c r="R135" s="156">
        <v>0</v>
      </c>
      <c r="S135" s="474">
        <v>0</v>
      </c>
      <c r="T135" s="156">
        <v>0</v>
      </c>
      <c r="U135" s="151"/>
      <c r="V135" s="156">
        <v>0</v>
      </c>
      <c r="W135" s="151"/>
      <c r="X135" s="156">
        <v>0</v>
      </c>
      <c r="Y135" s="212">
        <f t="shared" si="7"/>
        <v>0</v>
      </c>
      <c r="Z135" s="151"/>
    </row>
    <row r="136" spans="3:26" ht="17.25" hidden="1" x14ac:dyDescent="0.3">
      <c r="C136" s="151">
        <v>4</v>
      </c>
      <c r="D136" s="473"/>
      <c r="E136" s="473"/>
      <c r="F136" s="478"/>
      <c r="G136" s="473"/>
      <c r="H136" s="471"/>
      <c r="I136" s="473"/>
      <c r="J136" s="473"/>
      <c r="K136" s="473"/>
      <c r="L136" s="473"/>
      <c r="M136" s="704"/>
      <c r="N136" s="471"/>
      <c r="O136" s="474"/>
      <c r="P136" s="212">
        <f t="shared" si="6"/>
        <v>0</v>
      </c>
      <c r="Q136" s="68"/>
      <c r="R136" s="156">
        <v>0</v>
      </c>
      <c r="S136" s="474">
        <v>0</v>
      </c>
      <c r="T136" s="156">
        <v>0</v>
      </c>
      <c r="U136" s="151"/>
      <c r="V136" s="156">
        <v>0</v>
      </c>
      <c r="W136" s="151"/>
      <c r="X136" s="156">
        <v>0</v>
      </c>
      <c r="Y136" s="212">
        <f t="shared" si="7"/>
        <v>0</v>
      </c>
      <c r="Z136" s="151"/>
    </row>
    <row r="137" spans="3:26" ht="17.25" hidden="1" x14ac:dyDescent="0.3">
      <c r="C137" s="151">
        <v>5</v>
      </c>
      <c r="D137" s="473"/>
      <c r="E137" s="473"/>
      <c r="F137" s="478"/>
      <c r="G137" s="473"/>
      <c r="H137" s="471"/>
      <c r="I137" s="473"/>
      <c r="J137" s="473"/>
      <c r="K137" s="473"/>
      <c r="L137" s="473"/>
      <c r="M137" s="704"/>
      <c r="N137" s="471"/>
      <c r="O137" s="474"/>
      <c r="P137" s="212">
        <f t="shared" si="6"/>
        <v>0</v>
      </c>
      <c r="Q137" s="68"/>
      <c r="R137" s="156">
        <v>0</v>
      </c>
      <c r="S137" s="474">
        <v>0</v>
      </c>
      <c r="T137" s="156">
        <v>0</v>
      </c>
      <c r="U137" s="151"/>
      <c r="V137" s="156">
        <v>0</v>
      </c>
      <c r="W137" s="151"/>
      <c r="X137" s="156">
        <v>0</v>
      </c>
      <c r="Y137" s="212">
        <f t="shared" si="7"/>
        <v>0</v>
      </c>
      <c r="Z137" s="151"/>
    </row>
    <row r="138" spans="3:26" ht="32.25" customHeight="1" x14ac:dyDescent="0.3">
      <c r="C138" s="151">
        <v>2</v>
      </c>
      <c r="D138" s="473" t="s">
        <v>948</v>
      </c>
      <c r="E138" s="473" t="s">
        <v>949</v>
      </c>
      <c r="F138" s="478">
        <v>30</v>
      </c>
      <c r="G138" s="473" t="s">
        <v>943</v>
      </c>
      <c r="H138" s="471" t="s">
        <v>981</v>
      </c>
      <c r="I138" s="473" t="s">
        <v>940</v>
      </c>
      <c r="J138" s="473"/>
      <c r="K138" s="473"/>
      <c r="L138" s="473"/>
      <c r="M138" s="704"/>
      <c r="N138" s="471" t="s">
        <v>1809</v>
      </c>
      <c r="O138" s="474">
        <v>192942.24600000001</v>
      </c>
      <c r="P138" s="212">
        <f t="shared" si="6"/>
        <v>5788267.3800000008</v>
      </c>
      <c r="Q138" s="68"/>
      <c r="R138" s="156">
        <v>0</v>
      </c>
      <c r="S138" s="474">
        <v>5788267.3799999999</v>
      </c>
      <c r="T138" s="156">
        <v>0</v>
      </c>
      <c r="U138" s="151"/>
      <c r="V138" s="156">
        <v>0</v>
      </c>
      <c r="W138" s="151"/>
      <c r="X138" s="156">
        <v>0</v>
      </c>
      <c r="Y138" s="212">
        <f t="shared" si="7"/>
        <v>0</v>
      </c>
      <c r="Z138" s="151"/>
    </row>
    <row r="139" spans="3:26" ht="17.25" hidden="1" x14ac:dyDescent="0.3">
      <c r="C139" s="151">
        <v>7</v>
      </c>
      <c r="D139" s="473"/>
      <c r="E139" s="473"/>
      <c r="F139" s="534"/>
      <c r="G139" s="473"/>
      <c r="H139" s="471"/>
      <c r="I139" s="471"/>
      <c r="J139" s="473"/>
      <c r="K139" s="473"/>
      <c r="L139" s="473"/>
      <c r="M139" s="712"/>
      <c r="N139" s="533"/>
      <c r="O139" s="476"/>
      <c r="P139" s="212">
        <f t="shared" si="6"/>
        <v>0</v>
      </c>
      <c r="Q139" s="68"/>
      <c r="R139" s="156">
        <v>0</v>
      </c>
      <c r="S139" s="474">
        <v>0</v>
      </c>
      <c r="T139" s="156">
        <v>0</v>
      </c>
      <c r="U139" s="151"/>
      <c r="V139" s="156">
        <v>0</v>
      </c>
      <c r="W139" s="151"/>
      <c r="X139" s="156">
        <v>0</v>
      </c>
      <c r="Y139" s="212">
        <f t="shared" si="7"/>
        <v>0</v>
      </c>
      <c r="Z139" s="151"/>
    </row>
    <row r="140" spans="3:26" ht="17.25" hidden="1" x14ac:dyDescent="0.3">
      <c r="C140" s="151">
        <v>8</v>
      </c>
      <c r="D140" s="530"/>
      <c r="E140" s="473"/>
      <c r="F140" s="534"/>
      <c r="G140" s="473"/>
      <c r="H140" s="471"/>
      <c r="I140" s="473"/>
      <c r="J140" s="473"/>
      <c r="K140" s="473"/>
      <c r="L140" s="473"/>
      <c r="M140" s="704"/>
      <c r="N140" s="473"/>
      <c r="O140" s="474"/>
      <c r="P140" s="212">
        <f t="shared" si="6"/>
        <v>0</v>
      </c>
      <c r="Q140" s="68"/>
      <c r="R140" s="156">
        <v>0</v>
      </c>
      <c r="S140" s="474">
        <v>0</v>
      </c>
      <c r="T140" s="156">
        <v>0</v>
      </c>
      <c r="U140" s="151"/>
      <c r="V140" s="156">
        <v>0</v>
      </c>
      <c r="W140" s="151"/>
      <c r="X140" s="156">
        <v>0</v>
      </c>
      <c r="Y140" s="212">
        <f t="shared" si="7"/>
        <v>0</v>
      </c>
      <c r="Z140" s="151"/>
    </row>
    <row r="141" spans="3:26" ht="49.5" x14ac:dyDescent="0.3">
      <c r="C141" s="151">
        <v>3</v>
      </c>
      <c r="D141" s="473" t="s">
        <v>1805</v>
      </c>
      <c r="E141" s="473" t="s">
        <v>1806</v>
      </c>
      <c r="F141" s="534">
        <v>361</v>
      </c>
      <c r="G141" s="473" t="s">
        <v>938</v>
      </c>
      <c r="H141" s="714" t="s">
        <v>1807</v>
      </c>
      <c r="I141" s="473" t="s">
        <v>940</v>
      </c>
      <c r="J141" s="473"/>
      <c r="K141" s="473"/>
      <c r="L141" s="473"/>
      <c r="M141" s="704"/>
      <c r="N141" s="473" t="s">
        <v>1808</v>
      </c>
      <c r="O141" s="474">
        <v>184279.77839334999</v>
      </c>
      <c r="P141" s="212">
        <f t="shared" si="6"/>
        <v>66524999.999999344</v>
      </c>
      <c r="Q141" s="68"/>
      <c r="R141" s="156">
        <v>0</v>
      </c>
      <c r="S141" s="474">
        <v>66525000</v>
      </c>
      <c r="T141" s="156">
        <v>0</v>
      </c>
      <c r="U141" s="151"/>
      <c r="V141" s="156">
        <v>0</v>
      </c>
      <c r="W141" s="151"/>
      <c r="X141" s="156">
        <v>0</v>
      </c>
      <c r="Y141" s="212">
        <f t="shared" si="7"/>
        <v>-6.5565109252929688E-7</v>
      </c>
      <c r="Z141" s="151"/>
    </row>
    <row r="142" spans="3:26" ht="66" x14ac:dyDescent="0.3">
      <c r="C142" s="151">
        <v>4</v>
      </c>
      <c r="D142" s="649" t="s">
        <v>1804</v>
      </c>
      <c r="E142" s="649" t="s">
        <v>877</v>
      </c>
      <c r="F142" s="478">
        <v>1</v>
      </c>
      <c r="G142" s="649" t="s">
        <v>938</v>
      </c>
      <c r="H142" s="548" t="s">
        <v>982</v>
      </c>
      <c r="I142" s="473" t="s">
        <v>940</v>
      </c>
      <c r="J142" s="473"/>
      <c r="K142" s="473"/>
      <c r="L142" s="473"/>
      <c r="M142" s="704"/>
      <c r="N142" s="649" t="s">
        <v>1808</v>
      </c>
      <c r="O142" s="474">
        <v>19344278.23</v>
      </c>
      <c r="P142" s="212">
        <f t="shared" si="6"/>
        <v>19344278.23</v>
      </c>
      <c r="Q142" s="68"/>
      <c r="R142" s="156">
        <v>0</v>
      </c>
      <c r="S142" s="474">
        <v>19344278.23</v>
      </c>
      <c r="T142" s="156">
        <v>0</v>
      </c>
      <c r="U142" s="151"/>
      <c r="V142" s="156">
        <v>0</v>
      </c>
      <c r="W142" s="151"/>
      <c r="X142" s="156">
        <v>0</v>
      </c>
      <c r="Y142" s="212">
        <f t="shared" si="7"/>
        <v>0</v>
      </c>
      <c r="Z142" s="151"/>
    </row>
    <row r="143" spans="3:26" ht="17.25" hidden="1" x14ac:dyDescent="0.3">
      <c r="C143" s="151">
        <v>5</v>
      </c>
      <c r="D143" s="473"/>
      <c r="E143" s="473"/>
      <c r="F143" s="473"/>
      <c r="G143" s="649"/>
      <c r="H143" s="473"/>
      <c r="I143" s="473"/>
      <c r="J143" s="473"/>
      <c r="K143" s="473"/>
      <c r="L143" s="473"/>
      <c r="M143" s="482"/>
      <c r="N143" s="649"/>
      <c r="O143" s="474"/>
      <c r="P143" s="212">
        <f t="shared" si="6"/>
        <v>0</v>
      </c>
      <c r="Q143" s="68"/>
      <c r="R143" s="156">
        <v>0</v>
      </c>
      <c r="S143" s="474">
        <v>0</v>
      </c>
      <c r="T143" s="156">
        <v>0</v>
      </c>
      <c r="U143" s="151"/>
      <c r="V143" s="156">
        <v>0</v>
      </c>
      <c r="W143" s="151"/>
      <c r="X143" s="156">
        <v>0</v>
      </c>
      <c r="Y143" s="212">
        <f t="shared" si="7"/>
        <v>0</v>
      </c>
      <c r="Z143" s="151"/>
    </row>
    <row r="144" spans="3:26" ht="17.25" hidden="1" x14ac:dyDescent="0.3">
      <c r="C144" s="151">
        <v>12</v>
      </c>
      <c r="D144" s="473"/>
      <c r="E144" s="473"/>
      <c r="F144" s="473"/>
      <c r="G144" s="473"/>
      <c r="H144" s="473"/>
      <c r="I144" s="473"/>
      <c r="J144" s="473"/>
      <c r="K144" s="473"/>
      <c r="L144" s="473"/>
      <c r="M144" s="473"/>
      <c r="N144" s="473"/>
      <c r="O144" s="474">
        <v>0</v>
      </c>
      <c r="P144" s="212">
        <f t="shared" si="6"/>
        <v>0</v>
      </c>
      <c r="Q144" s="68"/>
      <c r="R144" s="156">
        <v>0</v>
      </c>
      <c r="S144" s="474">
        <v>0</v>
      </c>
      <c r="T144" s="156">
        <v>0</v>
      </c>
      <c r="U144" s="151"/>
      <c r="V144" s="156">
        <v>0</v>
      </c>
      <c r="W144" s="151"/>
      <c r="X144" s="156">
        <v>0</v>
      </c>
      <c r="Y144" s="212">
        <f t="shared" si="7"/>
        <v>0</v>
      </c>
      <c r="Z144" s="151"/>
    </row>
    <row r="145" spans="3:26" ht="17.25" hidden="1" x14ac:dyDescent="0.3">
      <c r="C145" s="151">
        <v>13</v>
      </c>
      <c r="D145" s="473"/>
      <c r="E145" s="473"/>
      <c r="F145" s="473"/>
      <c r="G145" s="473"/>
      <c r="H145" s="473"/>
      <c r="I145" s="473"/>
      <c r="J145" s="473"/>
      <c r="K145" s="473"/>
      <c r="L145" s="473"/>
      <c r="M145" s="473"/>
      <c r="N145" s="473"/>
      <c r="O145" s="474">
        <v>0</v>
      </c>
      <c r="P145" s="212">
        <f t="shared" si="6"/>
        <v>0</v>
      </c>
      <c r="Q145" s="68"/>
      <c r="R145" s="156">
        <v>0</v>
      </c>
      <c r="S145" s="474">
        <v>0</v>
      </c>
      <c r="T145" s="156">
        <v>0</v>
      </c>
      <c r="U145" s="151"/>
      <c r="V145" s="156">
        <v>0</v>
      </c>
      <c r="W145" s="151"/>
      <c r="X145" s="156">
        <v>0</v>
      </c>
      <c r="Y145" s="212">
        <f t="shared" si="7"/>
        <v>0</v>
      </c>
      <c r="Z145" s="151"/>
    </row>
    <row r="146" spans="3:26" ht="17.25" hidden="1" x14ac:dyDescent="0.3">
      <c r="C146" s="151">
        <v>14</v>
      </c>
      <c r="D146" s="473"/>
      <c r="E146" s="473"/>
      <c r="F146" s="473"/>
      <c r="G146" s="473"/>
      <c r="H146" s="473"/>
      <c r="I146" s="473"/>
      <c r="J146" s="473"/>
      <c r="K146" s="473"/>
      <c r="L146" s="473"/>
      <c r="M146" s="473"/>
      <c r="N146" s="473"/>
      <c r="O146" s="474">
        <v>0</v>
      </c>
      <c r="P146" s="212">
        <f t="shared" si="6"/>
        <v>0</v>
      </c>
      <c r="Q146" s="68"/>
      <c r="R146" s="156">
        <v>0</v>
      </c>
      <c r="S146" s="474">
        <v>0</v>
      </c>
      <c r="T146" s="156">
        <v>0</v>
      </c>
      <c r="U146" s="151"/>
      <c r="V146" s="156">
        <v>0</v>
      </c>
      <c r="W146" s="151"/>
      <c r="X146" s="156">
        <v>0</v>
      </c>
      <c r="Y146" s="212">
        <f t="shared" si="7"/>
        <v>0</v>
      </c>
      <c r="Z146" s="151"/>
    </row>
    <row r="147" spans="3:26" ht="17.25" hidden="1" x14ac:dyDescent="0.3">
      <c r="C147" s="151">
        <v>15</v>
      </c>
      <c r="D147" s="473"/>
      <c r="E147" s="473"/>
      <c r="F147" s="473"/>
      <c r="G147" s="473"/>
      <c r="H147" s="475"/>
      <c r="I147" s="473"/>
      <c r="J147" s="473"/>
      <c r="K147" s="473"/>
      <c r="L147" s="473"/>
      <c r="M147" s="473"/>
      <c r="N147" s="473"/>
      <c r="O147" s="474">
        <v>0</v>
      </c>
      <c r="P147" s="212">
        <f t="shared" si="6"/>
        <v>0</v>
      </c>
      <c r="Q147" s="68"/>
      <c r="R147" s="156">
        <v>0</v>
      </c>
      <c r="S147" s="474">
        <v>0</v>
      </c>
      <c r="T147" s="156">
        <v>0</v>
      </c>
      <c r="U147" s="151"/>
      <c r="V147" s="156">
        <v>0</v>
      </c>
      <c r="W147" s="151"/>
      <c r="X147" s="156">
        <v>0</v>
      </c>
      <c r="Y147" s="212">
        <f t="shared" si="7"/>
        <v>0</v>
      </c>
      <c r="Z147" s="151"/>
    </row>
    <row r="148" spans="3:26" ht="17.25" hidden="1" x14ac:dyDescent="0.3">
      <c r="C148" s="151">
        <v>16</v>
      </c>
      <c r="D148" s="473"/>
      <c r="E148" s="473"/>
      <c r="F148" s="473"/>
      <c r="G148" s="473"/>
      <c r="H148" s="475"/>
      <c r="I148" s="473"/>
      <c r="J148" s="473"/>
      <c r="K148" s="473"/>
      <c r="L148" s="473"/>
      <c r="M148" s="473"/>
      <c r="N148" s="473"/>
      <c r="O148" s="474">
        <v>0</v>
      </c>
      <c r="P148" s="212">
        <f t="shared" si="6"/>
        <v>0</v>
      </c>
      <c r="Q148" s="68"/>
      <c r="R148" s="156">
        <v>0</v>
      </c>
      <c r="S148" s="474">
        <v>0</v>
      </c>
      <c r="T148" s="156">
        <v>0</v>
      </c>
      <c r="U148" s="151"/>
      <c r="V148" s="156">
        <v>0</v>
      </c>
      <c r="W148" s="151"/>
      <c r="X148" s="156">
        <v>0</v>
      </c>
      <c r="Y148" s="212">
        <f t="shared" si="7"/>
        <v>0</v>
      </c>
      <c r="Z148" s="151"/>
    </row>
    <row r="149" spans="3:26" ht="17.25" hidden="1" x14ac:dyDescent="0.3">
      <c r="C149" s="151">
        <v>17</v>
      </c>
      <c r="D149" s="473"/>
      <c r="E149" s="473"/>
      <c r="F149" s="473"/>
      <c r="G149" s="473"/>
      <c r="H149" s="475"/>
      <c r="I149" s="473"/>
      <c r="J149" s="473"/>
      <c r="K149" s="473"/>
      <c r="L149" s="473"/>
      <c r="M149" s="473"/>
      <c r="N149" s="473"/>
      <c r="O149" s="474">
        <v>0</v>
      </c>
      <c r="P149" s="212">
        <f t="shared" si="6"/>
        <v>0</v>
      </c>
      <c r="Q149" s="68"/>
      <c r="R149" s="156">
        <v>0</v>
      </c>
      <c r="S149" s="474">
        <v>0</v>
      </c>
      <c r="T149" s="156">
        <v>0</v>
      </c>
      <c r="U149" s="151"/>
      <c r="V149" s="156">
        <v>0</v>
      </c>
      <c r="W149" s="151"/>
      <c r="X149" s="156">
        <v>0</v>
      </c>
      <c r="Y149" s="212">
        <f t="shared" si="7"/>
        <v>0</v>
      </c>
      <c r="Z149" s="151"/>
    </row>
    <row r="150" spans="3:26" ht="17.25" hidden="1" x14ac:dyDescent="0.3">
      <c r="C150" s="151">
        <v>18</v>
      </c>
      <c r="D150" s="473"/>
      <c r="E150" s="473"/>
      <c r="F150" s="473"/>
      <c r="G150" s="473"/>
      <c r="H150" s="475"/>
      <c r="I150" s="473"/>
      <c r="J150" s="473"/>
      <c r="K150" s="473"/>
      <c r="L150" s="473"/>
      <c r="M150" s="473"/>
      <c r="N150" s="473"/>
      <c r="O150" s="474">
        <v>0</v>
      </c>
      <c r="P150" s="212">
        <f t="shared" si="6"/>
        <v>0</v>
      </c>
      <c r="Q150" s="68"/>
      <c r="R150" s="156">
        <v>0</v>
      </c>
      <c r="S150" s="474">
        <v>0</v>
      </c>
      <c r="T150" s="156">
        <v>0</v>
      </c>
      <c r="U150" s="151"/>
      <c r="V150" s="156">
        <v>0</v>
      </c>
      <c r="W150" s="151"/>
      <c r="X150" s="156">
        <v>0</v>
      </c>
      <c r="Y150" s="212">
        <f t="shared" si="7"/>
        <v>0</v>
      </c>
      <c r="Z150" s="151"/>
    </row>
    <row r="151" spans="3:26" ht="17.25" hidden="1" x14ac:dyDescent="0.3">
      <c r="C151" s="151">
        <v>19</v>
      </c>
      <c r="D151" s="473"/>
      <c r="E151" s="473"/>
      <c r="F151" s="473"/>
      <c r="G151" s="473"/>
      <c r="H151" s="475"/>
      <c r="I151" s="473"/>
      <c r="J151" s="473"/>
      <c r="K151" s="473"/>
      <c r="L151" s="473"/>
      <c r="M151" s="473"/>
      <c r="N151" s="473"/>
      <c r="O151" s="474">
        <v>0</v>
      </c>
      <c r="P151" s="212">
        <f t="shared" si="6"/>
        <v>0</v>
      </c>
      <c r="Q151" s="68"/>
      <c r="R151" s="156">
        <v>0</v>
      </c>
      <c r="S151" s="474">
        <v>0</v>
      </c>
      <c r="T151" s="156">
        <v>0</v>
      </c>
      <c r="U151" s="151"/>
      <c r="V151" s="156">
        <v>0</v>
      </c>
      <c r="W151" s="151"/>
      <c r="X151" s="156">
        <v>0</v>
      </c>
      <c r="Y151" s="212">
        <f t="shared" si="7"/>
        <v>0</v>
      </c>
      <c r="Z151" s="151"/>
    </row>
    <row r="152" spans="3:26" ht="17.25" hidden="1" x14ac:dyDescent="0.3">
      <c r="C152" s="151">
        <v>20</v>
      </c>
      <c r="D152" s="473"/>
      <c r="E152" s="473"/>
      <c r="F152" s="473"/>
      <c r="G152" s="473"/>
      <c r="H152" s="475"/>
      <c r="I152" s="473"/>
      <c r="J152" s="473"/>
      <c r="K152" s="473"/>
      <c r="L152" s="473"/>
      <c r="M152" s="473"/>
      <c r="N152" s="473"/>
      <c r="O152" s="474">
        <v>0</v>
      </c>
      <c r="P152" s="212">
        <f t="shared" si="6"/>
        <v>0</v>
      </c>
      <c r="Q152" s="68"/>
      <c r="R152" s="156">
        <v>0</v>
      </c>
      <c r="S152" s="474">
        <v>0</v>
      </c>
      <c r="T152" s="156">
        <v>0</v>
      </c>
      <c r="U152" s="151"/>
      <c r="V152" s="156">
        <v>0</v>
      </c>
      <c r="W152" s="151"/>
      <c r="X152" s="156">
        <v>0</v>
      </c>
      <c r="Y152" s="212">
        <f t="shared" si="7"/>
        <v>0</v>
      </c>
      <c r="Z152" s="151"/>
    </row>
    <row r="153" spans="3:26" ht="17.25" hidden="1" x14ac:dyDescent="0.3">
      <c r="C153" s="151">
        <v>21</v>
      </c>
      <c r="D153" s="473"/>
      <c r="E153" s="473"/>
      <c r="F153" s="473"/>
      <c r="G153" s="473"/>
      <c r="H153" s="475"/>
      <c r="I153" s="473"/>
      <c r="J153" s="473"/>
      <c r="K153" s="473"/>
      <c r="L153" s="473"/>
      <c r="M153" s="473"/>
      <c r="N153" s="473"/>
      <c r="O153" s="474">
        <v>0</v>
      </c>
      <c r="P153" s="212">
        <f t="shared" si="6"/>
        <v>0</v>
      </c>
      <c r="Q153" s="68"/>
      <c r="R153" s="156">
        <v>0</v>
      </c>
      <c r="S153" s="474">
        <v>0</v>
      </c>
      <c r="T153" s="156">
        <v>0</v>
      </c>
      <c r="U153" s="151"/>
      <c r="V153" s="156">
        <v>0</v>
      </c>
      <c r="W153" s="151"/>
      <c r="X153" s="156">
        <v>0</v>
      </c>
      <c r="Y153" s="212">
        <f t="shared" si="7"/>
        <v>0</v>
      </c>
      <c r="Z153" s="151"/>
    </row>
    <row r="154" spans="3:26" ht="17.25" hidden="1" x14ac:dyDescent="0.3">
      <c r="C154" s="151">
        <v>22</v>
      </c>
      <c r="D154" s="473"/>
      <c r="E154" s="473"/>
      <c r="F154" s="473"/>
      <c r="G154" s="473"/>
      <c r="H154" s="475"/>
      <c r="I154" s="473"/>
      <c r="J154" s="473"/>
      <c r="K154" s="473"/>
      <c r="L154" s="473"/>
      <c r="M154" s="473"/>
      <c r="N154" s="473"/>
      <c r="O154" s="474">
        <v>0</v>
      </c>
      <c r="P154" s="212">
        <f t="shared" si="6"/>
        <v>0</v>
      </c>
      <c r="Q154" s="68"/>
      <c r="R154" s="156">
        <v>0</v>
      </c>
      <c r="S154" s="474">
        <v>0</v>
      </c>
      <c r="T154" s="156">
        <v>0</v>
      </c>
      <c r="U154" s="151"/>
      <c r="V154" s="156">
        <v>0</v>
      </c>
      <c r="W154" s="151"/>
      <c r="X154" s="156">
        <v>0</v>
      </c>
      <c r="Y154" s="212">
        <f t="shared" si="7"/>
        <v>0</v>
      </c>
      <c r="Z154" s="151"/>
    </row>
    <row r="155" spans="3:26" ht="17.25" hidden="1" x14ac:dyDescent="0.3">
      <c r="C155" s="151">
        <v>23</v>
      </c>
      <c r="D155" s="473"/>
      <c r="E155" s="473"/>
      <c r="F155" s="478"/>
      <c r="G155" s="473"/>
      <c r="H155" s="475"/>
      <c r="I155" s="473"/>
      <c r="J155" s="473"/>
      <c r="K155" s="473"/>
      <c r="L155" s="473"/>
      <c r="M155" s="473"/>
      <c r="N155" s="473"/>
      <c r="O155" s="474"/>
      <c r="P155" s="212">
        <f t="shared" si="6"/>
        <v>0</v>
      </c>
      <c r="Q155" s="68"/>
      <c r="R155" s="156">
        <v>0</v>
      </c>
      <c r="S155" s="474"/>
      <c r="T155" s="156">
        <v>0</v>
      </c>
      <c r="U155" s="151"/>
      <c r="V155" s="156">
        <v>0</v>
      </c>
      <c r="W155" s="151"/>
      <c r="X155" s="156">
        <v>0</v>
      </c>
      <c r="Y155" s="212">
        <f t="shared" si="7"/>
        <v>0</v>
      </c>
      <c r="Z155" s="151"/>
    </row>
    <row r="156" spans="3:26" ht="17.25" hidden="1" x14ac:dyDescent="0.3">
      <c r="C156" s="151">
        <v>24</v>
      </c>
      <c r="D156" s="437"/>
      <c r="E156" s="531"/>
      <c r="F156" s="545"/>
      <c r="G156" s="473"/>
      <c r="H156" s="471"/>
      <c r="I156" s="473"/>
      <c r="J156" s="473"/>
      <c r="K156" s="473"/>
      <c r="L156" s="473"/>
      <c r="M156" s="473"/>
      <c r="N156" s="473"/>
      <c r="O156" s="474"/>
      <c r="P156" s="212">
        <f t="shared" si="6"/>
        <v>0</v>
      </c>
      <c r="Q156" s="68"/>
      <c r="R156" s="156">
        <v>0</v>
      </c>
      <c r="S156" s="474"/>
      <c r="T156" s="156">
        <v>0</v>
      </c>
      <c r="U156" s="151"/>
      <c r="V156" s="156">
        <v>0</v>
      </c>
      <c r="W156" s="151"/>
      <c r="X156" s="156">
        <v>0</v>
      </c>
      <c r="Y156" s="212">
        <f t="shared" si="7"/>
        <v>0</v>
      </c>
      <c r="Z156" s="151"/>
    </row>
    <row r="157" spans="3:26" ht="17.25" hidden="1" x14ac:dyDescent="0.3">
      <c r="C157" s="151">
        <v>25</v>
      </c>
      <c r="D157" s="473"/>
      <c r="E157" s="473"/>
      <c r="F157" s="478"/>
      <c r="G157" s="473"/>
      <c r="H157" s="475"/>
      <c r="I157" s="473"/>
      <c r="J157" s="473"/>
      <c r="K157" s="473"/>
      <c r="L157" s="473"/>
      <c r="M157" s="473"/>
      <c r="N157" s="473"/>
      <c r="O157" s="474"/>
      <c r="P157" s="212">
        <f t="shared" si="6"/>
        <v>0</v>
      </c>
      <c r="Q157" s="68"/>
      <c r="R157" s="156">
        <v>0</v>
      </c>
      <c r="S157" s="474"/>
      <c r="T157" s="156">
        <v>0</v>
      </c>
      <c r="U157" s="151"/>
      <c r="V157" s="156">
        <v>0</v>
      </c>
      <c r="W157" s="151"/>
      <c r="X157" s="156">
        <v>0</v>
      </c>
      <c r="Y157" s="212">
        <f t="shared" si="7"/>
        <v>0</v>
      </c>
      <c r="Z157" s="151"/>
    </row>
    <row r="158" spans="3:26" ht="17.25" hidden="1" x14ac:dyDescent="0.3">
      <c r="C158" s="151">
        <v>26</v>
      </c>
      <c r="D158" s="473"/>
      <c r="E158" s="473"/>
      <c r="F158" s="478"/>
      <c r="G158" s="473"/>
      <c r="H158" s="475"/>
      <c r="I158" s="473"/>
      <c r="J158" s="473"/>
      <c r="K158" s="473"/>
      <c r="L158" s="473"/>
      <c r="M158" s="473"/>
      <c r="N158" s="473"/>
      <c r="O158" s="474"/>
      <c r="P158" s="212">
        <f t="shared" si="6"/>
        <v>0</v>
      </c>
      <c r="Q158" s="68"/>
      <c r="R158" s="156">
        <v>0</v>
      </c>
      <c r="S158" s="474"/>
      <c r="T158" s="156">
        <v>0</v>
      </c>
      <c r="U158" s="151"/>
      <c r="V158" s="156">
        <v>0</v>
      </c>
      <c r="W158" s="151"/>
      <c r="X158" s="156">
        <v>0</v>
      </c>
      <c r="Y158" s="212">
        <f>P158-SUM(R158:T158, V158,X158)</f>
        <v>0</v>
      </c>
      <c r="Z158" s="151"/>
    </row>
    <row r="159" spans="3:26" ht="17.25" hidden="1" x14ac:dyDescent="0.3">
      <c r="C159" s="151">
        <v>27</v>
      </c>
      <c r="D159" s="473"/>
      <c r="E159" s="473"/>
      <c r="F159" s="478"/>
      <c r="G159" s="473"/>
      <c r="H159" s="475"/>
      <c r="I159" s="473"/>
      <c r="J159" s="473"/>
      <c r="K159" s="473"/>
      <c r="L159" s="473"/>
      <c r="M159" s="473"/>
      <c r="N159" s="473"/>
      <c r="O159" s="474"/>
      <c r="P159" s="212">
        <f t="shared" si="6"/>
        <v>0</v>
      </c>
      <c r="Q159" s="68"/>
      <c r="R159" s="156">
        <v>0</v>
      </c>
      <c r="S159" s="474"/>
      <c r="T159" s="156">
        <v>0</v>
      </c>
      <c r="U159" s="151"/>
      <c r="V159" s="156">
        <v>0</v>
      </c>
      <c r="W159" s="151"/>
      <c r="X159" s="156">
        <v>0</v>
      </c>
      <c r="Y159" s="212">
        <f t="shared" si="7"/>
        <v>0</v>
      </c>
      <c r="Z159" s="151"/>
    </row>
    <row r="160" spans="3:26" ht="17.25" hidden="1" x14ac:dyDescent="0.3">
      <c r="C160" s="151">
        <v>28</v>
      </c>
      <c r="D160" s="473"/>
      <c r="E160" s="473"/>
      <c r="F160" s="534"/>
      <c r="G160" s="473"/>
      <c r="H160" s="473"/>
      <c r="I160" s="471"/>
      <c r="J160" s="473"/>
      <c r="K160" s="473"/>
      <c r="L160" s="473"/>
      <c r="M160" s="510"/>
      <c r="N160" s="533"/>
      <c r="O160" s="476"/>
      <c r="P160" s="212">
        <f t="shared" si="6"/>
        <v>0</v>
      </c>
      <c r="Q160" s="68"/>
      <c r="R160" s="156">
        <v>0</v>
      </c>
      <c r="S160" s="474"/>
      <c r="T160" s="156">
        <v>0</v>
      </c>
      <c r="U160" s="151"/>
      <c r="V160" s="156">
        <v>0</v>
      </c>
      <c r="W160" s="151"/>
      <c r="X160" s="156">
        <v>0</v>
      </c>
      <c r="Y160" s="212">
        <f t="shared" si="7"/>
        <v>0</v>
      </c>
      <c r="Z160" s="151"/>
    </row>
    <row r="161" spans="3:27" ht="17.25" hidden="1" x14ac:dyDescent="0.3">
      <c r="C161" s="151">
        <v>29</v>
      </c>
      <c r="D161" s="530"/>
      <c r="E161" s="473"/>
      <c r="F161" s="534"/>
      <c r="G161" s="473"/>
      <c r="H161" s="473"/>
      <c r="I161" s="473"/>
      <c r="J161" s="473"/>
      <c r="K161" s="473"/>
      <c r="L161" s="473"/>
      <c r="M161" s="473"/>
      <c r="N161" s="473"/>
      <c r="O161" s="474"/>
      <c r="P161" s="212">
        <f t="shared" si="6"/>
        <v>0</v>
      </c>
      <c r="Q161" s="68"/>
      <c r="R161" s="156">
        <v>0</v>
      </c>
      <c r="S161" s="474"/>
      <c r="T161" s="156">
        <v>0</v>
      </c>
      <c r="U161" s="151"/>
      <c r="V161" s="156">
        <v>0</v>
      </c>
      <c r="W161" s="151"/>
      <c r="X161" s="156">
        <v>0</v>
      </c>
      <c r="Y161" s="212">
        <f t="shared" si="7"/>
        <v>0</v>
      </c>
      <c r="Z161" s="151"/>
    </row>
    <row r="162" spans="3:27" ht="17.25" hidden="1" x14ac:dyDescent="0.3">
      <c r="C162" s="151">
        <v>30</v>
      </c>
      <c r="D162" s="473"/>
      <c r="E162" s="473"/>
      <c r="F162" s="534"/>
      <c r="G162" s="473"/>
      <c r="H162" s="473"/>
      <c r="I162" s="473"/>
      <c r="J162" s="473"/>
      <c r="K162" s="473"/>
      <c r="L162" s="473"/>
      <c r="M162" s="473"/>
      <c r="N162" s="473"/>
      <c r="O162" s="474"/>
      <c r="P162" s="212">
        <f>F162*O162</f>
        <v>0</v>
      </c>
      <c r="Q162" s="68"/>
      <c r="R162" s="156">
        <v>0</v>
      </c>
      <c r="S162" s="474"/>
      <c r="T162" s="156">
        <v>0</v>
      </c>
      <c r="U162" s="151"/>
      <c r="V162" s="156">
        <v>0</v>
      </c>
      <c r="W162" s="151"/>
      <c r="X162" s="156">
        <v>0</v>
      </c>
      <c r="Y162" s="212">
        <f t="shared" si="7"/>
        <v>0</v>
      </c>
      <c r="Z162" s="151"/>
    </row>
    <row r="163" spans="3:27" x14ac:dyDescent="0.25">
      <c r="C163" s="855" t="s">
        <v>133</v>
      </c>
      <c r="D163" s="982"/>
      <c r="E163" s="159"/>
      <c r="F163" s="159"/>
      <c r="G163" s="159"/>
      <c r="H163" s="250"/>
      <c r="I163" s="159"/>
      <c r="J163" s="159"/>
      <c r="K163" s="159"/>
      <c r="L163" s="159"/>
      <c r="M163" s="159"/>
      <c r="N163" s="159"/>
      <c r="O163" s="159"/>
      <c r="P163" s="214">
        <f>SUM(P133:P162)</f>
        <v>108957545.60999934</v>
      </c>
      <c r="Q163" s="159"/>
      <c r="R163" s="214">
        <f>SUM(R133:R162)</f>
        <v>0</v>
      </c>
      <c r="S163" s="214">
        <f>SUM(S133:S162)</f>
        <v>108957545.61</v>
      </c>
      <c r="T163" s="214">
        <f>SUM(T133:T162)</f>
        <v>0</v>
      </c>
      <c r="U163" s="834">
        <f>SUM(V133:V162,X133:X163)</f>
        <v>0</v>
      </c>
      <c r="V163" s="835"/>
      <c r="W163" s="835"/>
      <c r="X163" s="836"/>
      <c r="Y163" s="214">
        <f>SUM(Y133:Y162)</f>
        <v>-6.5565109252929688E-7</v>
      </c>
      <c r="Z163" s="151"/>
    </row>
    <row r="164" spans="3:27" x14ac:dyDescent="0.25">
      <c r="H164" s="251"/>
    </row>
    <row r="165" spans="3:27" ht="16.5" customHeight="1" x14ac:dyDescent="0.25">
      <c r="C165" s="789" t="s">
        <v>35</v>
      </c>
      <c r="D165" s="789" t="s">
        <v>34</v>
      </c>
      <c r="E165" s="769" t="s">
        <v>110</v>
      </c>
      <c r="F165" s="766" t="s">
        <v>175</v>
      </c>
      <c r="G165" s="789" t="s">
        <v>96</v>
      </c>
      <c r="H165" s="789" t="s">
        <v>420</v>
      </c>
      <c r="I165" s="789" t="s">
        <v>189</v>
      </c>
      <c r="J165" s="766" t="s">
        <v>36</v>
      </c>
      <c r="K165" s="766"/>
      <c r="L165" s="766"/>
      <c r="M165" s="766"/>
      <c r="N165" s="769" t="s">
        <v>519</v>
      </c>
      <c r="O165" s="769" t="s">
        <v>520</v>
      </c>
      <c r="P165" s="769" t="s">
        <v>51</v>
      </c>
      <c r="Q165" s="789" t="s">
        <v>190</v>
      </c>
      <c r="R165" s="789" t="s">
        <v>191</v>
      </c>
      <c r="S165" s="767" t="s">
        <v>53</v>
      </c>
      <c r="T165" s="942"/>
      <c r="U165" s="942"/>
      <c r="V165" s="942"/>
      <c r="W165" s="942"/>
      <c r="X165" s="942"/>
      <c r="Y165" s="768"/>
      <c r="Z165" s="789" t="s">
        <v>415</v>
      </c>
      <c r="AA165" s="789" t="s">
        <v>107</v>
      </c>
    </row>
    <row r="166" spans="3:27" ht="16.5" customHeight="1" x14ac:dyDescent="0.25">
      <c r="C166" s="789"/>
      <c r="D166" s="789"/>
      <c r="E166" s="956"/>
      <c r="F166" s="766"/>
      <c r="G166" s="789"/>
      <c r="H166" s="789"/>
      <c r="I166" s="789"/>
      <c r="J166" s="766"/>
      <c r="K166" s="766"/>
      <c r="L166" s="766"/>
      <c r="M166" s="766"/>
      <c r="N166" s="956"/>
      <c r="O166" s="956"/>
      <c r="P166" s="956"/>
      <c r="Q166" s="789"/>
      <c r="R166" s="789"/>
      <c r="S166" s="940" t="s">
        <v>54</v>
      </c>
      <c r="T166" s="944"/>
      <c r="U166" s="941"/>
      <c r="V166" s="269" t="s">
        <v>55</v>
      </c>
      <c r="W166" s="258"/>
      <c r="X166" s="270" t="s">
        <v>58</v>
      </c>
      <c r="Y166" s="258"/>
      <c r="Z166" s="789"/>
      <c r="AA166" s="789"/>
    </row>
    <row r="167" spans="3:27" ht="48.95" customHeight="1" x14ac:dyDescent="0.25">
      <c r="C167" s="789"/>
      <c r="D167" s="789"/>
      <c r="E167" s="770"/>
      <c r="F167" s="766"/>
      <c r="G167" s="789"/>
      <c r="H167" s="789"/>
      <c r="I167" s="789"/>
      <c r="J167" s="259" t="s">
        <v>37</v>
      </c>
      <c r="K167" s="259" t="s">
        <v>38</v>
      </c>
      <c r="L167" s="259" t="s">
        <v>39</v>
      </c>
      <c r="M167" s="259" t="s">
        <v>40</v>
      </c>
      <c r="N167" s="770"/>
      <c r="O167" s="770"/>
      <c r="P167" s="770"/>
      <c r="Q167" s="789"/>
      <c r="R167" s="789"/>
      <c r="S167" s="260" t="s">
        <v>62</v>
      </c>
      <c r="T167" s="260" t="s">
        <v>63</v>
      </c>
      <c r="U167" s="260" t="s">
        <v>282</v>
      </c>
      <c r="V167" s="260" t="s">
        <v>56</v>
      </c>
      <c r="W167" s="260" t="s">
        <v>57</v>
      </c>
      <c r="X167" s="260" t="s">
        <v>56</v>
      </c>
      <c r="Y167" s="260" t="s">
        <v>57</v>
      </c>
      <c r="Z167" s="789"/>
      <c r="AA167" s="789"/>
    </row>
    <row r="168" spans="3:27" ht="16.5" customHeight="1" x14ac:dyDescent="0.25">
      <c r="C168" s="958" t="s">
        <v>760</v>
      </c>
      <c r="D168" s="959"/>
      <c r="E168" s="959"/>
      <c r="F168" s="959"/>
      <c r="G168" s="959"/>
      <c r="H168" s="959"/>
      <c r="I168" s="1009"/>
      <c r="J168" s="264"/>
      <c r="K168" s="264"/>
      <c r="L168" s="264"/>
      <c r="M168" s="264"/>
      <c r="N168" s="264"/>
      <c r="O168" s="264"/>
      <c r="P168" s="264"/>
      <c r="Q168" s="264"/>
      <c r="R168" s="264"/>
      <c r="S168" s="264"/>
      <c r="T168" s="264"/>
      <c r="U168" s="264"/>
      <c r="V168" s="264"/>
      <c r="W168" s="264"/>
      <c r="X168" s="264"/>
      <c r="Y168" s="264"/>
      <c r="Z168" s="264"/>
      <c r="AA168" s="264"/>
    </row>
    <row r="169" spans="3:27" ht="82.5" x14ac:dyDescent="0.3">
      <c r="C169" s="151">
        <v>1</v>
      </c>
      <c r="D169" s="473" t="s">
        <v>1836</v>
      </c>
      <c r="E169" s="473" t="s">
        <v>932</v>
      </c>
      <c r="F169" s="478">
        <v>840</v>
      </c>
      <c r="G169" s="473" t="s">
        <v>933</v>
      </c>
      <c r="H169" s="471" t="s">
        <v>934</v>
      </c>
      <c r="I169" s="473" t="s">
        <v>935</v>
      </c>
      <c r="J169" s="473"/>
      <c r="K169" s="473"/>
      <c r="L169" s="473"/>
      <c r="M169" s="704"/>
      <c r="N169" s="510">
        <v>45962</v>
      </c>
      <c r="O169" s="510">
        <v>45688</v>
      </c>
      <c r="P169" s="474">
        <v>350000.00000200002</v>
      </c>
      <c r="Q169" s="212">
        <f t="shared" ref="Q169:Q198" si="8">F169*P169</f>
        <v>294000000.00168002</v>
      </c>
      <c r="R169" s="68" t="s">
        <v>734</v>
      </c>
      <c r="S169" s="156">
        <v>0</v>
      </c>
      <c r="T169" s="156">
        <v>294000000</v>
      </c>
      <c r="U169" s="156">
        <v>0</v>
      </c>
      <c r="V169" s="151"/>
      <c r="W169" s="156">
        <v>0</v>
      </c>
      <c r="X169" s="151"/>
      <c r="Y169" s="156">
        <v>0</v>
      </c>
      <c r="Z169" s="212">
        <f>Q169-SUM(S169:U169, W169,Y169)</f>
        <v>1.6800165176391602E-3</v>
      </c>
      <c r="AA169" s="151"/>
    </row>
    <row r="170" spans="3:27" ht="66" x14ac:dyDescent="0.3">
      <c r="C170" s="151">
        <v>2</v>
      </c>
      <c r="D170" s="473" t="s">
        <v>1835</v>
      </c>
      <c r="E170" s="473" t="s">
        <v>936</v>
      </c>
      <c r="F170" s="478">
        <v>840</v>
      </c>
      <c r="G170" s="473" t="s">
        <v>933</v>
      </c>
      <c r="H170" s="471" t="s">
        <v>934</v>
      </c>
      <c r="I170" s="473" t="s">
        <v>935</v>
      </c>
      <c r="J170" s="473"/>
      <c r="K170" s="473"/>
      <c r="L170" s="473"/>
      <c r="M170" s="704"/>
      <c r="N170" s="510">
        <v>45962</v>
      </c>
      <c r="O170" s="510">
        <v>45688</v>
      </c>
      <c r="P170" s="474">
        <v>73171.736250000002</v>
      </c>
      <c r="Q170" s="212">
        <f t="shared" si="8"/>
        <v>61464258.450000003</v>
      </c>
      <c r="R170" s="68" t="s">
        <v>734</v>
      </c>
      <c r="S170" s="156">
        <v>0</v>
      </c>
      <c r="T170" s="156">
        <v>61464258.450000003</v>
      </c>
      <c r="U170" s="156">
        <v>0</v>
      </c>
      <c r="V170" s="151"/>
      <c r="W170" s="156">
        <v>0</v>
      </c>
      <c r="X170" s="151"/>
      <c r="Y170" s="156">
        <v>0</v>
      </c>
      <c r="Z170" s="212">
        <f t="shared" ref="Z170:Z198" si="9">Q170-SUM(S170:U170, W170,Y170)</f>
        <v>0</v>
      </c>
      <c r="AA170" s="151"/>
    </row>
    <row r="171" spans="3:27" ht="17.25" hidden="1" x14ac:dyDescent="0.3">
      <c r="C171" s="151">
        <v>3</v>
      </c>
      <c r="D171" s="151"/>
      <c r="E171" s="151"/>
      <c r="F171" s="151"/>
      <c r="G171" s="151"/>
      <c r="H171" s="160"/>
      <c r="I171" s="151"/>
      <c r="J171" s="151"/>
      <c r="K171" s="151"/>
      <c r="L171" s="151"/>
      <c r="M171" s="151"/>
      <c r="N171" s="151"/>
      <c r="O171" s="151"/>
      <c r="P171" s="156">
        <v>0</v>
      </c>
      <c r="Q171" s="212">
        <f t="shared" si="8"/>
        <v>0</v>
      </c>
      <c r="R171" s="68"/>
      <c r="S171" s="156">
        <v>0</v>
      </c>
      <c r="T171" s="156">
        <v>0</v>
      </c>
      <c r="U171" s="156">
        <v>0</v>
      </c>
      <c r="V171" s="151"/>
      <c r="W171" s="156">
        <v>0</v>
      </c>
      <c r="X171" s="151"/>
      <c r="Y171" s="156">
        <v>0</v>
      </c>
      <c r="Z171" s="212">
        <f t="shared" si="9"/>
        <v>0</v>
      </c>
      <c r="AA171" s="151"/>
    </row>
    <row r="172" spans="3:27" ht="17.25" hidden="1" x14ac:dyDescent="0.3">
      <c r="C172" s="151">
        <v>4</v>
      </c>
      <c r="D172" s="151"/>
      <c r="E172" s="151"/>
      <c r="F172" s="151"/>
      <c r="G172" s="151"/>
      <c r="H172" s="160"/>
      <c r="I172" s="151"/>
      <c r="J172" s="151"/>
      <c r="K172" s="151"/>
      <c r="L172" s="151"/>
      <c r="M172" s="151"/>
      <c r="N172" s="151"/>
      <c r="O172" s="151"/>
      <c r="P172" s="156">
        <v>0</v>
      </c>
      <c r="Q172" s="212">
        <f t="shared" si="8"/>
        <v>0</v>
      </c>
      <c r="R172" s="68"/>
      <c r="S172" s="156">
        <v>0</v>
      </c>
      <c r="T172" s="156">
        <v>0</v>
      </c>
      <c r="U172" s="156">
        <v>0</v>
      </c>
      <c r="V172" s="151"/>
      <c r="W172" s="156">
        <v>0</v>
      </c>
      <c r="X172" s="151"/>
      <c r="Y172" s="156">
        <v>0</v>
      </c>
      <c r="Z172" s="212">
        <f t="shared" si="9"/>
        <v>0</v>
      </c>
      <c r="AA172" s="151"/>
    </row>
    <row r="173" spans="3:27" ht="17.25" hidden="1" x14ac:dyDescent="0.3">
      <c r="C173" s="151">
        <v>5</v>
      </c>
      <c r="D173" s="151"/>
      <c r="E173" s="151"/>
      <c r="F173" s="151"/>
      <c r="G173" s="151"/>
      <c r="H173" s="160"/>
      <c r="I173" s="151"/>
      <c r="J173" s="151"/>
      <c r="K173" s="151"/>
      <c r="L173" s="151"/>
      <c r="M173" s="151"/>
      <c r="N173" s="151"/>
      <c r="O173" s="151"/>
      <c r="P173" s="156">
        <v>0</v>
      </c>
      <c r="Q173" s="212">
        <f t="shared" si="8"/>
        <v>0</v>
      </c>
      <c r="R173" s="68"/>
      <c r="S173" s="156">
        <v>0</v>
      </c>
      <c r="T173" s="156">
        <v>0</v>
      </c>
      <c r="U173" s="156">
        <v>0</v>
      </c>
      <c r="V173" s="151"/>
      <c r="W173" s="156">
        <v>0</v>
      </c>
      <c r="X173" s="151"/>
      <c r="Y173" s="156">
        <v>0</v>
      </c>
      <c r="Z173" s="212">
        <f t="shared" si="9"/>
        <v>0</v>
      </c>
      <c r="AA173" s="151"/>
    </row>
    <row r="174" spans="3:27" ht="17.25" hidden="1" x14ac:dyDescent="0.3">
      <c r="C174" s="151">
        <v>6</v>
      </c>
      <c r="D174" s="151"/>
      <c r="E174" s="151"/>
      <c r="F174" s="151"/>
      <c r="G174" s="151"/>
      <c r="H174" s="160"/>
      <c r="I174" s="151"/>
      <c r="J174" s="151"/>
      <c r="K174" s="151"/>
      <c r="L174" s="151"/>
      <c r="M174" s="151"/>
      <c r="N174" s="151"/>
      <c r="O174" s="151"/>
      <c r="P174" s="156">
        <v>0</v>
      </c>
      <c r="Q174" s="212">
        <f t="shared" si="8"/>
        <v>0</v>
      </c>
      <c r="R174" s="68"/>
      <c r="S174" s="156">
        <v>0</v>
      </c>
      <c r="T174" s="156">
        <v>0</v>
      </c>
      <c r="U174" s="156">
        <v>0</v>
      </c>
      <c r="V174" s="151"/>
      <c r="W174" s="156">
        <v>0</v>
      </c>
      <c r="X174" s="151"/>
      <c r="Y174" s="156">
        <v>0</v>
      </c>
      <c r="Z174" s="212">
        <f t="shared" si="9"/>
        <v>0</v>
      </c>
      <c r="AA174" s="151"/>
    </row>
    <row r="175" spans="3:27" ht="17.25" hidden="1" x14ac:dyDescent="0.3">
      <c r="C175" s="151">
        <v>7</v>
      </c>
      <c r="D175" s="151"/>
      <c r="E175" s="151"/>
      <c r="F175" s="151"/>
      <c r="G175" s="151"/>
      <c r="H175" s="160"/>
      <c r="I175" s="151"/>
      <c r="J175" s="151"/>
      <c r="K175" s="151"/>
      <c r="L175" s="151"/>
      <c r="M175" s="151"/>
      <c r="N175" s="151"/>
      <c r="O175" s="151"/>
      <c r="P175" s="156">
        <v>0</v>
      </c>
      <c r="Q175" s="212">
        <f t="shared" si="8"/>
        <v>0</v>
      </c>
      <c r="R175" s="68"/>
      <c r="S175" s="156">
        <v>0</v>
      </c>
      <c r="T175" s="156">
        <v>0</v>
      </c>
      <c r="U175" s="156">
        <v>0</v>
      </c>
      <c r="V175" s="151"/>
      <c r="W175" s="156">
        <v>0</v>
      </c>
      <c r="X175" s="151"/>
      <c r="Y175" s="156">
        <v>0</v>
      </c>
      <c r="Z175" s="212">
        <f t="shared" si="9"/>
        <v>0</v>
      </c>
      <c r="AA175" s="151"/>
    </row>
    <row r="176" spans="3:27" ht="17.25" hidden="1" x14ac:dyDescent="0.3">
      <c r="C176" s="151">
        <v>8</v>
      </c>
      <c r="D176" s="151"/>
      <c r="E176" s="151"/>
      <c r="F176" s="151"/>
      <c r="G176" s="151"/>
      <c r="H176" s="160"/>
      <c r="I176" s="151"/>
      <c r="J176" s="151"/>
      <c r="K176" s="151"/>
      <c r="L176" s="151"/>
      <c r="M176" s="151"/>
      <c r="N176" s="151"/>
      <c r="O176" s="151"/>
      <c r="P176" s="156">
        <v>0</v>
      </c>
      <c r="Q176" s="212">
        <f t="shared" si="8"/>
        <v>0</v>
      </c>
      <c r="R176" s="68"/>
      <c r="S176" s="156">
        <v>0</v>
      </c>
      <c r="T176" s="156">
        <v>0</v>
      </c>
      <c r="U176" s="156">
        <v>0</v>
      </c>
      <c r="V176" s="151"/>
      <c r="W176" s="156">
        <v>0</v>
      </c>
      <c r="X176" s="151"/>
      <c r="Y176" s="156">
        <v>0</v>
      </c>
      <c r="Z176" s="212">
        <f t="shared" si="9"/>
        <v>0</v>
      </c>
      <c r="AA176" s="151"/>
    </row>
    <row r="177" spans="1:27" ht="17.25" hidden="1" x14ac:dyDescent="0.3">
      <c r="C177" s="151">
        <v>9</v>
      </c>
      <c r="D177" s="151"/>
      <c r="E177" s="151"/>
      <c r="F177" s="151"/>
      <c r="G177" s="151"/>
      <c r="H177" s="160"/>
      <c r="I177" s="151"/>
      <c r="J177" s="151"/>
      <c r="K177" s="151"/>
      <c r="L177" s="151"/>
      <c r="M177" s="151"/>
      <c r="N177" s="151"/>
      <c r="O177" s="151"/>
      <c r="P177" s="156">
        <v>0</v>
      </c>
      <c r="Q177" s="212">
        <f t="shared" si="8"/>
        <v>0</v>
      </c>
      <c r="R177" s="68"/>
      <c r="S177" s="156">
        <v>0</v>
      </c>
      <c r="T177" s="156">
        <v>0</v>
      </c>
      <c r="U177" s="156">
        <v>0</v>
      </c>
      <c r="V177" s="151"/>
      <c r="W177" s="156">
        <v>0</v>
      </c>
      <c r="X177" s="151"/>
      <c r="Y177" s="156">
        <v>0</v>
      </c>
      <c r="Z177" s="212">
        <f t="shared" si="9"/>
        <v>0</v>
      </c>
      <c r="AA177" s="151"/>
    </row>
    <row r="178" spans="1:27" ht="17.25" hidden="1" x14ac:dyDescent="0.3">
      <c r="C178" s="151">
        <v>10</v>
      </c>
      <c r="D178" s="151"/>
      <c r="E178" s="151"/>
      <c r="F178" s="151"/>
      <c r="G178" s="151"/>
      <c r="H178" s="160"/>
      <c r="I178" s="151"/>
      <c r="J178" s="151"/>
      <c r="K178" s="151"/>
      <c r="L178" s="151"/>
      <c r="M178" s="151"/>
      <c r="N178" s="151"/>
      <c r="O178" s="151"/>
      <c r="P178" s="156">
        <v>0</v>
      </c>
      <c r="Q178" s="212">
        <f t="shared" si="8"/>
        <v>0</v>
      </c>
      <c r="R178" s="68"/>
      <c r="S178" s="156">
        <v>0</v>
      </c>
      <c r="T178" s="156">
        <v>0</v>
      </c>
      <c r="U178" s="156">
        <v>0</v>
      </c>
      <c r="V178" s="151"/>
      <c r="W178" s="156">
        <v>0</v>
      </c>
      <c r="X178" s="151"/>
      <c r="Y178" s="156">
        <v>0</v>
      </c>
      <c r="Z178" s="212">
        <f t="shared" si="9"/>
        <v>0</v>
      </c>
      <c r="AA178" s="151"/>
    </row>
    <row r="179" spans="1:27" ht="17.25" hidden="1" x14ac:dyDescent="0.3">
      <c r="C179" s="151">
        <v>11</v>
      </c>
      <c r="D179" s="151"/>
      <c r="E179" s="151"/>
      <c r="F179" s="151"/>
      <c r="G179" s="151"/>
      <c r="H179" s="160"/>
      <c r="I179" s="151"/>
      <c r="J179" s="151"/>
      <c r="K179" s="151"/>
      <c r="L179" s="151"/>
      <c r="M179" s="151"/>
      <c r="N179" s="151"/>
      <c r="O179" s="151"/>
      <c r="P179" s="156">
        <v>0</v>
      </c>
      <c r="Q179" s="212">
        <f t="shared" si="8"/>
        <v>0</v>
      </c>
      <c r="R179" s="68"/>
      <c r="S179" s="156">
        <v>0</v>
      </c>
      <c r="T179" s="156">
        <v>0</v>
      </c>
      <c r="U179" s="156">
        <v>0</v>
      </c>
      <c r="V179" s="151"/>
      <c r="W179" s="156">
        <v>0</v>
      </c>
      <c r="X179" s="151"/>
      <c r="Y179" s="156">
        <v>0</v>
      </c>
      <c r="Z179" s="212">
        <f t="shared" si="9"/>
        <v>0</v>
      </c>
      <c r="AA179" s="151"/>
    </row>
    <row r="180" spans="1:27" ht="17.25" hidden="1" x14ac:dyDescent="0.3">
      <c r="C180" s="151">
        <v>12</v>
      </c>
      <c r="D180" s="151"/>
      <c r="E180" s="151"/>
      <c r="F180" s="151"/>
      <c r="G180" s="151"/>
      <c r="H180" s="160"/>
      <c r="I180" s="151"/>
      <c r="J180" s="151"/>
      <c r="K180" s="151"/>
      <c r="L180" s="151"/>
      <c r="M180" s="151"/>
      <c r="N180" s="151"/>
      <c r="O180" s="151"/>
      <c r="P180" s="156">
        <v>0</v>
      </c>
      <c r="Q180" s="212">
        <f t="shared" si="8"/>
        <v>0</v>
      </c>
      <c r="R180" s="68"/>
      <c r="S180" s="156">
        <v>0</v>
      </c>
      <c r="T180" s="156">
        <v>0</v>
      </c>
      <c r="U180" s="156">
        <v>0</v>
      </c>
      <c r="V180" s="151"/>
      <c r="W180" s="156">
        <v>0</v>
      </c>
      <c r="X180" s="151"/>
      <c r="Y180" s="156">
        <v>0</v>
      </c>
      <c r="Z180" s="212">
        <f t="shared" si="9"/>
        <v>0</v>
      </c>
      <c r="AA180" s="151"/>
    </row>
    <row r="181" spans="1:27" ht="17.25" hidden="1" x14ac:dyDescent="0.3">
      <c r="C181" s="151">
        <v>13</v>
      </c>
      <c r="D181" s="151"/>
      <c r="E181" s="151"/>
      <c r="F181" s="151"/>
      <c r="G181" s="151"/>
      <c r="H181" s="151"/>
      <c r="I181" s="151"/>
      <c r="J181" s="151"/>
      <c r="K181" s="151"/>
      <c r="L181" s="151"/>
      <c r="M181" s="151"/>
      <c r="N181" s="151"/>
      <c r="O181" s="151"/>
      <c r="P181" s="156">
        <v>0</v>
      </c>
      <c r="Q181" s="212">
        <f t="shared" si="8"/>
        <v>0</v>
      </c>
      <c r="R181" s="68"/>
      <c r="S181" s="156">
        <v>0</v>
      </c>
      <c r="T181" s="156">
        <v>0</v>
      </c>
      <c r="U181" s="156">
        <v>0</v>
      </c>
      <c r="V181" s="151"/>
      <c r="W181" s="156">
        <v>0</v>
      </c>
      <c r="X181" s="151"/>
      <c r="Y181" s="156">
        <v>0</v>
      </c>
      <c r="Z181" s="212">
        <f t="shared" si="9"/>
        <v>0</v>
      </c>
      <c r="AA181" s="151"/>
    </row>
    <row r="182" spans="1:27" ht="17.25" hidden="1" x14ac:dyDescent="0.3">
      <c r="C182" s="151">
        <v>14</v>
      </c>
      <c r="D182" s="151"/>
      <c r="E182" s="151"/>
      <c r="F182" s="151"/>
      <c r="G182" s="151"/>
      <c r="H182" s="160"/>
      <c r="I182" s="151"/>
      <c r="J182" s="151"/>
      <c r="K182" s="151"/>
      <c r="L182" s="151"/>
      <c r="M182" s="151"/>
      <c r="N182" s="151"/>
      <c r="O182" s="151"/>
      <c r="P182" s="156">
        <v>0</v>
      </c>
      <c r="Q182" s="212">
        <f t="shared" si="8"/>
        <v>0</v>
      </c>
      <c r="R182" s="68"/>
      <c r="S182" s="156">
        <v>0</v>
      </c>
      <c r="T182" s="156">
        <v>0</v>
      </c>
      <c r="U182" s="156">
        <v>0</v>
      </c>
      <c r="V182" s="151"/>
      <c r="W182" s="156">
        <v>0</v>
      </c>
      <c r="X182" s="151"/>
      <c r="Y182" s="156">
        <v>0</v>
      </c>
      <c r="Z182" s="212">
        <f t="shared" si="9"/>
        <v>0</v>
      </c>
      <c r="AA182" s="151"/>
    </row>
    <row r="183" spans="1:27" ht="17.25" hidden="1" x14ac:dyDescent="0.3">
      <c r="C183" s="151">
        <v>15</v>
      </c>
      <c r="D183" s="151"/>
      <c r="E183" s="151"/>
      <c r="F183" s="151"/>
      <c r="G183" s="151"/>
      <c r="H183" s="160"/>
      <c r="I183" s="151"/>
      <c r="J183" s="151"/>
      <c r="K183" s="151"/>
      <c r="L183" s="151"/>
      <c r="M183" s="151"/>
      <c r="N183" s="151"/>
      <c r="O183" s="151"/>
      <c r="P183" s="156">
        <v>0</v>
      </c>
      <c r="Q183" s="212">
        <f t="shared" si="8"/>
        <v>0</v>
      </c>
      <c r="R183" s="68"/>
      <c r="S183" s="156">
        <v>0</v>
      </c>
      <c r="T183" s="156">
        <v>0</v>
      </c>
      <c r="U183" s="156">
        <v>0</v>
      </c>
      <c r="V183" s="151"/>
      <c r="W183" s="156">
        <v>0</v>
      </c>
      <c r="X183" s="151"/>
      <c r="Y183" s="156">
        <v>0</v>
      </c>
      <c r="Z183" s="212">
        <f t="shared" si="9"/>
        <v>0</v>
      </c>
      <c r="AA183" s="151"/>
    </row>
    <row r="184" spans="1:27" ht="17.25" hidden="1" x14ac:dyDescent="0.3">
      <c r="C184" s="151">
        <v>16</v>
      </c>
      <c r="D184" s="151"/>
      <c r="E184" s="151"/>
      <c r="F184" s="151"/>
      <c r="G184" s="151"/>
      <c r="H184" s="160"/>
      <c r="I184" s="151"/>
      <c r="J184" s="151"/>
      <c r="K184" s="151"/>
      <c r="L184" s="151"/>
      <c r="M184" s="151"/>
      <c r="N184" s="151"/>
      <c r="O184" s="151"/>
      <c r="P184" s="156">
        <v>0</v>
      </c>
      <c r="Q184" s="212">
        <f t="shared" si="8"/>
        <v>0</v>
      </c>
      <c r="R184" s="68"/>
      <c r="S184" s="156">
        <v>0</v>
      </c>
      <c r="T184" s="156">
        <v>0</v>
      </c>
      <c r="U184" s="156">
        <v>0</v>
      </c>
      <c r="V184" s="151"/>
      <c r="W184" s="156">
        <v>0</v>
      </c>
      <c r="X184" s="151"/>
      <c r="Y184" s="156">
        <v>0</v>
      </c>
      <c r="Z184" s="212">
        <f t="shared" si="9"/>
        <v>0</v>
      </c>
      <c r="AA184" s="151"/>
    </row>
    <row r="185" spans="1:27" ht="17.25" hidden="1" x14ac:dyDescent="0.3">
      <c r="A185" s="133" t="s">
        <v>313</v>
      </c>
      <c r="C185" s="151">
        <v>17</v>
      </c>
      <c r="D185" s="151"/>
      <c r="E185" s="151"/>
      <c r="F185" s="151"/>
      <c r="G185" s="151"/>
      <c r="H185" s="160"/>
      <c r="I185" s="151"/>
      <c r="J185" s="151"/>
      <c r="K185" s="151"/>
      <c r="L185" s="151"/>
      <c r="M185" s="151"/>
      <c r="N185" s="151"/>
      <c r="O185" s="151"/>
      <c r="P185" s="156">
        <v>0</v>
      </c>
      <c r="Q185" s="212">
        <f t="shared" si="8"/>
        <v>0</v>
      </c>
      <c r="R185" s="68"/>
      <c r="S185" s="156">
        <v>0</v>
      </c>
      <c r="T185" s="156">
        <v>0</v>
      </c>
      <c r="U185" s="156">
        <v>0</v>
      </c>
      <c r="V185" s="151"/>
      <c r="W185" s="156">
        <v>0</v>
      </c>
      <c r="X185" s="151"/>
      <c r="Y185" s="156">
        <v>0</v>
      </c>
      <c r="Z185" s="212">
        <f t="shared" si="9"/>
        <v>0</v>
      </c>
      <c r="AA185" s="151"/>
    </row>
    <row r="186" spans="1:27" ht="17.25" hidden="1" x14ac:dyDescent="0.3">
      <c r="C186" s="151">
        <v>18</v>
      </c>
      <c r="D186" s="151"/>
      <c r="E186" s="151"/>
      <c r="F186" s="151"/>
      <c r="G186" s="151"/>
      <c r="H186" s="160"/>
      <c r="I186" s="151"/>
      <c r="J186" s="151"/>
      <c r="K186" s="151"/>
      <c r="L186" s="151"/>
      <c r="M186" s="151"/>
      <c r="N186" s="151"/>
      <c r="O186" s="151"/>
      <c r="P186" s="156">
        <v>0</v>
      </c>
      <c r="Q186" s="212">
        <f t="shared" si="8"/>
        <v>0</v>
      </c>
      <c r="R186" s="68"/>
      <c r="S186" s="156">
        <v>0</v>
      </c>
      <c r="T186" s="156">
        <v>0</v>
      </c>
      <c r="U186" s="156">
        <v>0</v>
      </c>
      <c r="V186" s="151"/>
      <c r="W186" s="156">
        <v>0</v>
      </c>
      <c r="X186" s="151"/>
      <c r="Y186" s="156">
        <v>0</v>
      </c>
      <c r="Z186" s="212">
        <f t="shared" si="9"/>
        <v>0</v>
      </c>
      <c r="AA186" s="151"/>
    </row>
    <row r="187" spans="1:27" ht="17.25" hidden="1" x14ac:dyDescent="0.3">
      <c r="C187" s="151">
        <v>19</v>
      </c>
      <c r="D187" s="151"/>
      <c r="E187" s="151"/>
      <c r="F187" s="151"/>
      <c r="G187" s="151"/>
      <c r="H187" s="160"/>
      <c r="I187" s="151"/>
      <c r="J187" s="151"/>
      <c r="K187" s="151"/>
      <c r="L187" s="151"/>
      <c r="M187" s="151"/>
      <c r="N187" s="151"/>
      <c r="O187" s="151"/>
      <c r="P187" s="156">
        <v>0</v>
      </c>
      <c r="Q187" s="212">
        <f t="shared" si="8"/>
        <v>0</v>
      </c>
      <c r="R187" s="68"/>
      <c r="S187" s="156">
        <v>0</v>
      </c>
      <c r="T187" s="156">
        <v>0</v>
      </c>
      <c r="U187" s="156">
        <v>0</v>
      </c>
      <c r="V187" s="151"/>
      <c r="W187" s="156">
        <v>0</v>
      </c>
      <c r="X187" s="151"/>
      <c r="Y187" s="156">
        <v>0</v>
      </c>
      <c r="Z187" s="212">
        <f t="shared" si="9"/>
        <v>0</v>
      </c>
      <c r="AA187" s="151"/>
    </row>
    <row r="188" spans="1:27" ht="17.25" hidden="1" x14ac:dyDescent="0.3">
      <c r="C188" s="151">
        <v>20</v>
      </c>
      <c r="D188" s="151"/>
      <c r="E188" s="151"/>
      <c r="F188" s="151"/>
      <c r="G188" s="151"/>
      <c r="H188" s="160"/>
      <c r="I188" s="151"/>
      <c r="J188" s="151"/>
      <c r="K188" s="151"/>
      <c r="L188" s="151"/>
      <c r="M188" s="151"/>
      <c r="N188" s="151"/>
      <c r="O188" s="151"/>
      <c r="P188" s="156">
        <v>0</v>
      </c>
      <c r="Q188" s="212">
        <f t="shared" si="8"/>
        <v>0</v>
      </c>
      <c r="R188" s="68"/>
      <c r="S188" s="156">
        <v>0</v>
      </c>
      <c r="T188" s="156">
        <v>0</v>
      </c>
      <c r="U188" s="156">
        <v>0</v>
      </c>
      <c r="V188" s="151"/>
      <c r="W188" s="156">
        <v>0</v>
      </c>
      <c r="X188" s="151"/>
      <c r="Y188" s="156">
        <v>0</v>
      </c>
      <c r="Z188" s="212">
        <f t="shared" si="9"/>
        <v>0</v>
      </c>
      <c r="AA188" s="151"/>
    </row>
    <row r="189" spans="1:27" ht="17.25" hidden="1" x14ac:dyDescent="0.3">
      <c r="C189" s="151">
        <v>21</v>
      </c>
      <c r="D189" s="151"/>
      <c r="E189" s="151"/>
      <c r="F189" s="151"/>
      <c r="G189" s="151"/>
      <c r="H189" s="160"/>
      <c r="I189" s="151"/>
      <c r="J189" s="151"/>
      <c r="K189" s="151"/>
      <c r="L189" s="151"/>
      <c r="M189" s="151"/>
      <c r="N189" s="151"/>
      <c r="O189" s="151"/>
      <c r="P189" s="156">
        <v>0</v>
      </c>
      <c r="Q189" s="212">
        <f t="shared" si="8"/>
        <v>0</v>
      </c>
      <c r="R189" s="68"/>
      <c r="S189" s="156">
        <v>0</v>
      </c>
      <c r="T189" s="156">
        <v>0</v>
      </c>
      <c r="U189" s="156">
        <v>0</v>
      </c>
      <c r="V189" s="151"/>
      <c r="W189" s="156">
        <v>0</v>
      </c>
      <c r="X189" s="151"/>
      <c r="Y189" s="156">
        <v>0</v>
      </c>
      <c r="Z189" s="212">
        <f t="shared" si="9"/>
        <v>0</v>
      </c>
      <c r="AA189" s="151"/>
    </row>
    <row r="190" spans="1:27" ht="17.25" hidden="1" x14ac:dyDescent="0.3">
      <c r="C190" s="151">
        <v>22</v>
      </c>
      <c r="D190" s="151"/>
      <c r="E190" s="151"/>
      <c r="F190" s="151"/>
      <c r="G190" s="151"/>
      <c r="H190" s="160"/>
      <c r="I190" s="151"/>
      <c r="J190" s="151"/>
      <c r="K190" s="151"/>
      <c r="L190" s="151"/>
      <c r="M190" s="151"/>
      <c r="N190" s="151"/>
      <c r="O190" s="151"/>
      <c r="P190" s="156">
        <v>0</v>
      </c>
      <c r="Q190" s="212">
        <f t="shared" si="8"/>
        <v>0</v>
      </c>
      <c r="R190" s="68"/>
      <c r="S190" s="156">
        <v>0</v>
      </c>
      <c r="T190" s="156">
        <v>0</v>
      </c>
      <c r="U190" s="156">
        <v>0</v>
      </c>
      <c r="V190" s="151"/>
      <c r="W190" s="156">
        <v>0</v>
      </c>
      <c r="X190" s="151"/>
      <c r="Y190" s="156">
        <v>0</v>
      </c>
      <c r="Z190" s="212">
        <f t="shared" si="9"/>
        <v>0</v>
      </c>
      <c r="AA190" s="151"/>
    </row>
    <row r="191" spans="1:27" ht="17.25" hidden="1" x14ac:dyDescent="0.3">
      <c r="C191" s="151">
        <v>23</v>
      </c>
      <c r="D191" s="151"/>
      <c r="E191" s="151"/>
      <c r="F191" s="151"/>
      <c r="G191" s="151"/>
      <c r="H191" s="160"/>
      <c r="I191" s="151"/>
      <c r="J191" s="151"/>
      <c r="K191" s="151"/>
      <c r="L191" s="151"/>
      <c r="M191" s="151"/>
      <c r="N191" s="151"/>
      <c r="O191" s="151"/>
      <c r="P191" s="156">
        <v>0</v>
      </c>
      <c r="Q191" s="212">
        <f t="shared" si="8"/>
        <v>0</v>
      </c>
      <c r="R191" s="68"/>
      <c r="S191" s="156">
        <v>0</v>
      </c>
      <c r="T191" s="156">
        <v>0</v>
      </c>
      <c r="U191" s="156">
        <v>0</v>
      </c>
      <c r="V191" s="151"/>
      <c r="W191" s="156">
        <v>0</v>
      </c>
      <c r="X191" s="151"/>
      <c r="Y191" s="156">
        <v>0</v>
      </c>
      <c r="Z191" s="212">
        <f t="shared" si="9"/>
        <v>0</v>
      </c>
      <c r="AA191" s="151"/>
    </row>
    <row r="192" spans="1:27" ht="17.25" hidden="1" x14ac:dyDescent="0.3">
      <c r="C192" s="151">
        <v>24</v>
      </c>
      <c r="D192" s="151"/>
      <c r="E192" s="151"/>
      <c r="F192" s="151"/>
      <c r="G192" s="151"/>
      <c r="H192" s="160"/>
      <c r="I192" s="151"/>
      <c r="J192" s="151"/>
      <c r="K192" s="151"/>
      <c r="L192" s="151"/>
      <c r="M192" s="151"/>
      <c r="N192" s="151"/>
      <c r="O192" s="151"/>
      <c r="P192" s="156">
        <v>0</v>
      </c>
      <c r="Q192" s="212">
        <f t="shared" si="8"/>
        <v>0</v>
      </c>
      <c r="R192" s="68"/>
      <c r="S192" s="156">
        <v>0</v>
      </c>
      <c r="T192" s="156">
        <v>0</v>
      </c>
      <c r="U192" s="156">
        <v>0</v>
      </c>
      <c r="V192" s="151"/>
      <c r="W192" s="156">
        <v>0</v>
      </c>
      <c r="X192" s="151"/>
      <c r="Y192" s="156">
        <v>0</v>
      </c>
      <c r="Z192" s="212">
        <f t="shared" si="9"/>
        <v>0</v>
      </c>
      <c r="AA192" s="151"/>
    </row>
    <row r="193" spans="3:27" ht="17.25" hidden="1" x14ac:dyDescent="0.3">
      <c r="C193" s="151">
        <v>25</v>
      </c>
      <c r="D193" s="151"/>
      <c r="E193" s="151"/>
      <c r="F193" s="151"/>
      <c r="G193" s="151"/>
      <c r="H193" s="160"/>
      <c r="I193" s="151"/>
      <c r="J193" s="151"/>
      <c r="K193" s="151"/>
      <c r="L193" s="151"/>
      <c r="M193" s="151"/>
      <c r="N193" s="151"/>
      <c r="O193" s="151"/>
      <c r="P193" s="156">
        <v>0</v>
      </c>
      <c r="Q193" s="212">
        <f t="shared" si="8"/>
        <v>0</v>
      </c>
      <c r="R193" s="68"/>
      <c r="S193" s="156">
        <v>0</v>
      </c>
      <c r="T193" s="156">
        <v>0</v>
      </c>
      <c r="U193" s="156">
        <v>0</v>
      </c>
      <c r="V193" s="151"/>
      <c r="W193" s="156">
        <v>0</v>
      </c>
      <c r="X193" s="151"/>
      <c r="Y193" s="156">
        <v>0</v>
      </c>
      <c r="Z193" s="212">
        <f t="shared" si="9"/>
        <v>0</v>
      </c>
      <c r="AA193" s="151"/>
    </row>
    <row r="194" spans="3:27" ht="17.25" hidden="1" x14ac:dyDescent="0.3">
      <c r="C194" s="151">
        <v>26</v>
      </c>
      <c r="D194" s="151"/>
      <c r="E194" s="151"/>
      <c r="F194" s="151"/>
      <c r="G194" s="151"/>
      <c r="H194" s="160"/>
      <c r="I194" s="151"/>
      <c r="J194" s="151"/>
      <c r="K194" s="151"/>
      <c r="L194" s="151"/>
      <c r="M194" s="151"/>
      <c r="N194" s="151"/>
      <c r="O194" s="151"/>
      <c r="P194" s="156">
        <v>0</v>
      </c>
      <c r="Q194" s="212">
        <f t="shared" si="8"/>
        <v>0</v>
      </c>
      <c r="R194" s="68"/>
      <c r="S194" s="156">
        <v>0</v>
      </c>
      <c r="T194" s="156">
        <v>0</v>
      </c>
      <c r="U194" s="156">
        <v>0</v>
      </c>
      <c r="V194" s="151"/>
      <c r="W194" s="156">
        <v>0</v>
      </c>
      <c r="X194" s="151"/>
      <c r="Y194" s="156">
        <v>0</v>
      </c>
      <c r="Z194" s="212">
        <f t="shared" si="9"/>
        <v>0</v>
      </c>
      <c r="AA194" s="151"/>
    </row>
    <row r="195" spans="3:27" ht="17.25" hidden="1" x14ac:dyDescent="0.3">
      <c r="C195" s="151">
        <v>27</v>
      </c>
      <c r="D195" s="151"/>
      <c r="E195" s="151"/>
      <c r="F195" s="151"/>
      <c r="G195" s="151"/>
      <c r="H195" s="160"/>
      <c r="I195" s="151"/>
      <c r="J195" s="151"/>
      <c r="K195" s="151"/>
      <c r="L195" s="151"/>
      <c r="M195" s="151"/>
      <c r="N195" s="151"/>
      <c r="O195" s="151"/>
      <c r="P195" s="156">
        <v>0</v>
      </c>
      <c r="Q195" s="212">
        <f t="shared" si="8"/>
        <v>0</v>
      </c>
      <c r="R195" s="68"/>
      <c r="S195" s="156">
        <v>0</v>
      </c>
      <c r="T195" s="156">
        <v>0</v>
      </c>
      <c r="U195" s="156">
        <v>0</v>
      </c>
      <c r="V195" s="151"/>
      <c r="W195" s="156">
        <v>0</v>
      </c>
      <c r="X195" s="151"/>
      <c r="Y195" s="156">
        <v>0</v>
      </c>
      <c r="Z195" s="212">
        <f t="shared" si="9"/>
        <v>0</v>
      </c>
      <c r="AA195" s="151"/>
    </row>
    <row r="196" spans="3:27" ht="17.25" hidden="1" x14ac:dyDescent="0.3">
      <c r="C196" s="151">
        <v>28</v>
      </c>
      <c r="D196" s="151"/>
      <c r="E196" s="151"/>
      <c r="F196" s="151"/>
      <c r="G196" s="151"/>
      <c r="H196" s="160"/>
      <c r="I196" s="151"/>
      <c r="J196" s="151"/>
      <c r="K196" s="151"/>
      <c r="L196" s="151"/>
      <c r="M196" s="151"/>
      <c r="N196" s="151"/>
      <c r="O196" s="151"/>
      <c r="P196" s="156">
        <v>0</v>
      </c>
      <c r="Q196" s="212">
        <f t="shared" si="8"/>
        <v>0</v>
      </c>
      <c r="R196" s="68"/>
      <c r="S196" s="156">
        <v>0</v>
      </c>
      <c r="T196" s="156">
        <v>0</v>
      </c>
      <c r="U196" s="156">
        <v>0</v>
      </c>
      <c r="V196" s="151"/>
      <c r="W196" s="156">
        <v>0</v>
      </c>
      <c r="X196" s="151"/>
      <c r="Y196" s="156">
        <v>0</v>
      </c>
      <c r="Z196" s="212">
        <f t="shared" si="9"/>
        <v>0</v>
      </c>
      <c r="AA196" s="151"/>
    </row>
    <row r="197" spans="3:27" ht="17.25" hidden="1" x14ac:dyDescent="0.3">
      <c r="C197" s="151">
        <v>29</v>
      </c>
      <c r="D197" s="151"/>
      <c r="E197" s="151"/>
      <c r="F197" s="151"/>
      <c r="G197" s="151"/>
      <c r="H197" s="160"/>
      <c r="I197" s="151"/>
      <c r="J197" s="151"/>
      <c r="K197" s="151"/>
      <c r="L197" s="151"/>
      <c r="M197" s="151"/>
      <c r="N197" s="151"/>
      <c r="O197" s="151"/>
      <c r="P197" s="156">
        <v>0</v>
      </c>
      <c r="Q197" s="212">
        <f t="shared" si="8"/>
        <v>0</v>
      </c>
      <c r="R197" s="68"/>
      <c r="S197" s="156">
        <v>0</v>
      </c>
      <c r="T197" s="156">
        <v>0</v>
      </c>
      <c r="U197" s="156">
        <v>0</v>
      </c>
      <c r="V197" s="151"/>
      <c r="W197" s="156">
        <v>0</v>
      </c>
      <c r="X197" s="151"/>
      <c r="Y197" s="156">
        <v>0</v>
      </c>
      <c r="Z197" s="212">
        <f t="shared" si="9"/>
        <v>0</v>
      </c>
      <c r="AA197" s="151"/>
    </row>
    <row r="198" spans="3:27" ht="17.25" hidden="1" x14ac:dyDescent="0.3">
      <c r="C198" s="151">
        <v>30</v>
      </c>
      <c r="D198" s="151"/>
      <c r="E198" s="151"/>
      <c r="F198" s="151"/>
      <c r="G198" s="151"/>
      <c r="H198" s="160"/>
      <c r="I198" s="151"/>
      <c r="J198" s="151"/>
      <c r="K198" s="151"/>
      <c r="L198" s="151"/>
      <c r="M198" s="151"/>
      <c r="N198" s="151"/>
      <c r="O198" s="151"/>
      <c r="P198" s="156">
        <v>0</v>
      </c>
      <c r="Q198" s="212">
        <f t="shared" si="8"/>
        <v>0</v>
      </c>
      <c r="R198" s="68"/>
      <c r="S198" s="156">
        <v>0</v>
      </c>
      <c r="T198" s="156">
        <v>0</v>
      </c>
      <c r="U198" s="156">
        <v>0</v>
      </c>
      <c r="V198" s="151"/>
      <c r="W198" s="156">
        <v>0</v>
      </c>
      <c r="X198" s="151"/>
      <c r="Y198" s="156">
        <v>0</v>
      </c>
      <c r="Z198" s="212">
        <f t="shared" si="9"/>
        <v>0</v>
      </c>
      <c r="AA198" s="151"/>
    </row>
    <row r="199" spans="3:27" x14ac:dyDescent="0.25">
      <c r="C199" s="855" t="s">
        <v>133</v>
      </c>
      <c r="D199" s="982"/>
      <c r="E199" s="159"/>
      <c r="F199" s="159"/>
      <c r="G199" s="159"/>
      <c r="H199" s="250"/>
      <c r="I199" s="159"/>
      <c r="J199" s="159"/>
      <c r="K199" s="159"/>
      <c r="L199" s="159"/>
      <c r="M199" s="159"/>
      <c r="N199" s="159"/>
      <c r="O199" s="159"/>
      <c r="P199" s="159"/>
      <c r="Q199" s="214">
        <f>SUM(Q169:Q198)</f>
        <v>355464258.45168</v>
      </c>
      <c r="R199" s="159"/>
      <c r="S199" s="214">
        <f>SUM(S169:S198)</f>
        <v>0</v>
      </c>
      <c r="T199" s="214">
        <f>SUM(T169:T198)</f>
        <v>355464258.44999999</v>
      </c>
      <c r="U199" s="214">
        <f>SUM(U169:U198)</f>
        <v>0</v>
      </c>
      <c r="V199" s="834">
        <f>SUM(W169:W198,Y169:Y198)</f>
        <v>0</v>
      </c>
      <c r="W199" s="835"/>
      <c r="X199" s="835"/>
      <c r="Y199" s="836"/>
      <c r="Z199" s="214">
        <f>SUM(Z169:Z198)</f>
        <v>1.6800165176391602E-3</v>
      </c>
      <c r="AA199" s="151"/>
    </row>
    <row r="200" spans="3:27" x14ac:dyDescent="0.25">
      <c r="C200" s="178"/>
      <c r="D200" s="178"/>
      <c r="H200" s="251"/>
      <c r="Q200" s="179"/>
    </row>
    <row r="201" spans="3:27" ht="38.450000000000003" customHeight="1" x14ac:dyDescent="0.25">
      <c r="C201" s="789" t="s">
        <v>35</v>
      </c>
      <c r="D201" s="789" t="s">
        <v>34</v>
      </c>
      <c r="E201" s="769" t="s">
        <v>110</v>
      </c>
      <c r="F201" s="789" t="s">
        <v>96</v>
      </c>
      <c r="G201" s="789" t="s">
        <v>416</v>
      </c>
      <c r="H201" s="789" t="s">
        <v>189</v>
      </c>
      <c r="I201" s="789" t="s">
        <v>190</v>
      </c>
      <c r="J201" s="945" t="s">
        <v>191</v>
      </c>
      <c r="K201" s="946"/>
      <c r="L201" s="767" t="s">
        <v>53</v>
      </c>
      <c r="M201" s="942"/>
      <c r="N201" s="942"/>
      <c r="O201" s="942"/>
      <c r="P201" s="942"/>
      <c r="Q201" s="942"/>
      <c r="R201" s="768"/>
      <c r="S201" s="789" t="s">
        <v>415</v>
      </c>
      <c r="T201" s="789" t="s">
        <v>107</v>
      </c>
    </row>
    <row r="202" spans="3:27" ht="16.5" customHeight="1" x14ac:dyDescent="0.25">
      <c r="C202" s="789"/>
      <c r="D202" s="789"/>
      <c r="E202" s="956"/>
      <c r="F202" s="789"/>
      <c r="G202" s="789"/>
      <c r="H202" s="789"/>
      <c r="I202" s="789"/>
      <c r="J202" s="947"/>
      <c r="K202" s="948"/>
      <c r="L202" s="940" t="s">
        <v>54</v>
      </c>
      <c r="M202" s="944"/>
      <c r="N202" s="941"/>
      <c r="O202" s="940" t="s">
        <v>55</v>
      </c>
      <c r="P202" s="941"/>
      <c r="Q202" s="940" t="s">
        <v>58</v>
      </c>
      <c r="R202" s="941"/>
      <c r="S202" s="789"/>
      <c r="T202" s="789"/>
    </row>
    <row r="203" spans="3:27" ht="60.6" customHeight="1" x14ac:dyDescent="0.25">
      <c r="C203" s="789"/>
      <c r="D203" s="789"/>
      <c r="E203" s="770"/>
      <c r="F203" s="789"/>
      <c r="G203" s="789"/>
      <c r="H203" s="789"/>
      <c r="I203" s="789"/>
      <c r="J203" s="949"/>
      <c r="K203" s="950"/>
      <c r="L203" s="260" t="s">
        <v>62</v>
      </c>
      <c r="M203" s="260" t="s">
        <v>63</v>
      </c>
      <c r="N203" s="260" t="s">
        <v>282</v>
      </c>
      <c r="O203" s="260" t="s">
        <v>56</v>
      </c>
      <c r="P203" s="260" t="s">
        <v>57</v>
      </c>
      <c r="Q203" s="260" t="s">
        <v>56</v>
      </c>
      <c r="R203" s="260" t="s">
        <v>57</v>
      </c>
      <c r="S203" s="789"/>
      <c r="T203" s="789"/>
    </row>
    <row r="204" spans="3:27" ht="16.5" customHeight="1" x14ac:dyDescent="0.25">
      <c r="C204" s="958" t="s">
        <v>135</v>
      </c>
      <c r="D204" s="959"/>
      <c r="E204" s="265"/>
      <c r="F204" s="265"/>
      <c r="G204" s="265"/>
      <c r="H204" s="265"/>
      <c r="I204" s="265"/>
      <c r="J204" s="265"/>
      <c r="K204" s="265"/>
      <c r="L204" s="265"/>
      <c r="M204" s="265"/>
      <c r="N204" s="265"/>
      <c r="O204" s="265"/>
      <c r="P204" s="265"/>
      <c r="Q204" s="265"/>
      <c r="R204" s="265"/>
      <c r="S204" s="265"/>
      <c r="T204" s="264"/>
    </row>
    <row r="205" spans="3:27" ht="49.5" x14ac:dyDescent="0.3">
      <c r="C205" s="151">
        <v>1</v>
      </c>
      <c r="D205" s="362" t="str">
        <f>'Sports Development'!C10</f>
        <v>Procurement of sport equipments</v>
      </c>
      <c r="E205" s="649" t="s">
        <v>1571</v>
      </c>
      <c r="F205" s="649" t="s">
        <v>1572</v>
      </c>
      <c r="G205" s="151" t="s">
        <v>1567</v>
      </c>
      <c r="H205" s="151" t="s">
        <v>935</v>
      </c>
      <c r="I205" s="214">
        <f>'Sports Development'!H10</f>
        <v>86644756.129999995</v>
      </c>
      <c r="J205" s="951" t="s">
        <v>734</v>
      </c>
      <c r="K205" s="952"/>
      <c r="L205" s="156">
        <v>0</v>
      </c>
      <c r="M205" s="156">
        <v>86644756.129999995</v>
      </c>
      <c r="N205" s="156">
        <v>0</v>
      </c>
      <c r="O205" s="151"/>
      <c r="P205" s="156">
        <v>0</v>
      </c>
      <c r="Q205" s="151"/>
      <c r="R205" s="156">
        <v>0</v>
      </c>
      <c r="S205" s="212">
        <f>I205-SUM(L205:N205, P205,R205)</f>
        <v>0</v>
      </c>
      <c r="T205" s="151"/>
    </row>
    <row r="206" spans="3:27" ht="66" x14ac:dyDescent="0.3">
      <c r="C206" s="151">
        <v>2</v>
      </c>
      <c r="D206" s="362" t="str">
        <f>'Sports Development'!C137</f>
        <v>Sports competitions</v>
      </c>
      <c r="E206" s="151" t="s">
        <v>1573</v>
      </c>
      <c r="F206" s="151" t="s">
        <v>1576</v>
      </c>
      <c r="G206" s="151" t="s">
        <v>1568</v>
      </c>
      <c r="H206" s="151" t="s">
        <v>935</v>
      </c>
      <c r="I206" s="214">
        <f>'Sports Development'!H137</f>
        <v>28287140.68</v>
      </c>
      <c r="J206" s="951" t="s">
        <v>736</v>
      </c>
      <c r="K206" s="952"/>
      <c r="L206" s="156">
        <v>0</v>
      </c>
      <c r="M206" s="156">
        <v>28287140.68</v>
      </c>
      <c r="N206" s="156">
        <v>0</v>
      </c>
      <c r="O206" s="151"/>
      <c r="P206" s="156">
        <v>0</v>
      </c>
      <c r="Q206" s="151"/>
      <c r="R206" s="156">
        <v>0</v>
      </c>
      <c r="S206" s="212">
        <f>I206-SUM(L206:N206, P206,R206)</f>
        <v>0</v>
      </c>
      <c r="T206" s="151"/>
    </row>
    <row r="207" spans="3:27" ht="33" x14ac:dyDescent="0.3">
      <c r="C207" s="151">
        <v>3</v>
      </c>
      <c r="D207" s="362" t="str">
        <f>'Sports Development'!C239</f>
        <v>Publicity and Administration</v>
      </c>
      <c r="E207" s="151" t="s">
        <v>1574</v>
      </c>
      <c r="F207" s="151" t="s">
        <v>1577</v>
      </c>
      <c r="G207" s="151" t="s">
        <v>1569</v>
      </c>
      <c r="H207" s="151" t="s">
        <v>935</v>
      </c>
      <c r="I207" s="214">
        <f>'Sports Development'!H239</f>
        <v>21113122.91</v>
      </c>
      <c r="J207" s="951" t="s">
        <v>736</v>
      </c>
      <c r="K207" s="952"/>
      <c r="L207" s="156">
        <v>0</v>
      </c>
      <c r="M207" s="156">
        <v>21113122.91</v>
      </c>
      <c r="N207" s="156">
        <v>0</v>
      </c>
      <c r="O207" s="151"/>
      <c r="P207" s="156">
        <v>0</v>
      </c>
      <c r="Q207" s="151"/>
      <c r="R207" s="156">
        <v>0</v>
      </c>
      <c r="S207" s="212">
        <f>I207-SUM(L207:N207, P207,R207)</f>
        <v>0</v>
      </c>
      <c r="T207" s="151"/>
    </row>
    <row r="208" spans="3:27" ht="54" customHeight="1" x14ac:dyDescent="0.3">
      <c r="C208" s="151">
        <v>4</v>
      </c>
      <c r="D208" s="362" t="str">
        <f>'Sports Development'!C341</f>
        <v>Supervision, Assessment and Verification</v>
      </c>
      <c r="E208" s="151" t="s">
        <v>1575</v>
      </c>
      <c r="F208" s="151" t="s">
        <v>149</v>
      </c>
      <c r="G208" s="151" t="s">
        <v>1570</v>
      </c>
      <c r="H208" s="151" t="s">
        <v>935</v>
      </c>
      <c r="I208" s="214">
        <f>'Sports Development'!H341</f>
        <v>6140683.6600000001</v>
      </c>
      <c r="J208" s="951" t="s">
        <v>736</v>
      </c>
      <c r="K208" s="952"/>
      <c r="L208" s="156">
        <v>0</v>
      </c>
      <c r="M208" s="156">
        <v>6140683.6600000001</v>
      </c>
      <c r="N208" s="156">
        <v>0</v>
      </c>
      <c r="O208" s="199"/>
      <c r="P208" s="201">
        <v>0</v>
      </c>
      <c r="Q208" s="199"/>
      <c r="R208" s="201">
        <v>0</v>
      </c>
      <c r="S208" s="212">
        <f>I208-SUM(L208:N208, P208,R208)</f>
        <v>0</v>
      </c>
      <c r="T208" s="199"/>
    </row>
    <row r="209" spans="3:27" x14ac:dyDescent="0.25">
      <c r="C209" s="855" t="s">
        <v>133</v>
      </c>
      <c r="D209" s="856"/>
      <c r="E209" s="164"/>
      <c r="F209" s="164"/>
      <c r="G209" s="164"/>
      <c r="H209" s="164"/>
      <c r="I209" s="214">
        <f>SUM(I205:I208)</f>
        <v>142185703.38</v>
      </c>
      <c r="J209" s="957"/>
      <c r="K209" s="957"/>
      <c r="L209" s="214">
        <f>SUM(L205:L208)</f>
        <v>0</v>
      </c>
      <c r="M209" s="214">
        <f>SUM(M205:M208)</f>
        <v>142185703.38</v>
      </c>
      <c r="N209" s="242">
        <f>SUM(N205:N208)</f>
        <v>0</v>
      </c>
      <c r="O209" s="943">
        <f>SUM(P205:P208,R205:R208)</f>
        <v>0</v>
      </c>
      <c r="P209" s="943"/>
      <c r="Q209" s="943"/>
      <c r="R209" s="943"/>
      <c r="S209" s="363">
        <f>SUM(S205:S208)</f>
        <v>0</v>
      </c>
      <c r="T209" s="176"/>
      <c r="AA209" s="179"/>
    </row>
    <row r="210" spans="3:27" x14ac:dyDescent="0.25">
      <c r="C210" s="178"/>
      <c r="D210" s="178"/>
      <c r="H210" s="251"/>
      <c r="Q210" s="179"/>
    </row>
    <row r="211" spans="3:27" ht="16.5" customHeight="1" x14ac:dyDescent="0.25">
      <c r="C211" s="789" t="s">
        <v>35</v>
      </c>
      <c r="D211" s="970" t="s">
        <v>34</v>
      </c>
      <c r="E211" s="971"/>
      <c r="F211" s="971"/>
      <c r="G211" s="971"/>
      <c r="H211" s="972"/>
      <c r="I211" s="817" t="s">
        <v>190</v>
      </c>
      <c r="J211" s="960"/>
      <c r="K211" s="793"/>
      <c r="L211" s="767" t="s">
        <v>53</v>
      </c>
      <c r="M211" s="942"/>
      <c r="N211" s="942"/>
      <c r="O211" s="942"/>
      <c r="P211" s="942"/>
      <c r="Q211" s="942"/>
      <c r="R211" s="768"/>
      <c r="S211" s="789" t="s">
        <v>415</v>
      </c>
      <c r="T211" s="953" t="s">
        <v>107</v>
      </c>
    </row>
    <row r="212" spans="3:27" x14ac:dyDescent="0.25">
      <c r="C212" s="789"/>
      <c r="D212" s="973"/>
      <c r="E212" s="974"/>
      <c r="F212" s="974"/>
      <c r="G212" s="974"/>
      <c r="H212" s="975"/>
      <c r="I212" s="961"/>
      <c r="J212" s="962"/>
      <c r="K212" s="963"/>
      <c r="L212" s="940" t="s">
        <v>54</v>
      </c>
      <c r="M212" s="944"/>
      <c r="N212" s="941"/>
      <c r="O212" s="940" t="s">
        <v>55</v>
      </c>
      <c r="P212" s="941"/>
      <c r="Q212" s="940" t="s">
        <v>58</v>
      </c>
      <c r="R212" s="941"/>
      <c r="S212" s="789"/>
      <c r="T212" s="954"/>
    </row>
    <row r="213" spans="3:27" ht="33" x14ac:dyDescent="0.25">
      <c r="C213" s="789"/>
      <c r="D213" s="976"/>
      <c r="E213" s="977"/>
      <c r="F213" s="977"/>
      <c r="G213" s="977"/>
      <c r="H213" s="978"/>
      <c r="I213" s="818"/>
      <c r="J213" s="964"/>
      <c r="K213" s="794"/>
      <c r="L213" s="260" t="s">
        <v>62</v>
      </c>
      <c r="M213" s="260" t="s">
        <v>63</v>
      </c>
      <c r="N213" s="260" t="s">
        <v>282</v>
      </c>
      <c r="O213" s="260" t="s">
        <v>56</v>
      </c>
      <c r="P213" s="260" t="s">
        <v>57</v>
      </c>
      <c r="Q213" s="260" t="s">
        <v>56</v>
      </c>
      <c r="R213" s="260" t="s">
        <v>57</v>
      </c>
      <c r="S213" s="789"/>
      <c r="T213" s="955"/>
    </row>
    <row r="214" spans="3:27" ht="16.5" customHeight="1" x14ac:dyDescent="0.25">
      <c r="C214" s="958" t="s">
        <v>755</v>
      </c>
      <c r="D214" s="959"/>
      <c r="E214" s="959"/>
      <c r="F214" s="959"/>
      <c r="G214" s="959"/>
      <c r="H214" s="959"/>
      <c r="I214" s="262"/>
      <c r="J214" s="262"/>
      <c r="K214" s="262"/>
      <c r="L214" s="262"/>
      <c r="M214" s="262"/>
      <c r="N214" s="262"/>
      <c r="O214" s="262"/>
      <c r="P214" s="262"/>
      <c r="Q214" s="262"/>
      <c r="R214" s="262"/>
      <c r="S214" s="262"/>
      <c r="T214" s="271"/>
    </row>
    <row r="215" spans="3:27" ht="39.6" customHeight="1" x14ac:dyDescent="0.25">
      <c r="C215" s="151">
        <v>1</v>
      </c>
      <c r="D215" s="969" t="str">
        <f>GSCCS!B14</f>
        <v>GSCCI Pillar 1: Greening schools/planting of trees</v>
      </c>
      <c r="E215" s="969"/>
      <c r="F215" s="969"/>
      <c r="G215" s="969"/>
      <c r="H215" s="969"/>
      <c r="I215" s="968">
        <f>GSCCS!P14</f>
        <v>29999295.999999981</v>
      </c>
      <c r="J215" s="968"/>
      <c r="K215" s="968"/>
      <c r="L215" s="156">
        <v>0</v>
      </c>
      <c r="M215" s="156">
        <v>29999296</v>
      </c>
      <c r="N215" s="156">
        <v>0</v>
      </c>
      <c r="O215" s="151"/>
      <c r="P215" s="156">
        <v>0</v>
      </c>
      <c r="Q215" s="151"/>
      <c r="R215" s="156">
        <v>0</v>
      </c>
      <c r="S215" s="212">
        <f>I215-SUM(L215:N215, P215,R215)</f>
        <v>0</v>
      </c>
      <c r="T215" s="151"/>
    </row>
    <row r="216" spans="3:27" ht="42" customHeight="1" x14ac:dyDescent="0.25">
      <c r="C216" s="151">
        <v>2</v>
      </c>
      <c r="D216" s="969" t="str">
        <f>GSCCS!B62</f>
        <v>GSCCI Pillar 2: Promoting entrepreneurial Greening curricula</v>
      </c>
      <c r="E216" s="969"/>
      <c r="F216" s="969"/>
      <c r="G216" s="969"/>
      <c r="H216" s="969"/>
      <c r="I216" s="968">
        <f>GSCCS!P62</f>
        <v>1501856.7999999996</v>
      </c>
      <c r="J216" s="968"/>
      <c r="K216" s="968"/>
      <c r="L216" s="156">
        <v>0</v>
      </c>
      <c r="M216" s="156">
        <v>1501856.8</v>
      </c>
      <c r="N216" s="156">
        <v>0</v>
      </c>
      <c r="O216" s="151"/>
      <c r="P216" s="156">
        <v>0</v>
      </c>
      <c r="Q216" s="151"/>
      <c r="R216" s="156">
        <v>0</v>
      </c>
      <c r="S216" s="212">
        <f t="shared" ref="S216:S223" si="10">I216-SUM(L216:N216, P216,R216)</f>
        <v>0</v>
      </c>
      <c r="T216" s="151"/>
    </row>
    <row r="217" spans="3:27" ht="24.6" customHeight="1" x14ac:dyDescent="0.25">
      <c r="C217" s="151">
        <v>3</v>
      </c>
      <c r="D217" s="969" t="str">
        <f>GSCCS!B110</f>
        <v>GSCCI Pillar 3: Teacher training and education system capacity</v>
      </c>
      <c r="E217" s="969"/>
      <c r="F217" s="969"/>
      <c r="G217" s="969"/>
      <c r="H217" s="969"/>
      <c r="I217" s="968">
        <f>GSCCS!P110</f>
        <v>8160000</v>
      </c>
      <c r="J217" s="968"/>
      <c r="K217" s="968"/>
      <c r="L217" s="156">
        <v>0</v>
      </c>
      <c r="M217" s="156">
        <v>8160000</v>
      </c>
      <c r="N217" s="156">
        <v>0</v>
      </c>
      <c r="O217" s="151"/>
      <c r="P217" s="156">
        <v>0</v>
      </c>
      <c r="Q217" s="151"/>
      <c r="R217" s="156">
        <v>0</v>
      </c>
      <c r="S217" s="212">
        <f t="shared" si="10"/>
        <v>0</v>
      </c>
      <c r="T217" s="151"/>
    </row>
    <row r="218" spans="3:27" ht="26.1" customHeight="1" x14ac:dyDescent="0.25">
      <c r="C218" s="151">
        <v>4</v>
      </c>
      <c r="D218" s="969" t="str">
        <f>GSCCS!B158</f>
        <v>GSCCI Pillar 4: Greening communities</v>
      </c>
      <c r="E218" s="969"/>
      <c r="F218" s="969"/>
      <c r="G218" s="969"/>
      <c r="H218" s="969"/>
      <c r="I218" s="968">
        <f>GSCCS!P158</f>
        <v>11748559.17</v>
      </c>
      <c r="J218" s="968"/>
      <c r="K218" s="968"/>
      <c r="L218" s="156">
        <v>0</v>
      </c>
      <c r="M218" s="156">
        <v>11748559.17</v>
      </c>
      <c r="N218" s="156">
        <v>0</v>
      </c>
      <c r="O218" s="151"/>
      <c r="P218" s="156">
        <v>0</v>
      </c>
      <c r="Q218" s="151"/>
      <c r="R218" s="156">
        <v>0</v>
      </c>
      <c r="S218" s="212">
        <f t="shared" si="10"/>
        <v>0</v>
      </c>
      <c r="T218" s="151"/>
    </row>
    <row r="219" spans="3:27" ht="33" customHeight="1" x14ac:dyDescent="0.25">
      <c r="C219" s="151">
        <v>5</v>
      </c>
      <c r="D219" s="969" t="str">
        <f>GSCCS!B206</f>
        <v>GSCCI Pillar 5: National Greening competitions</v>
      </c>
      <c r="E219" s="969"/>
      <c r="F219" s="969"/>
      <c r="G219" s="969"/>
      <c r="H219" s="969"/>
      <c r="I219" s="968">
        <f>GSCCS!P206</f>
        <v>8183139.7199999997</v>
      </c>
      <c r="J219" s="968"/>
      <c r="K219" s="968"/>
      <c r="L219" s="156">
        <v>0</v>
      </c>
      <c r="M219" s="156">
        <v>8183139.7199999997</v>
      </c>
      <c r="N219" s="156">
        <v>0</v>
      </c>
      <c r="O219" s="151"/>
      <c r="P219" s="156">
        <v>0</v>
      </c>
      <c r="Q219" s="151"/>
      <c r="R219" s="156">
        <v>0</v>
      </c>
      <c r="S219" s="212">
        <f t="shared" si="10"/>
        <v>0</v>
      </c>
      <c r="T219" s="151"/>
    </row>
    <row r="220" spans="3:27" ht="35.1" customHeight="1" x14ac:dyDescent="0.25">
      <c r="C220" s="151">
        <v>6</v>
      </c>
      <c r="D220" s="969" t="str">
        <f>GSCCS!B254</f>
        <v>GSCCI Pillar 6: Establishment of Green Clubs (Climate change clubs)</v>
      </c>
      <c r="E220" s="969"/>
      <c r="F220" s="969"/>
      <c r="G220" s="969"/>
      <c r="H220" s="969"/>
      <c r="I220" s="968">
        <f>GSCCS!P254</f>
        <v>11500000</v>
      </c>
      <c r="J220" s="968"/>
      <c r="K220" s="968"/>
      <c r="L220" s="156">
        <v>0</v>
      </c>
      <c r="M220" s="156">
        <v>11500000</v>
      </c>
      <c r="N220" s="156">
        <v>0</v>
      </c>
      <c r="O220" s="151"/>
      <c r="P220" s="156">
        <v>0</v>
      </c>
      <c r="Q220" s="151"/>
      <c r="R220" s="156">
        <v>0</v>
      </c>
      <c r="S220" s="212">
        <f t="shared" si="10"/>
        <v>0</v>
      </c>
      <c r="T220" s="151"/>
    </row>
    <row r="221" spans="3:27" ht="35.1" customHeight="1" x14ac:dyDescent="0.25">
      <c r="C221" s="151">
        <v>7</v>
      </c>
      <c r="D221" s="979" t="str">
        <f>GSCCS!B302</f>
        <v>Rearing of Small Animals/Aquatic Farming</v>
      </c>
      <c r="E221" s="980"/>
      <c r="F221" s="980"/>
      <c r="G221" s="980"/>
      <c r="H221" s="981"/>
      <c r="I221" s="965">
        <f>GSCCS!P302</f>
        <v>0</v>
      </c>
      <c r="J221" s="966"/>
      <c r="K221" s="967"/>
      <c r="L221" s="156">
        <v>0</v>
      </c>
      <c r="M221" s="156">
        <v>0</v>
      </c>
      <c r="N221" s="156">
        <v>0</v>
      </c>
      <c r="O221" s="151"/>
      <c r="P221" s="156">
        <v>0</v>
      </c>
      <c r="Q221" s="151"/>
      <c r="R221" s="156">
        <v>0</v>
      </c>
      <c r="S221" s="212">
        <f t="shared" si="10"/>
        <v>0</v>
      </c>
      <c r="T221" s="151"/>
    </row>
    <row r="222" spans="3:27" ht="35.1" customHeight="1" x14ac:dyDescent="0.25">
      <c r="C222" s="151">
        <v>8</v>
      </c>
      <c r="D222" s="979" t="str">
        <f>GSCCS!B373</f>
        <v>Safeguards and Waste Management Initiatives</v>
      </c>
      <c r="E222" s="980"/>
      <c r="F222" s="980"/>
      <c r="G222" s="980"/>
      <c r="H222" s="981"/>
      <c r="I222" s="965">
        <f>GSCCS!P373</f>
        <v>23592851.689999998</v>
      </c>
      <c r="J222" s="966"/>
      <c r="K222" s="967"/>
      <c r="L222" s="156">
        <v>0</v>
      </c>
      <c r="M222" s="156">
        <v>23592851.690000001</v>
      </c>
      <c r="N222" s="156">
        <v>0</v>
      </c>
      <c r="O222" s="151"/>
      <c r="P222" s="156">
        <v>0</v>
      </c>
      <c r="Q222" s="151"/>
      <c r="R222" s="156">
        <v>0</v>
      </c>
      <c r="S222" s="212">
        <f t="shared" si="10"/>
        <v>0</v>
      </c>
      <c r="T222" s="151"/>
    </row>
    <row r="223" spans="3:27" ht="35.1" customHeight="1" x14ac:dyDescent="0.25">
      <c r="C223" s="151">
        <v>9</v>
      </c>
      <c r="D223" s="979" t="str">
        <f>GSCCS!B443</f>
        <v>Supervision and monitoring of GSCCS initiatives</v>
      </c>
      <c r="E223" s="980"/>
      <c r="F223" s="980"/>
      <c r="G223" s="980"/>
      <c r="H223" s="981"/>
      <c r="I223" s="965">
        <f>GSCCS!P443</f>
        <v>47500000</v>
      </c>
      <c r="J223" s="966"/>
      <c r="K223" s="967"/>
      <c r="L223" s="156">
        <v>0</v>
      </c>
      <c r="M223" s="156">
        <v>47500000</v>
      </c>
      <c r="N223" s="156">
        <v>0</v>
      </c>
      <c r="O223" s="151"/>
      <c r="P223" s="156">
        <v>0</v>
      </c>
      <c r="Q223" s="151"/>
      <c r="R223" s="156">
        <v>0</v>
      </c>
      <c r="S223" s="212">
        <f t="shared" si="10"/>
        <v>0</v>
      </c>
      <c r="T223" s="151"/>
    </row>
    <row r="224" spans="3:27" x14ac:dyDescent="0.25">
      <c r="C224" s="855" t="s">
        <v>133</v>
      </c>
      <c r="D224" s="856"/>
      <c r="E224" s="164"/>
      <c r="F224" s="164"/>
      <c r="G224" s="164"/>
      <c r="H224" s="164"/>
      <c r="I224" s="965">
        <f>SUM(I215:J223)</f>
        <v>142185703.38</v>
      </c>
      <c r="J224" s="966"/>
      <c r="K224" s="967"/>
      <c r="L224" s="214">
        <f>SUM(L215:L223)</f>
        <v>0</v>
      </c>
      <c r="M224" s="214">
        <f>SUM(M215:M223)</f>
        <v>142185703.38</v>
      </c>
      <c r="N224" s="214">
        <f>SUM(N215:N223)</f>
        <v>0</v>
      </c>
      <c r="O224" s="834">
        <f>SUM(P215:P223,R215:R223)</f>
        <v>0</v>
      </c>
      <c r="P224" s="835"/>
      <c r="Q224" s="835"/>
      <c r="R224" s="836"/>
      <c r="S224" s="214">
        <f>SUM(S215:S223)</f>
        <v>0</v>
      </c>
      <c r="T224" s="151"/>
    </row>
    <row r="225" spans="8:25" x14ac:dyDescent="0.25">
      <c r="H225" s="251"/>
    </row>
    <row r="226" spans="8:25" ht="33" x14ac:dyDescent="0.25">
      <c r="J226" s="254"/>
      <c r="N226" s="207" t="s">
        <v>66</v>
      </c>
      <c r="O226" s="207" t="s">
        <v>67</v>
      </c>
      <c r="P226" s="207" t="s">
        <v>68</v>
      </c>
      <c r="Q226" s="208" t="s">
        <v>421</v>
      </c>
      <c r="R226" s="208" t="s">
        <v>69</v>
      </c>
      <c r="S226" s="207" t="s">
        <v>65</v>
      </c>
      <c r="Y226" s="179"/>
    </row>
    <row r="227" spans="8:25" x14ac:dyDescent="0.25">
      <c r="N227" s="247">
        <f>SUM(I224,I209,Q199,P163,S124,Q87,Q51)</f>
        <v>2602778914.2016792</v>
      </c>
      <c r="O227" s="247">
        <f>SUM(S51,S87,U124,R163,S199,L209,L224)</f>
        <v>989400000</v>
      </c>
      <c r="P227" s="247">
        <f>SUM(T51,T87,V124,S163,T199,M209,M224)</f>
        <v>1613378914.2004323</v>
      </c>
      <c r="Q227" s="247">
        <f>SUM(U51,U87,W124,T163,U199,N209,N224)</f>
        <v>0</v>
      </c>
      <c r="R227" s="247">
        <f>SUM(V51,V87,X124,U163,V199,O209,O224)</f>
        <v>0</v>
      </c>
      <c r="S227" s="247">
        <f>SUM(S224,S209,Z199,Y163,AB124,Z87,Z51)</f>
        <v>1.2471368536353111E-3</v>
      </c>
    </row>
  </sheetData>
  <sheetProtection algorithmName="SHA-512" hashValue="+YbW05RZEVcwOCYvSZazhwNDGqOpg1G3MHcIk9B8VtyKmB4fWr7eWvn6eXLJjz7z/iaBh05rjFH2Czqp83A0eg==" saltValue="XjuL6l/A4gI578XODNAFcA==" spinCount="100000" sheet="1" objects="1" scenarios="1" formatCells="0" formatColumns="0" formatRows="0" insertColumns="0" insertRows="0"/>
  <mergeCells count="167">
    <mergeCell ref="V199:Y199"/>
    <mergeCell ref="F201:F203"/>
    <mergeCell ref="P90:P92"/>
    <mergeCell ref="C8:H8"/>
    <mergeCell ref="R17:R19"/>
    <mergeCell ref="P17:P19"/>
    <mergeCell ref="F17:F19"/>
    <mergeCell ref="F53:F55"/>
    <mergeCell ref="F90:F92"/>
    <mergeCell ref="F129:F131"/>
    <mergeCell ref="F165:F167"/>
    <mergeCell ref="P165:P167"/>
    <mergeCell ref="R165:R167"/>
    <mergeCell ref="R53:R55"/>
    <mergeCell ref="P53:P55"/>
    <mergeCell ref="C168:I168"/>
    <mergeCell ref="N165:N167"/>
    <mergeCell ref="O165:O167"/>
    <mergeCell ref="Q165:Q167"/>
    <mergeCell ref="C129:C131"/>
    <mergeCell ref="D129:D131"/>
    <mergeCell ref="E129:E131"/>
    <mergeCell ref="Y129:Y131"/>
    <mergeCell ref="C165:C167"/>
    <mergeCell ref="AB90:AB92"/>
    <mergeCell ref="AC90:AC92"/>
    <mergeCell ref="AA165:AA167"/>
    <mergeCell ref="S90:S92"/>
    <mergeCell ref="R90:R92"/>
    <mergeCell ref="R130:T130"/>
    <mergeCell ref="R129:X129"/>
    <mergeCell ref="Z129:Z131"/>
    <mergeCell ref="Z165:Z167"/>
    <mergeCell ref="S166:U166"/>
    <mergeCell ref="S165:Y165"/>
    <mergeCell ref="U91:W91"/>
    <mergeCell ref="U90:AA90"/>
    <mergeCell ref="X124:AA124"/>
    <mergeCell ref="U163:X163"/>
    <mergeCell ref="D165:D167"/>
    <mergeCell ref="E165:E167"/>
    <mergeCell ref="G165:G167"/>
    <mergeCell ref="H165:H167"/>
    <mergeCell ref="I165:I167"/>
    <mergeCell ref="J165:M166"/>
    <mergeCell ref="J208:K208"/>
    <mergeCell ref="N53:N55"/>
    <mergeCell ref="O53:O55"/>
    <mergeCell ref="C87:D87"/>
    <mergeCell ref="C56:H56"/>
    <mergeCell ref="I201:I203"/>
    <mergeCell ref="O202:P202"/>
    <mergeCell ref="O90:O92"/>
    <mergeCell ref="J53:M54"/>
    <mergeCell ref="C90:C92"/>
    <mergeCell ref="I129:I131"/>
    <mergeCell ref="O129:O131"/>
    <mergeCell ref="N129:N131"/>
    <mergeCell ref="P129:P131"/>
    <mergeCell ref="C93:H93"/>
    <mergeCell ref="J129:M130"/>
    <mergeCell ref="J90:M91"/>
    <mergeCell ref="N90:N92"/>
    <mergeCell ref="C17:C19"/>
    <mergeCell ref="D17:D19"/>
    <mergeCell ref="G17:G19"/>
    <mergeCell ref="I17:I19"/>
    <mergeCell ref="AA17:AA19"/>
    <mergeCell ref="Z17:Z19"/>
    <mergeCell ref="V18:W18"/>
    <mergeCell ref="X18:Y18"/>
    <mergeCell ref="E17:E19"/>
    <mergeCell ref="N17:N19"/>
    <mergeCell ref="O17:O19"/>
    <mergeCell ref="J17:M18"/>
    <mergeCell ref="H17:H19"/>
    <mergeCell ref="AA53:AA55"/>
    <mergeCell ref="Q129:Q131"/>
    <mergeCell ref="Q53:Q55"/>
    <mergeCell ref="Z53:Z55"/>
    <mergeCell ref="S18:U18"/>
    <mergeCell ref="S17:Y17"/>
    <mergeCell ref="V51:Y51"/>
    <mergeCell ref="P57:Q57"/>
    <mergeCell ref="V87:Y87"/>
    <mergeCell ref="T90:T92"/>
    <mergeCell ref="Q90:Q92"/>
    <mergeCell ref="S54:U54"/>
    <mergeCell ref="S53:Y53"/>
    <mergeCell ref="Q17:Q19"/>
    <mergeCell ref="C53:C55"/>
    <mergeCell ref="D53:D55"/>
    <mergeCell ref="E53:E55"/>
    <mergeCell ref="G53:G55"/>
    <mergeCell ref="H53:H55"/>
    <mergeCell ref="I53:I55"/>
    <mergeCell ref="E90:E92"/>
    <mergeCell ref="G90:G92"/>
    <mergeCell ref="H90:H92"/>
    <mergeCell ref="I90:I92"/>
    <mergeCell ref="O224:R224"/>
    <mergeCell ref="C201:C203"/>
    <mergeCell ref="D201:D203"/>
    <mergeCell ref="C214:H214"/>
    <mergeCell ref="D219:H219"/>
    <mergeCell ref="C199:D199"/>
    <mergeCell ref="C132:E132"/>
    <mergeCell ref="C163:D163"/>
    <mergeCell ref="B2:G2"/>
    <mergeCell ref="G129:G131"/>
    <mergeCell ref="H129:H131"/>
    <mergeCell ref="C10:H10"/>
    <mergeCell ref="C11:H11"/>
    <mergeCell ref="C14:H14"/>
    <mergeCell ref="C15:H15"/>
    <mergeCell ref="C12:H12"/>
    <mergeCell ref="C13:H13"/>
    <mergeCell ref="C20:H20"/>
    <mergeCell ref="C9:H9"/>
    <mergeCell ref="D90:D92"/>
    <mergeCell ref="H201:H203"/>
    <mergeCell ref="C124:D124"/>
    <mergeCell ref="B4:Z4"/>
    <mergeCell ref="C51:D51"/>
    <mergeCell ref="C224:D224"/>
    <mergeCell ref="C211:C213"/>
    <mergeCell ref="I224:K224"/>
    <mergeCell ref="I215:K215"/>
    <mergeCell ref="I216:K216"/>
    <mergeCell ref="I217:K217"/>
    <mergeCell ref="I218:K218"/>
    <mergeCell ref="I219:K219"/>
    <mergeCell ref="I220:K220"/>
    <mergeCell ref="D215:H215"/>
    <mergeCell ref="D216:H216"/>
    <mergeCell ref="D217:H217"/>
    <mergeCell ref="D218:H218"/>
    <mergeCell ref="D220:H220"/>
    <mergeCell ref="D211:H213"/>
    <mergeCell ref="I221:K221"/>
    <mergeCell ref="I222:K222"/>
    <mergeCell ref="D221:H221"/>
    <mergeCell ref="D222:H222"/>
    <mergeCell ref="D223:H223"/>
    <mergeCell ref="I223:K223"/>
    <mergeCell ref="Q202:R202"/>
    <mergeCell ref="L201:R201"/>
    <mergeCell ref="O209:R209"/>
    <mergeCell ref="O212:P212"/>
    <mergeCell ref="Q212:R212"/>
    <mergeCell ref="T201:T203"/>
    <mergeCell ref="L202:N202"/>
    <mergeCell ref="C209:D209"/>
    <mergeCell ref="J201:K203"/>
    <mergeCell ref="J205:K205"/>
    <mergeCell ref="J206:K206"/>
    <mergeCell ref="J207:K207"/>
    <mergeCell ref="T211:T213"/>
    <mergeCell ref="S211:S213"/>
    <mergeCell ref="L211:R211"/>
    <mergeCell ref="E201:E203"/>
    <mergeCell ref="G201:G203"/>
    <mergeCell ref="J209:K209"/>
    <mergeCell ref="L212:N212"/>
    <mergeCell ref="C204:D204"/>
    <mergeCell ref="I211:K213"/>
    <mergeCell ref="S201:S203"/>
  </mergeCells>
  <phoneticPr fontId="5" type="noConversion"/>
  <dataValidations count="1">
    <dataValidation type="list" allowBlank="1" showInputMessage="1" showErrorMessage="1" sqref="I21:I50 I57:I86 I94:I123 I133:I162 I169:I198 H205:H208" xr:uid="{842E7255-5FD5-4B19-A3AC-77DEFA31F5E3}">
      <formula1>"National level, State level, LGA level, Community level, Schools"</formula1>
    </dataValidation>
  </dataValidations>
  <hyperlinks>
    <hyperlink ref="B2:D2" location="'Welcome Page'!A1" display="Click to return to welcome page" xr:uid="{00000000-0004-0000-0400-000000000000}"/>
    <hyperlink ref="C9:H9" location="'Pillar 2 - Quality'!C19" display="Priority initiative 2.1: Ensure implementation of revised basic education curriculum across schools " xr:uid="{CAB69F13-2C28-47B6-A2C2-421074C35AC4}"/>
    <hyperlink ref="C10:H10" location="'Pillar 2 - Quality'!C55" display="Priority initiative 2.2: Provision of adequate Teaching and Learning Materials (TLMs) for schools" xr:uid="{160BDCD2-1561-453D-8A1D-0F2FF4EFE205}"/>
    <hyperlink ref="C11:H11" location="'Pillar 2 - Quality'!C92" display="Priority initiative 2.3: Teacher/ education managers training and capacity building" xr:uid="{F192054F-5CFE-47AA-A743-5489B68FADBB}"/>
    <hyperlink ref="C12:H12" location="'Pillar 2 - Quality'!C132" display="Enabler-matching grant Intervention: Quality Assurance monitoring (other)" xr:uid="{AAF4933F-FEA0-4672-8C89-5E9A254584E6}"/>
    <hyperlink ref="C13:H13" location="'Pillar 2 - Quality'!C168" display="Enabler-matching grant: Levergaing digitalization to improve quality of basic education (ICT and Data Platform)" xr:uid="{27795CD7-43FA-4A96-8BAF-7C014D720A51}"/>
    <hyperlink ref="C14:H14" location="'Pillar 2 - Quality'!C204" display="Matching Grant Intervention: Sports Development" xr:uid="{3B8BA95F-CE89-4F73-9646-C65FECA009B5}"/>
    <hyperlink ref="C15:H15" location="'Pillar 2 - Quality'!C214" display="Enabler-matching Grant Intervention: Green School and Climate Change and Safeguarding (GSCCS)" xr:uid="{D3B4C442-A4F8-4D78-BF01-87CC31336811}"/>
  </hyperlinks>
  <pageMargins left="0.27559055118110237" right="0.19685039370078741" top="0.27559055118110237" bottom="0.19" header="0.31496062992125984" footer="0.15748031496062992"/>
  <pageSetup paperSize="8" scale="27" orientation="landscape" r:id="rId1"/>
  <extLst>
    <ext xmlns:x14="http://schemas.microsoft.com/office/spreadsheetml/2009/9/main" uri="{CCE6A557-97BC-4b89-ADB6-D9C93CAAB3DF}">
      <x14:dataValidations xmlns:xm="http://schemas.microsoft.com/office/excel/2006/main" count="1">
        <x14:dataValidation type="list" allowBlank="1" showInputMessage="1" showErrorMessage="1" xr:uid="{CF8557A9-6638-4A50-A986-A488A6D26AE1}">
          <x14:formula1>
            <xm:f>'Total budget summary'!$G$69:$G$80</xm:f>
          </x14:formula1>
          <xm:sqref>R169:R198 Q133:Q162 T94:T123 R57:R86 R21:R50 J205:J208</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theme="7" tint="0.39997558519241921"/>
  </sheetPr>
  <dimension ref="B1:AA232"/>
  <sheetViews>
    <sheetView showGridLines="0" view="pageBreakPreview" topLeftCell="M198" zoomScale="84" zoomScaleNormal="138" workbookViewId="0">
      <selection activeCell="C166" sqref="C166"/>
    </sheetView>
  </sheetViews>
  <sheetFormatPr defaultColWidth="8.7109375" defaultRowHeight="16.5" x14ac:dyDescent="0.25"/>
  <cols>
    <col min="1" max="1" width="1.5703125" style="133" customWidth="1"/>
    <col min="2" max="2" width="2.42578125" style="133" customWidth="1"/>
    <col min="3" max="3" width="7.85546875" style="133" customWidth="1"/>
    <col min="4" max="4" width="71.140625" style="133" customWidth="1"/>
    <col min="5" max="5" width="22.140625" style="133" customWidth="1"/>
    <col min="6" max="6" width="42.7109375" style="133" customWidth="1"/>
    <col min="7" max="7" width="27.28515625" style="133" customWidth="1"/>
    <col min="8" max="8" width="26.140625" style="133" customWidth="1"/>
    <col min="9" max="9" width="29" style="133" customWidth="1"/>
    <col min="10" max="10" width="10.140625" style="133" customWidth="1"/>
    <col min="11" max="13" width="8.7109375" style="133"/>
    <col min="14" max="14" width="27.5703125" style="133" customWidth="1"/>
    <col min="15" max="16" width="32" style="133" customWidth="1"/>
    <col min="17" max="18" width="32.85546875" style="133" customWidth="1"/>
    <col min="19" max="19" width="26.85546875" style="133" customWidth="1"/>
    <col min="20" max="20" width="24.5703125" style="133" customWidth="1"/>
    <col min="21" max="21" width="32.42578125" style="133" customWidth="1"/>
    <col min="22" max="22" width="23.7109375" style="133" customWidth="1"/>
    <col min="23" max="23" width="33.140625" style="133" customWidth="1"/>
    <col min="24" max="24" width="29.5703125" style="133" customWidth="1"/>
    <col min="25" max="25" width="28.7109375" style="133" customWidth="1"/>
    <col min="26" max="26" width="31.7109375" style="133" customWidth="1"/>
    <col min="27" max="27" width="24.5703125" style="133" customWidth="1"/>
    <col min="28" max="16384" width="8.7109375" style="133"/>
  </cols>
  <sheetData>
    <row r="1" spans="2:27" ht="5.0999999999999996" customHeight="1" thickBot="1" x14ac:dyDescent="0.3"/>
    <row r="2" spans="2:27" ht="15" customHeight="1" thickBot="1" x14ac:dyDescent="0.3">
      <c r="B2" s="868" t="s">
        <v>33</v>
      </c>
      <c r="C2" s="869"/>
      <c r="D2" s="869"/>
      <c r="E2" s="869"/>
      <c r="F2" s="869"/>
      <c r="G2" s="869"/>
      <c r="H2" s="870"/>
    </row>
    <row r="3" spans="2:27" ht="5.0999999999999996" customHeight="1" thickBot="1" x14ac:dyDescent="0.3">
      <c r="B3" s="135"/>
      <c r="C3" s="136"/>
      <c r="D3" s="136"/>
      <c r="E3" s="136"/>
      <c r="F3" s="136"/>
      <c r="G3" s="136"/>
      <c r="H3" s="136"/>
    </row>
    <row r="4" spans="2:27" ht="35.450000000000003" customHeight="1" thickBot="1" x14ac:dyDescent="0.3">
      <c r="B4" s="1016" t="s">
        <v>132</v>
      </c>
      <c r="C4" s="1017"/>
      <c r="D4" s="1017"/>
      <c r="E4" s="1017"/>
      <c r="F4" s="1017"/>
      <c r="G4" s="1017"/>
      <c r="H4" s="1017"/>
      <c r="I4" s="1017"/>
      <c r="J4" s="1017"/>
      <c r="K4" s="1017"/>
      <c r="L4" s="1017"/>
      <c r="M4" s="1017"/>
      <c r="N4" s="1017"/>
      <c r="O4" s="1017"/>
      <c r="P4" s="1017"/>
      <c r="Q4" s="1017"/>
      <c r="R4" s="1017"/>
      <c r="S4" s="1017"/>
      <c r="T4" s="1017"/>
      <c r="U4" s="1017"/>
      <c r="V4" s="1017"/>
      <c r="W4" s="1017"/>
      <c r="X4" s="1017"/>
      <c r="Y4" s="1017"/>
      <c r="Z4" s="1017"/>
      <c r="AA4" s="1018"/>
    </row>
    <row r="5" spans="2:27" s="137" customFormat="1" ht="15" customHeight="1" x14ac:dyDescent="0.25">
      <c r="B5" s="138"/>
      <c r="C5" s="138"/>
      <c r="D5" s="138"/>
      <c r="E5" s="138"/>
      <c r="F5" s="138"/>
      <c r="G5" s="138"/>
      <c r="H5" s="138"/>
      <c r="I5" s="138"/>
      <c r="J5" s="138"/>
      <c r="K5" s="138"/>
      <c r="L5" s="138"/>
      <c r="M5" s="138"/>
      <c r="N5" s="138"/>
      <c r="O5" s="138"/>
      <c r="P5" s="138"/>
      <c r="Q5" s="138"/>
      <c r="R5" s="138"/>
      <c r="S5" s="138"/>
      <c r="T5" s="138"/>
      <c r="U5" s="138"/>
      <c r="V5" s="138"/>
      <c r="W5" s="138"/>
      <c r="X5" s="138"/>
      <c r="Y5" s="138"/>
      <c r="Z5" s="138"/>
      <c r="AA5" s="138"/>
    </row>
    <row r="6" spans="2:27" s="137" customFormat="1" ht="38.1" customHeight="1" x14ac:dyDescent="0.25">
      <c r="B6" s="138"/>
      <c r="C6" s="138"/>
      <c r="D6" s="138"/>
      <c r="E6" s="138"/>
      <c r="F6" s="138"/>
      <c r="G6" s="138"/>
      <c r="H6" s="139" t="s">
        <v>539</v>
      </c>
      <c r="I6" s="140" t="s">
        <v>540</v>
      </c>
      <c r="J6" s="138"/>
      <c r="K6" s="138"/>
      <c r="L6" s="138"/>
      <c r="M6" s="138"/>
      <c r="N6" s="138"/>
      <c r="O6" s="138"/>
      <c r="P6" s="138"/>
      <c r="Q6" s="138"/>
      <c r="R6" s="138"/>
      <c r="S6" s="138"/>
      <c r="T6" s="138"/>
      <c r="U6" s="138"/>
      <c r="V6" s="138"/>
      <c r="W6" s="138"/>
      <c r="X6" s="138"/>
      <c r="Y6" s="138"/>
      <c r="Z6" s="138"/>
      <c r="AA6" s="138"/>
    </row>
    <row r="7" spans="2:27" s="137" customFormat="1" ht="25.5" customHeight="1" x14ac:dyDescent="0.3">
      <c r="B7" s="138"/>
      <c r="C7" s="1028" t="s">
        <v>318</v>
      </c>
      <c r="D7" s="1028"/>
      <c r="E7" s="1028"/>
      <c r="F7" s="1028"/>
      <c r="G7" s="1028"/>
      <c r="H7" s="1028"/>
      <c r="I7" s="1028"/>
      <c r="J7" s="138"/>
      <c r="K7" s="138"/>
      <c r="L7" s="138"/>
      <c r="M7" s="138"/>
      <c r="N7" s="138"/>
      <c r="O7" s="138"/>
      <c r="P7" s="138"/>
      <c r="Q7" s="138"/>
      <c r="R7" s="138"/>
      <c r="S7" s="138"/>
      <c r="T7" s="138"/>
      <c r="U7" s="138"/>
      <c r="V7" s="138"/>
      <c r="W7" s="138"/>
      <c r="X7" s="138"/>
      <c r="Y7" s="138"/>
      <c r="Z7" s="138"/>
      <c r="AA7" s="138"/>
    </row>
    <row r="8" spans="2:27" s="137" customFormat="1" ht="25.5" customHeight="1" x14ac:dyDescent="0.25">
      <c r="B8" s="138"/>
      <c r="C8" s="1019" t="s">
        <v>319</v>
      </c>
      <c r="D8" s="1020"/>
      <c r="E8" s="1020"/>
      <c r="F8" s="1020"/>
      <c r="G8" s="1020"/>
      <c r="H8" s="1020"/>
      <c r="I8" s="1021"/>
      <c r="K8" s="138"/>
      <c r="L8" s="138"/>
      <c r="M8" s="138"/>
      <c r="N8" s="138"/>
      <c r="O8" s="138"/>
      <c r="P8" s="138"/>
      <c r="Q8" s="138"/>
      <c r="R8" s="138"/>
      <c r="S8" s="138"/>
      <c r="T8" s="138"/>
      <c r="U8" s="138"/>
      <c r="V8" s="138"/>
      <c r="W8" s="138"/>
      <c r="X8" s="138"/>
      <c r="Y8" s="138"/>
      <c r="Z8" s="138"/>
      <c r="AA8" s="138"/>
    </row>
    <row r="9" spans="2:27" s="137" customFormat="1" ht="25.5" customHeight="1" x14ac:dyDescent="0.25">
      <c r="B9" s="138"/>
      <c r="C9" s="1019" t="s">
        <v>320</v>
      </c>
      <c r="D9" s="1020"/>
      <c r="E9" s="1020"/>
      <c r="F9" s="1020"/>
      <c r="G9" s="1020"/>
      <c r="H9" s="1020"/>
      <c r="I9" s="1021"/>
      <c r="K9" s="138"/>
      <c r="L9" s="138"/>
      <c r="M9" s="138"/>
      <c r="N9" s="138"/>
      <c r="O9" s="138"/>
      <c r="P9" s="138"/>
      <c r="Q9" s="138"/>
      <c r="R9" s="138"/>
      <c r="S9" s="138"/>
      <c r="T9" s="138"/>
      <c r="U9" s="138"/>
      <c r="V9" s="138"/>
      <c r="W9" s="138"/>
      <c r="X9" s="138"/>
      <c r="Y9" s="138"/>
      <c r="Z9" s="138"/>
      <c r="AA9" s="138"/>
    </row>
    <row r="10" spans="2:27" s="137" customFormat="1" ht="25.5" customHeight="1" x14ac:dyDescent="0.25">
      <c r="B10" s="138"/>
      <c r="C10" s="1022" t="s">
        <v>321</v>
      </c>
      <c r="D10" s="1023"/>
      <c r="E10" s="1023"/>
      <c r="F10" s="1023"/>
      <c r="G10" s="1023"/>
      <c r="H10" s="1023"/>
      <c r="I10" s="1024"/>
      <c r="K10" s="138"/>
      <c r="L10" s="138"/>
      <c r="M10" s="138"/>
      <c r="N10" s="138"/>
      <c r="O10" s="138"/>
      <c r="P10" s="138"/>
      <c r="Q10" s="138"/>
      <c r="R10" s="138"/>
      <c r="S10" s="138"/>
      <c r="T10" s="138"/>
      <c r="U10" s="138"/>
      <c r="V10" s="138"/>
      <c r="W10" s="138"/>
      <c r="X10" s="138"/>
      <c r="Y10" s="138"/>
      <c r="Z10" s="138"/>
      <c r="AA10" s="138"/>
    </row>
    <row r="11" spans="2:27" s="137" customFormat="1" ht="25.5" customHeight="1" x14ac:dyDescent="0.25">
      <c r="B11" s="138"/>
      <c r="C11" s="1019" t="s">
        <v>617</v>
      </c>
      <c r="D11" s="1020"/>
      <c r="E11" s="1020"/>
      <c r="F11" s="1020"/>
      <c r="G11" s="1020"/>
      <c r="H11" s="1020"/>
      <c r="I11" s="1021"/>
      <c r="K11" s="138"/>
      <c r="L11" s="138"/>
      <c r="M11" s="138"/>
      <c r="N11" s="138"/>
      <c r="O11" s="138"/>
      <c r="P11" s="138"/>
      <c r="Q11" s="138"/>
      <c r="R11" s="138"/>
      <c r="S11" s="138"/>
      <c r="T11" s="138"/>
      <c r="U11" s="138"/>
      <c r="V11" s="138"/>
      <c r="W11" s="138"/>
      <c r="X11" s="138"/>
      <c r="Y11" s="138"/>
      <c r="Z11" s="138"/>
      <c r="AA11" s="138"/>
    </row>
    <row r="12" spans="2:27" s="137" customFormat="1" ht="25.5" customHeight="1" x14ac:dyDescent="0.25">
      <c r="B12" s="138"/>
      <c r="C12" s="1019" t="s">
        <v>322</v>
      </c>
      <c r="D12" s="1020"/>
      <c r="E12" s="1020"/>
      <c r="F12" s="1020"/>
      <c r="G12" s="1020"/>
      <c r="H12" s="1020"/>
      <c r="I12" s="1021"/>
      <c r="K12" s="138"/>
      <c r="L12" s="138"/>
      <c r="M12" s="138"/>
      <c r="N12" s="138"/>
      <c r="O12" s="138"/>
      <c r="P12" s="138"/>
      <c r="Q12" s="138"/>
      <c r="R12" s="138"/>
      <c r="S12" s="138"/>
      <c r="T12" s="138"/>
      <c r="U12" s="138"/>
      <c r="V12" s="138"/>
      <c r="W12" s="138"/>
      <c r="X12" s="138"/>
      <c r="Y12" s="138"/>
      <c r="Z12" s="138"/>
      <c r="AA12" s="138"/>
    </row>
    <row r="13" spans="2:27" s="137" customFormat="1" ht="25.5" customHeight="1" x14ac:dyDescent="0.25">
      <c r="B13" s="138"/>
      <c r="C13" s="1025" t="s">
        <v>323</v>
      </c>
      <c r="D13" s="1026"/>
      <c r="E13" s="1026"/>
      <c r="F13" s="1026"/>
      <c r="G13" s="1026"/>
      <c r="H13" s="1026"/>
      <c r="I13" s="1027"/>
      <c r="K13" s="138"/>
      <c r="L13" s="138"/>
      <c r="M13" s="138"/>
      <c r="N13" s="138"/>
      <c r="O13" s="138"/>
      <c r="P13" s="138"/>
      <c r="Q13" s="138"/>
      <c r="R13" s="138"/>
      <c r="S13" s="138"/>
      <c r="T13" s="138"/>
      <c r="U13" s="138"/>
      <c r="V13" s="138"/>
      <c r="W13" s="138"/>
      <c r="X13" s="138"/>
      <c r="Y13" s="138"/>
      <c r="Z13" s="138"/>
      <c r="AA13" s="138"/>
    </row>
    <row r="14" spans="2:27" ht="17.45" customHeight="1" x14ac:dyDescent="0.25"/>
    <row r="15" spans="2:27" ht="16.5" customHeight="1" x14ac:dyDescent="0.25">
      <c r="C15" s="789" t="s">
        <v>35</v>
      </c>
      <c r="D15" s="789" t="s">
        <v>34</v>
      </c>
      <c r="E15" s="766" t="s">
        <v>315</v>
      </c>
      <c r="F15" s="769" t="s">
        <v>110</v>
      </c>
      <c r="G15" s="789" t="s">
        <v>96</v>
      </c>
      <c r="H15" s="789" t="s">
        <v>99</v>
      </c>
      <c r="I15" s="789" t="s">
        <v>189</v>
      </c>
      <c r="J15" s="766" t="s">
        <v>188</v>
      </c>
      <c r="K15" s="766"/>
      <c r="L15" s="766"/>
      <c r="M15" s="766"/>
      <c r="N15" s="769" t="s">
        <v>519</v>
      </c>
      <c r="O15" s="769" t="s">
        <v>520</v>
      </c>
      <c r="P15" s="769" t="s">
        <v>186</v>
      </c>
      <c r="Q15" s="789" t="s">
        <v>190</v>
      </c>
      <c r="R15" s="789" t="s">
        <v>191</v>
      </c>
      <c r="S15" s="767" t="s">
        <v>53</v>
      </c>
      <c r="T15" s="942"/>
      <c r="U15" s="942"/>
      <c r="V15" s="942"/>
      <c r="W15" s="942"/>
      <c r="X15" s="942"/>
      <c r="Y15" s="768"/>
      <c r="Z15" s="789" t="s">
        <v>415</v>
      </c>
      <c r="AA15" s="789" t="s">
        <v>107</v>
      </c>
    </row>
    <row r="16" spans="2:27" ht="16.5" customHeight="1" x14ac:dyDescent="0.25">
      <c r="C16" s="789"/>
      <c r="D16" s="789"/>
      <c r="E16" s="766"/>
      <c r="F16" s="956"/>
      <c r="G16" s="789"/>
      <c r="H16" s="789"/>
      <c r="I16" s="789"/>
      <c r="J16" s="766"/>
      <c r="K16" s="766"/>
      <c r="L16" s="766"/>
      <c r="M16" s="766"/>
      <c r="N16" s="956"/>
      <c r="O16" s="956"/>
      <c r="P16" s="956"/>
      <c r="Q16" s="789"/>
      <c r="R16" s="789"/>
      <c r="S16" s="940" t="s">
        <v>54</v>
      </c>
      <c r="T16" s="944"/>
      <c r="U16" s="941"/>
      <c r="V16" s="998" t="s">
        <v>55</v>
      </c>
      <c r="W16" s="998"/>
      <c r="X16" s="998" t="s">
        <v>58</v>
      </c>
      <c r="Y16" s="998"/>
      <c r="Z16" s="789"/>
      <c r="AA16" s="789"/>
    </row>
    <row r="17" spans="3:27" ht="33" x14ac:dyDescent="0.25">
      <c r="C17" s="789"/>
      <c r="D17" s="789"/>
      <c r="E17" s="766"/>
      <c r="F17" s="770"/>
      <c r="G17" s="789"/>
      <c r="H17" s="789"/>
      <c r="I17" s="789"/>
      <c r="J17" s="259" t="s">
        <v>37</v>
      </c>
      <c r="K17" s="259" t="s">
        <v>38</v>
      </c>
      <c r="L17" s="259" t="s">
        <v>39</v>
      </c>
      <c r="M17" s="259" t="s">
        <v>40</v>
      </c>
      <c r="N17" s="770"/>
      <c r="O17" s="770"/>
      <c r="P17" s="770"/>
      <c r="Q17" s="789"/>
      <c r="R17" s="789"/>
      <c r="S17" s="260" t="s">
        <v>62</v>
      </c>
      <c r="T17" s="260" t="s">
        <v>63</v>
      </c>
      <c r="U17" s="260" t="s">
        <v>282</v>
      </c>
      <c r="V17" s="260" t="s">
        <v>56</v>
      </c>
      <c r="W17" s="260" t="s">
        <v>57</v>
      </c>
      <c r="X17" s="260" t="s">
        <v>56</v>
      </c>
      <c r="Y17" s="260" t="s">
        <v>57</v>
      </c>
      <c r="Z17" s="789"/>
      <c r="AA17" s="789"/>
    </row>
    <row r="18" spans="3:27" ht="0.6" customHeight="1" x14ac:dyDescent="0.25">
      <c r="C18" s="65"/>
      <c r="D18" s="65"/>
      <c r="E18" s="65"/>
      <c r="F18" s="65"/>
      <c r="G18" s="65"/>
      <c r="H18" s="65"/>
      <c r="I18" s="65"/>
      <c r="J18" s="65"/>
      <c r="K18" s="169"/>
      <c r="L18" s="169"/>
      <c r="M18" s="169"/>
      <c r="N18" s="169"/>
      <c r="O18" s="169"/>
      <c r="P18" s="169"/>
      <c r="Q18" s="169"/>
      <c r="R18" s="169"/>
      <c r="S18" s="65"/>
      <c r="T18" s="145"/>
      <c r="U18" s="145"/>
      <c r="V18" s="145"/>
      <c r="W18" s="145"/>
      <c r="X18" s="145"/>
      <c r="Y18" s="145"/>
      <c r="Z18" s="65"/>
    </row>
    <row r="19" spans="3:27" ht="16.5" customHeight="1" x14ac:dyDescent="0.25">
      <c r="C19" s="849" t="s">
        <v>317</v>
      </c>
      <c r="D19" s="850"/>
      <c r="E19" s="850"/>
      <c r="F19" s="850"/>
      <c r="G19" s="850"/>
      <c r="H19" s="850"/>
      <c r="I19" s="851"/>
      <c r="J19" s="185"/>
      <c r="K19" s="185"/>
      <c r="L19" s="185"/>
      <c r="M19" s="185"/>
      <c r="N19" s="185"/>
      <c r="O19" s="185"/>
      <c r="P19" s="185"/>
      <c r="Q19" s="185"/>
      <c r="R19" s="185"/>
      <c r="S19" s="185"/>
      <c r="T19" s="185"/>
      <c r="U19" s="185"/>
      <c r="V19" s="185"/>
      <c r="W19" s="185"/>
      <c r="X19" s="185"/>
      <c r="Y19" s="185"/>
      <c r="Z19" s="185"/>
      <c r="AA19" s="185"/>
    </row>
    <row r="20" spans="3:27" ht="33" hidden="1" x14ac:dyDescent="0.3">
      <c r="C20" s="151" t="s">
        <v>192</v>
      </c>
      <c r="D20" s="189" t="s">
        <v>532</v>
      </c>
      <c r="E20" s="151"/>
      <c r="F20" s="151"/>
      <c r="G20" s="151"/>
      <c r="H20" s="151"/>
      <c r="I20" s="151"/>
      <c r="J20" s="204"/>
      <c r="K20" s="151"/>
      <c r="L20" s="151"/>
      <c r="M20" s="151"/>
      <c r="N20" s="151"/>
      <c r="O20" s="151"/>
      <c r="P20" s="156">
        <v>0</v>
      </c>
      <c r="Q20" s="212">
        <f>E20*P20</f>
        <v>0</v>
      </c>
      <c r="R20" s="68"/>
      <c r="S20" s="156">
        <v>0</v>
      </c>
      <c r="T20" s="156">
        <v>0</v>
      </c>
      <c r="U20" s="156">
        <v>0</v>
      </c>
      <c r="V20" s="151"/>
      <c r="W20" s="156">
        <v>0</v>
      </c>
      <c r="X20" s="151"/>
      <c r="Y20" s="156">
        <v>0</v>
      </c>
      <c r="Z20" s="212">
        <f>Q20-SUM(S20:U20, W20,Y20)</f>
        <v>0</v>
      </c>
      <c r="AA20" s="151"/>
    </row>
    <row r="21" spans="3:27" ht="17.25" hidden="1" x14ac:dyDescent="0.3">
      <c r="C21" s="151" t="s">
        <v>193</v>
      </c>
      <c r="D21" s="151"/>
      <c r="E21" s="151"/>
      <c r="F21" s="151"/>
      <c r="G21" s="151"/>
      <c r="H21" s="151"/>
      <c r="I21" s="151"/>
      <c r="J21" s="151"/>
      <c r="K21" s="151"/>
      <c r="L21" s="151"/>
      <c r="M21" s="151"/>
      <c r="N21" s="151"/>
      <c r="O21" s="151"/>
      <c r="P21" s="156">
        <v>0</v>
      </c>
      <c r="Q21" s="212">
        <f t="shared" ref="Q21:Q49" si="0">E21*P21</f>
        <v>0</v>
      </c>
      <c r="R21" s="68"/>
      <c r="S21" s="156">
        <v>0</v>
      </c>
      <c r="T21" s="156">
        <v>0</v>
      </c>
      <c r="U21" s="156">
        <v>0</v>
      </c>
      <c r="V21" s="151"/>
      <c r="W21" s="156">
        <v>0</v>
      </c>
      <c r="X21" s="151"/>
      <c r="Y21" s="156">
        <v>0</v>
      </c>
      <c r="Z21" s="212">
        <f>Q21-SUM(S21:U21, W21,Y21)</f>
        <v>0</v>
      </c>
      <c r="AA21" s="151"/>
    </row>
    <row r="22" spans="3:27" ht="17.25" hidden="1" x14ac:dyDescent="0.3">
      <c r="C22" s="151" t="s">
        <v>194</v>
      </c>
      <c r="D22" s="151"/>
      <c r="E22" s="151"/>
      <c r="F22" s="151"/>
      <c r="G22" s="151"/>
      <c r="H22" s="151"/>
      <c r="I22" s="151"/>
      <c r="J22" s="151"/>
      <c r="K22" s="151"/>
      <c r="L22" s="151"/>
      <c r="M22" s="151"/>
      <c r="N22" s="151"/>
      <c r="O22" s="151"/>
      <c r="P22" s="156">
        <v>0</v>
      </c>
      <c r="Q22" s="212">
        <f t="shared" si="0"/>
        <v>0</v>
      </c>
      <c r="R22" s="68"/>
      <c r="S22" s="156">
        <v>0</v>
      </c>
      <c r="T22" s="156">
        <v>0</v>
      </c>
      <c r="U22" s="156">
        <v>0</v>
      </c>
      <c r="V22" s="151"/>
      <c r="W22" s="156">
        <v>0</v>
      </c>
      <c r="X22" s="151"/>
      <c r="Y22" s="156">
        <v>0</v>
      </c>
      <c r="Z22" s="212">
        <f t="shared" ref="Z22:Z49" si="1">Q22-SUM(S22:U22, W22,Y22)</f>
        <v>0</v>
      </c>
      <c r="AA22" s="151"/>
    </row>
    <row r="23" spans="3:27" ht="17.25" hidden="1" x14ac:dyDescent="0.3">
      <c r="C23" s="151" t="s">
        <v>195</v>
      </c>
      <c r="D23" s="151"/>
      <c r="E23" s="151"/>
      <c r="F23" s="151"/>
      <c r="G23" s="151"/>
      <c r="H23" s="151"/>
      <c r="I23" s="151"/>
      <c r="J23" s="151"/>
      <c r="K23" s="151"/>
      <c r="L23" s="151"/>
      <c r="M23" s="151"/>
      <c r="N23" s="151"/>
      <c r="O23" s="151"/>
      <c r="P23" s="156">
        <v>0</v>
      </c>
      <c r="Q23" s="212">
        <f t="shared" si="0"/>
        <v>0</v>
      </c>
      <c r="R23" s="68"/>
      <c r="S23" s="156">
        <v>0</v>
      </c>
      <c r="T23" s="156">
        <v>0</v>
      </c>
      <c r="U23" s="156">
        <v>0</v>
      </c>
      <c r="V23" s="151"/>
      <c r="W23" s="156">
        <v>0</v>
      </c>
      <c r="X23" s="151"/>
      <c r="Y23" s="156">
        <v>0</v>
      </c>
      <c r="Z23" s="212">
        <f t="shared" si="1"/>
        <v>0</v>
      </c>
      <c r="AA23" s="151"/>
    </row>
    <row r="24" spans="3:27" ht="17.25" hidden="1" x14ac:dyDescent="0.3">
      <c r="C24" s="151" t="s">
        <v>196</v>
      </c>
      <c r="D24" s="151"/>
      <c r="E24" s="151"/>
      <c r="F24" s="151"/>
      <c r="G24" s="151"/>
      <c r="H24" s="151"/>
      <c r="I24" s="151"/>
      <c r="J24" s="151"/>
      <c r="K24" s="151"/>
      <c r="L24" s="151"/>
      <c r="M24" s="151"/>
      <c r="N24" s="151"/>
      <c r="O24" s="151"/>
      <c r="P24" s="156">
        <v>0</v>
      </c>
      <c r="Q24" s="212">
        <f t="shared" si="0"/>
        <v>0</v>
      </c>
      <c r="R24" s="68"/>
      <c r="S24" s="156">
        <v>0</v>
      </c>
      <c r="T24" s="156">
        <v>0</v>
      </c>
      <c r="U24" s="156">
        <v>0</v>
      </c>
      <c r="V24" s="151"/>
      <c r="W24" s="156">
        <v>0</v>
      </c>
      <c r="X24" s="151"/>
      <c r="Y24" s="156">
        <v>0</v>
      </c>
      <c r="Z24" s="212">
        <f t="shared" si="1"/>
        <v>0</v>
      </c>
      <c r="AA24" s="151"/>
    </row>
    <row r="25" spans="3:27" ht="17.25" hidden="1" x14ac:dyDescent="0.3">
      <c r="C25" s="151" t="s">
        <v>197</v>
      </c>
      <c r="D25" s="151"/>
      <c r="E25" s="151"/>
      <c r="F25" s="151"/>
      <c r="G25" s="151"/>
      <c r="H25" s="151"/>
      <c r="I25" s="151"/>
      <c r="J25" s="151"/>
      <c r="K25" s="151"/>
      <c r="L25" s="151"/>
      <c r="M25" s="151"/>
      <c r="N25" s="151"/>
      <c r="O25" s="151"/>
      <c r="P25" s="156">
        <v>0</v>
      </c>
      <c r="Q25" s="212">
        <f t="shared" si="0"/>
        <v>0</v>
      </c>
      <c r="R25" s="68"/>
      <c r="S25" s="156">
        <v>0</v>
      </c>
      <c r="T25" s="156">
        <v>0</v>
      </c>
      <c r="U25" s="156">
        <v>0</v>
      </c>
      <c r="V25" s="151"/>
      <c r="W25" s="156">
        <v>0</v>
      </c>
      <c r="X25" s="151"/>
      <c r="Y25" s="156">
        <v>0</v>
      </c>
      <c r="Z25" s="212">
        <f t="shared" si="1"/>
        <v>0</v>
      </c>
      <c r="AA25" s="151"/>
    </row>
    <row r="26" spans="3:27" ht="17.25" hidden="1" x14ac:dyDescent="0.3">
      <c r="C26" s="151" t="s">
        <v>198</v>
      </c>
      <c r="D26" s="151"/>
      <c r="E26" s="151"/>
      <c r="F26" s="151"/>
      <c r="G26" s="151"/>
      <c r="H26" s="151"/>
      <c r="I26" s="151"/>
      <c r="J26" s="151"/>
      <c r="K26" s="151"/>
      <c r="L26" s="151"/>
      <c r="M26" s="151"/>
      <c r="N26" s="151"/>
      <c r="O26" s="151"/>
      <c r="P26" s="156">
        <v>0</v>
      </c>
      <c r="Q26" s="212">
        <f t="shared" si="0"/>
        <v>0</v>
      </c>
      <c r="R26" s="68"/>
      <c r="S26" s="156">
        <v>0</v>
      </c>
      <c r="T26" s="156">
        <v>0</v>
      </c>
      <c r="U26" s="156">
        <v>0</v>
      </c>
      <c r="V26" s="151"/>
      <c r="W26" s="156">
        <v>0</v>
      </c>
      <c r="X26" s="151"/>
      <c r="Y26" s="156">
        <v>0</v>
      </c>
      <c r="Z26" s="212">
        <f t="shared" si="1"/>
        <v>0</v>
      </c>
      <c r="AA26" s="151"/>
    </row>
    <row r="27" spans="3:27" ht="17.25" hidden="1" x14ac:dyDescent="0.3">
      <c r="C27" s="151" t="s">
        <v>199</v>
      </c>
      <c r="D27" s="151"/>
      <c r="E27" s="151"/>
      <c r="F27" s="151"/>
      <c r="G27" s="151"/>
      <c r="H27" s="151"/>
      <c r="I27" s="151"/>
      <c r="J27" s="151"/>
      <c r="K27" s="151"/>
      <c r="L27" s="151"/>
      <c r="M27" s="151"/>
      <c r="N27" s="151"/>
      <c r="O27" s="151"/>
      <c r="P27" s="156">
        <v>0</v>
      </c>
      <c r="Q27" s="212">
        <f t="shared" si="0"/>
        <v>0</v>
      </c>
      <c r="R27" s="68"/>
      <c r="S27" s="156">
        <v>0</v>
      </c>
      <c r="T27" s="156">
        <v>0</v>
      </c>
      <c r="U27" s="156">
        <v>0</v>
      </c>
      <c r="V27" s="151"/>
      <c r="W27" s="156">
        <v>0</v>
      </c>
      <c r="X27" s="151"/>
      <c r="Y27" s="156">
        <v>0</v>
      </c>
      <c r="Z27" s="212">
        <f t="shared" si="1"/>
        <v>0</v>
      </c>
      <c r="AA27" s="151"/>
    </row>
    <row r="28" spans="3:27" ht="17.25" hidden="1" x14ac:dyDescent="0.3">
      <c r="C28" s="151" t="s">
        <v>200</v>
      </c>
      <c r="D28" s="151"/>
      <c r="E28" s="151"/>
      <c r="F28" s="151"/>
      <c r="G28" s="151"/>
      <c r="H28" s="151"/>
      <c r="I28" s="151"/>
      <c r="J28" s="151"/>
      <c r="K28" s="151"/>
      <c r="L28" s="151"/>
      <c r="M28" s="151"/>
      <c r="N28" s="151"/>
      <c r="O28" s="151"/>
      <c r="P28" s="156">
        <v>0</v>
      </c>
      <c r="Q28" s="212">
        <f t="shared" si="0"/>
        <v>0</v>
      </c>
      <c r="R28" s="68"/>
      <c r="S28" s="156">
        <v>0</v>
      </c>
      <c r="T28" s="156">
        <v>0</v>
      </c>
      <c r="U28" s="156">
        <v>0</v>
      </c>
      <c r="V28" s="151"/>
      <c r="W28" s="156">
        <v>0</v>
      </c>
      <c r="X28" s="151"/>
      <c r="Y28" s="156">
        <v>0</v>
      </c>
      <c r="Z28" s="212">
        <f t="shared" si="1"/>
        <v>0</v>
      </c>
      <c r="AA28" s="151"/>
    </row>
    <row r="29" spans="3:27" ht="17.25" hidden="1" x14ac:dyDescent="0.3">
      <c r="C29" s="151" t="s">
        <v>201</v>
      </c>
      <c r="D29" s="151"/>
      <c r="E29" s="151"/>
      <c r="F29" s="151"/>
      <c r="G29" s="151"/>
      <c r="H29" s="151"/>
      <c r="I29" s="151"/>
      <c r="J29" s="151"/>
      <c r="K29" s="151"/>
      <c r="L29" s="151"/>
      <c r="M29" s="151"/>
      <c r="N29" s="151"/>
      <c r="O29" s="151"/>
      <c r="P29" s="156">
        <v>0</v>
      </c>
      <c r="Q29" s="212">
        <f>E29*P29</f>
        <v>0</v>
      </c>
      <c r="R29" s="68"/>
      <c r="S29" s="156">
        <v>0</v>
      </c>
      <c r="T29" s="156">
        <v>0</v>
      </c>
      <c r="U29" s="156">
        <v>0</v>
      </c>
      <c r="V29" s="151"/>
      <c r="W29" s="156">
        <v>0</v>
      </c>
      <c r="X29" s="151"/>
      <c r="Y29" s="156">
        <v>0</v>
      </c>
      <c r="Z29" s="212">
        <f t="shared" si="1"/>
        <v>0</v>
      </c>
      <c r="AA29" s="151"/>
    </row>
    <row r="30" spans="3:27" ht="17.25" hidden="1" x14ac:dyDescent="0.3">
      <c r="C30" s="151" t="s">
        <v>202</v>
      </c>
      <c r="D30" s="151"/>
      <c r="E30" s="151"/>
      <c r="F30" s="151"/>
      <c r="G30" s="151"/>
      <c r="H30" s="151"/>
      <c r="I30" s="151"/>
      <c r="J30" s="151"/>
      <c r="K30" s="151"/>
      <c r="L30" s="151"/>
      <c r="M30" s="151"/>
      <c r="N30" s="151"/>
      <c r="O30" s="151"/>
      <c r="P30" s="156">
        <v>0</v>
      </c>
      <c r="Q30" s="212">
        <f t="shared" ref="Q30:Q39" si="2">E30*P30</f>
        <v>0</v>
      </c>
      <c r="R30" s="68"/>
      <c r="S30" s="156">
        <v>0</v>
      </c>
      <c r="T30" s="156">
        <v>0</v>
      </c>
      <c r="U30" s="156">
        <v>0</v>
      </c>
      <c r="V30" s="151"/>
      <c r="W30" s="156">
        <v>0</v>
      </c>
      <c r="X30" s="151"/>
      <c r="Y30" s="156">
        <v>0</v>
      </c>
      <c r="Z30" s="212">
        <f t="shared" si="1"/>
        <v>0</v>
      </c>
      <c r="AA30" s="151"/>
    </row>
    <row r="31" spans="3:27" ht="17.25" hidden="1" x14ac:dyDescent="0.3">
      <c r="C31" s="151" t="s">
        <v>203</v>
      </c>
      <c r="D31" s="151"/>
      <c r="E31" s="151"/>
      <c r="F31" s="151"/>
      <c r="G31" s="151"/>
      <c r="H31" s="151"/>
      <c r="I31" s="151"/>
      <c r="J31" s="151"/>
      <c r="K31" s="151"/>
      <c r="L31" s="151"/>
      <c r="M31" s="151"/>
      <c r="N31" s="151"/>
      <c r="O31" s="151"/>
      <c r="P31" s="156">
        <v>0</v>
      </c>
      <c r="Q31" s="212">
        <f t="shared" si="2"/>
        <v>0</v>
      </c>
      <c r="R31" s="68"/>
      <c r="S31" s="156">
        <v>0</v>
      </c>
      <c r="T31" s="156">
        <v>0</v>
      </c>
      <c r="U31" s="156">
        <v>0</v>
      </c>
      <c r="V31" s="151"/>
      <c r="W31" s="156">
        <v>0</v>
      </c>
      <c r="X31" s="151"/>
      <c r="Y31" s="156">
        <v>0</v>
      </c>
      <c r="Z31" s="212">
        <f t="shared" si="1"/>
        <v>0</v>
      </c>
      <c r="AA31" s="151"/>
    </row>
    <row r="32" spans="3:27" ht="17.25" hidden="1" x14ac:dyDescent="0.3">
      <c r="C32" s="151" t="s">
        <v>204</v>
      </c>
      <c r="D32" s="151"/>
      <c r="E32" s="151"/>
      <c r="F32" s="151"/>
      <c r="G32" s="151"/>
      <c r="H32" s="151"/>
      <c r="I32" s="151"/>
      <c r="J32" s="151"/>
      <c r="K32" s="151"/>
      <c r="L32" s="151"/>
      <c r="M32" s="151"/>
      <c r="N32" s="151"/>
      <c r="O32" s="151"/>
      <c r="P32" s="156">
        <v>0</v>
      </c>
      <c r="Q32" s="212">
        <f t="shared" si="2"/>
        <v>0</v>
      </c>
      <c r="R32" s="68"/>
      <c r="S32" s="156">
        <v>0</v>
      </c>
      <c r="T32" s="156">
        <v>0</v>
      </c>
      <c r="U32" s="156">
        <v>0</v>
      </c>
      <c r="V32" s="151"/>
      <c r="W32" s="156">
        <v>0</v>
      </c>
      <c r="X32" s="151"/>
      <c r="Y32" s="156">
        <v>0</v>
      </c>
      <c r="Z32" s="212">
        <f t="shared" si="1"/>
        <v>0</v>
      </c>
      <c r="AA32" s="151"/>
    </row>
    <row r="33" spans="3:27" ht="17.25" hidden="1" x14ac:dyDescent="0.3">
      <c r="C33" s="151" t="s">
        <v>205</v>
      </c>
      <c r="D33" s="151"/>
      <c r="E33" s="151"/>
      <c r="F33" s="151"/>
      <c r="G33" s="151"/>
      <c r="H33" s="151"/>
      <c r="I33" s="151"/>
      <c r="J33" s="151"/>
      <c r="K33" s="151"/>
      <c r="L33" s="151"/>
      <c r="M33" s="151"/>
      <c r="N33" s="151"/>
      <c r="O33" s="151"/>
      <c r="P33" s="156">
        <v>0</v>
      </c>
      <c r="Q33" s="212">
        <f t="shared" si="2"/>
        <v>0</v>
      </c>
      <c r="R33" s="68"/>
      <c r="S33" s="156">
        <v>0</v>
      </c>
      <c r="T33" s="156">
        <v>0</v>
      </c>
      <c r="U33" s="156">
        <v>0</v>
      </c>
      <c r="V33" s="151"/>
      <c r="W33" s="156">
        <v>0</v>
      </c>
      <c r="X33" s="151"/>
      <c r="Y33" s="156">
        <v>0</v>
      </c>
      <c r="Z33" s="212">
        <f t="shared" si="1"/>
        <v>0</v>
      </c>
      <c r="AA33" s="151"/>
    </row>
    <row r="34" spans="3:27" ht="17.25" hidden="1" x14ac:dyDescent="0.3">
      <c r="C34" s="151" t="s">
        <v>206</v>
      </c>
      <c r="D34" s="151"/>
      <c r="E34" s="151"/>
      <c r="F34" s="151"/>
      <c r="G34" s="151"/>
      <c r="H34" s="151"/>
      <c r="I34" s="151"/>
      <c r="J34" s="151"/>
      <c r="K34" s="151"/>
      <c r="L34" s="151"/>
      <c r="M34" s="151"/>
      <c r="N34" s="151"/>
      <c r="O34" s="151"/>
      <c r="P34" s="156">
        <v>0</v>
      </c>
      <c r="Q34" s="212">
        <f>E34*P34</f>
        <v>0</v>
      </c>
      <c r="R34" s="68"/>
      <c r="S34" s="156">
        <v>0</v>
      </c>
      <c r="T34" s="156">
        <v>0</v>
      </c>
      <c r="U34" s="156">
        <v>0</v>
      </c>
      <c r="V34" s="151"/>
      <c r="W34" s="156">
        <v>0</v>
      </c>
      <c r="X34" s="151"/>
      <c r="Y34" s="156">
        <v>0</v>
      </c>
      <c r="Z34" s="212">
        <f t="shared" si="1"/>
        <v>0</v>
      </c>
      <c r="AA34" s="151"/>
    </row>
    <row r="35" spans="3:27" ht="17.25" hidden="1" x14ac:dyDescent="0.3">
      <c r="C35" s="151" t="s">
        <v>207</v>
      </c>
      <c r="D35" s="151"/>
      <c r="E35" s="151"/>
      <c r="F35" s="151"/>
      <c r="G35" s="151"/>
      <c r="H35" s="151"/>
      <c r="I35" s="151"/>
      <c r="J35" s="151"/>
      <c r="K35" s="151"/>
      <c r="L35" s="151"/>
      <c r="M35" s="151"/>
      <c r="N35" s="151"/>
      <c r="O35" s="151"/>
      <c r="P35" s="156">
        <v>0</v>
      </c>
      <c r="Q35" s="212">
        <f t="shared" si="2"/>
        <v>0</v>
      </c>
      <c r="R35" s="68"/>
      <c r="S35" s="156">
        <v>0</v>
      </c>
      <c r="T35" s="156">
        <v>0</v>
      </c>
      <c r="U35" s="156">
        <v>0</v>
      </c>
      <c r="V35" s="151"/>
      <c r="W35" s="156">
        <v>0</v>
      </c>
      <c r="X35" s="151"/>
      <c r="Y35" s="156">
        <v>0</v>
      </c>
      <c r="Z35" s="212">
        <f t="shared" si="1"/>
        <v>0</v>
      </c>
      <c r="AA35" s="151"/>
    </row>
    <row r="36" spans="3:27" ht="17.25" hidden="1" x14ac:dyDescent="0.3">
      <c r="C36" s="151" t="s">
        <v>208</v>
      </c>
      <c r="D36" s="151"/>
      <c r="E36" s="151"/>
      <c r="F36" s="151"/>
      <c r="G36" s="151"/>
      <c r="H36" s="151"/>
      <c r="I36" s="151"/>
      <c r="J36" s="151"/>
      <c r="K36" s="151"/>
      <c r="L36" s="151"/>
      <c r="M36" s="151"/>
      <c r="N36" s="151"/>
      <c r="O36" s="151"/>
      <c r="P36" s="156">
        <v>0</v>
      </c>
      <c r="Q36" s="212">
        <f t="shared" si="2"/>
        <v>0</v>
      </c>
      <c r="R36" s="68"/>
      <c r="S36" s="156">
        <v>0</v>
      </c>
      <c r="T36" s="156">
        <v>0</v>
      </c>
      <c r="U36" s="156">
        <v>0</v>
      </c>
      <c r="V36" s="151"/>
      <c r="W36" s="156">
        <v>0</v>
      </c>
      <c r="X36" s="151"/>
      <c r="Y36" s="156">
        <v>0</v>
      </c>
      <c r="Z36" s="212">
        <f t="shared" si="1"/>
        <v>0</v>
      </c>
      <c r="AA36" s="151"/>
    </row>
    <row r="37" spans="3:27" ht="17.25" hidden="1" x14ac:dyDescent="0.3">
      <c r="C37" s="151" t="s">
        <v>209</v>
      </c>
      <c r="D37" s="151"/>
      <c r="E37" s="151"/>
      <c r="F37" s="151"/>
      <c r="G37" s="151"/>
      <c r="H37" s="151"/>
      <c r="I37" s="151"/>
      <c r="J37" s="151"/>
      <c r="K37" s="151"/>
      <c r="L37" s="151"/>
      <c r="M37" s="151"/>
      <c r="N37" s="151"/>
      <c r="O37" s="151"/>
      <c r="P37" s="156">
        <v>0</v>
      </c>
      <c r="Q37" s="212">
        <f t="shared" si="2"/>
        <v>0</v>
      </c>
      <c r="R37" s="68"/>
      <c r="S37" s="156">
        <v>0</v>
      </c>
      <c r="T37" s="156">
        <v>0</v>
      </c>
      <c r="U37" s="156">
        <v>0</v>
      </c>
      <c r="V37" s="151"/>
      <c r="W37" s="156">
        <v>0</v>
      </c>
      <c r="X37" s="151"/>
      <c r="Y37" s="156">
        <v>0</v>
      </c>
      <c r="Z37" s="212">
        <f t="shared" si="1"/>
        <v>0</v>
      </c>
      <c r="AA37" s="151"/>
    </row>
    <row r="38" spans="3:27" ht="17.25" hidden="1" x14ac:dyDescent="0.3">
      <c r="C38" s="151" t="s">
        <v>210</v>
      </c>
      <c r="D38" s="151"/>
      <c r="E38" s="151"/>
      <c r="F38" s="151"/>
      <c r="G38" s="151"/>
      <c r="H38" s="151"/>
      <c r="I38" s="151"/>
      <c r="J38" s="151"/>
      <c r="K38" s="151"/>
      <c r="L38" s="151"/>
      <c r="M38" s="151"/>
      <c r="N38" s="151"/>
      <c r="O38" s="151"/>
      <c r="P38" s="156">
        <v>0</v>
      </c>
      <c r="Q38" s="212">
        <f t="shared" si="2"/>
        <v>0</v>
      </c>
      <c r="R38" s="68"/>
      <c r="S38" s="156">
        <v>0</v>
      </c>
      <c r="T38" s="156">
        <v>0</v>
      </c>
      <c r="U38" s="156">
        <v>0</v>
      </c>
      <c r="V38" s="151"/>
      <c r="W38" s="156">
        <v>0</v>
      </c>
      <c r="X38" s="151"/>
      <c r="Y38" s="255">
        <v>0</v>
      </c>
      <c r="Z38" s="212">
        <f t="shared" si="1"/>
        <v>0</v>
      </c>
      <c r="AA38" s="151"/>
    </row>
    <row r="39" spans="3:27" ht="17.25" hidden="1" x14ac:dyDescent="0.3">
      <c r="C39" s="151" t="s">
        <v>211</v>
      </c>
      <c r="D39" s="151"/>
      <c r="E39" s="151"/>
      <c r="F39" s="151"/>
      <c r="G39" s="151"/>
      <c r="H39" s="151"/>
      <c r="I39" s="151"/>
      <c r="J39" s="151"/>
      <c r="K39" s="151"/>
      <c r="L39" s="151"/>
      <c r="M39" s="151"/>
      <c r="N39" s="151"/>
      <c r="O39" s="151"/>
      <c r="P39" s="156">
        <v>0</v>
      </c>
      <c r="Q39" s="212">
        <f t="shared" si="2"/>
        <v>0</v>
      </c>
      <c r="R39" s="68"/>
      <c r="S39" s="156">
        <v>0</v>
      </c>
      <c r="T39" s="156">
        <v>0</v>
      </c>
      <c r="U39" s="156">
        <v>0</v>
      </c>
      <c r="V39" s="151"/>
      <c r="W39" s="156">
        <v>0</v>
      </c>
      <c r="X39" s="151"/>
      <c r="Y39" s="156">
        <v>0</v>
      </c>
      <c r="Z39" s="212">
        <f t="shared" si="1"/>
        <v>0</v>
      </c>
      <c r="AA39" s="151"/>
    </row>
    <row r="40" spans="3:27" ht="17.25" hidden="1" x14ac:dyDescent="0.3">
      <c r="C40" s="151" t="s">
        <v>212</v>
      </c>
      <c r="D40" s="151"/>
      <c r="E40" s="151"/>
      <c r="F40" s="151"/>
      <c r="G40" s="151"/>
      <c r="H40" s="151"/>
      <c r="I40" s="151"/>
      <c r="J40" s="151"/>
      <c r="K40" s="151"/>
      <c r="L40" s="151"/>
      <c r="M40" s="151"/>
      <c r="N40" s="151"/>
      <c r="O40" s="151"/>
      <c r="P40" s="156">
        <v>0</v>
      </c>
      <c r="Q40" s="212">
        <f t="shared" si="0"/>
        <v>0</v>
      </c>
      <c r="R40" s="68"/>
      <c r="S40" s="156">
        <v>0</v>
      </c>
      <c r="T40" s="156">
        <v>0</v>
      </c>
      <c r="U40" s="156">
        <v>0</v>
      </c>
      <c r="V40" s="151"/>
      <c r="W40" s="156">
        <v>0</v>
      </c>
      <c r="X40" s="151"/>
      <c r="Y40" s="156">
        <v>0</v>
      </c>
      <c r="Z40" s="212">
        <f t="shared" si="1"/>
        <v>0</v>
      </c>
      <c r="AA40" s="151"/>
    </row>
    <row r="41" spans="3:27" ht="17.25" hidden="1" x14ac:dyDescent="0.3">
      <c r="C41" s="151" t="s">
        <v>213</v>
      </c>
      <c r="D41" s="151"/>
      <c r="E41" s="151"/>
      <c r="F41" s="151"/>
      <c r="G41" s="151"/>
      <c r="H41" s="151"/>
      <c r="I41" s="151"/>
      <c r="J41" s="151"/>
      <c r="K41" s="151"/>
      <c r="L41" s="151"/>
      <c r="M41" s="151"/>
      <c r="N41" s="151"/>
      <c r="O41" s="151"/>
      <c r="P41" s="156">
        <v>0</v>
      </c>
      <c r="Q41" s="212">
        <f t="shared" si="0"/>
        <v>0</v>
      </c>
      <c r="R41" s="68"/>
      <c r="S41" s="156">
        <v>0</v>
      </c>
      <c r="T41" s="156">
        <v>0</v>
      </c>
      <c r="U41" s="156">
        <v>0</v>
      </c>
      <c r="V41" s="151"/>
      <c r="W41" s="156">
        <v>0</v>
      </c>
      <c r="X41" s="151"/>
      <c r="Y41" s="156">
        <v>0</v>
      </c>
      <c r="Z41" s="212">
        <f t="shared" si="1"/>
        <v>0</v>
      </c>
      <c r="AA41" s="151"/>
    </row>
    <row r="42" spans="3:27" ht="17.25" hidden="1" x14ac:dyDescent="0.3">
      <c r="C42" s="151" t="s">
        <v>214</v>
      </c>
      <c r="D42" s="151"/>
      <c r="E42" s="151"/>
      <c r="F42" s="151"/>
      <c r="G42" s="151"/>
      <c r="H42" s="151"/>
      <c r="I42" s="151"/>
      <c r="J42" s="151"/>
      <c r="K42" s="151"/>
      <c r="L42" s="151"/>
      <c r="M42" s="151"/>
      <c r="N42" s="151"/>
      <c r="O42" s="151"/>
      <c r="P42" s="156">
        <v>0</v>
      </c>
      <c r="Q42" s="212">
        <f t="shared" si="0"/>
        <v>0</v>
      </c>
      <c r="R42" s="68"/>
      <c r="S42" s="156">
        <v>0</v>
      </c>
      <c r="T42" s="156">
        <v>0</v>
      </c>
      <c r="U42" s="156">
        <v>0</v>
      </c>
      <c r="V42" s="151"/>
      <c r="W42" s="156">
        <v>0</v>
      </c>
      <c r="X42" s="151"/>
      <c r="Y42" s="156">
        <v>0</v>
      </c>
      <c r="Z42" s="212">
        <f t="shared" si="1"/>
        <v>0</v>
      </c>
      <c r="AA42" s="151"/>
    </row>
    <row r="43" spans="3:27" ht="17.25" hidden="1" x14ac:dyDescent="0.3">
      <c r="C43" s="151" t="s">
        <v>215</v>
      </c>
      <c r="D43" s="151"/>
      <c r="E43" s="151"/>
      <c r="F43" s="151"/>
      <c r="G43" s="151"/>
      <c r="H43" s="151"/>
      <c r="I43" s="151"/>
      <c r="J43" s="151"/>
      <c r="K43" s="151"/>
      <c r="L43" s="151"/>
      <c r="M43" s="151"/>
      <c r="N43" s="151"/>
      <c r="O43" s="151"/>
      <c r="P43" s="156">
        <v>0</v>
      </c>
      <c r="Q43" s="212">
        <f t="shared" si="0"/>
        <v>0</v>
      </c>
      <c r="R43" s="68"/>
      <c r="S43" s="156">
        <v>0</v>
      </c>
      <c r="T43" s="156">
        <v>0</v>
      </c>
      <c r="U43" s="156">
        <v>0</v>
      </c>
      <c r="V43" s="151"/>
      <c r="W43" s="156">
        <v>0</v>
      </c>
      <c r="X43" s="151"/>
      <c r="Y43" s="156">
        <v>0</v>
      </c>
      <c r="Z43" s="212">
        <f t="shared" si="1"/>
        <v>0</v>
      </c>
      <c r="AA43" s="151"/>
    </row>
    <row r="44" spans="3:27" ht="17.25" hidden="1" x14ac:dyDescent="0.3">
      <c r="C44" s="151" t="s">
        <v>216</v>
      </c>
      <c r="D44" s="151"/>
      <c r="E44" s="151"/>
      <c r="F44" s="151"/>
      <c r="G44" s="151"/>
      <c r="H44" s="151"/>
      <c r="I44" s="151"/>
      <c r="J44" s="151"/>
      <c r="K44" s="151"/>
      <c r="L44" s="151"/>
      <c r="M44" s="151"/>
      <c r="N44" s="151"/>
      <c r="O44" s="151"/>
      <c r="P44" s="156">
        <v>0</v>
      </c>
      <c r="Q44" s="212">
        <f t="shared" si="0"/>
        <v>0</v>
      </c>
      <c r="R44" s="68"/>
      <c r="S44" s="156">
        <v>0</v>
      </c>
      <c r="T44" s="156">
        <v>0</v>
      </c>
      <c r="U44" s="156">
        <v>0</v>
      </c>
      <c r="V44" s="151"/>
      <c r="W44" s="156">
        <v>0</v>
      </c>
      <c r="X44" s="151"/>
      <c r="Y44" s="156">
        <v>0</v>
      </c>
      <c r="Z44" s="212">
        <f t="shared" si="1"/>
        <v>0</v>
      </c>
      <c r="AA44" s="151"/>
    </row>
    <row r="45" spans="3:27" ht="17.25" hidden="1" x14ac:dyDescent="0.3">
      <c r="C45" s="151" t="s">
        <v>217</v>
      </c>
      <c r="D45" s="151"/>
      <c r="E45" s="151"/>
      <c r="F45" s="151"/>
      <c r="G45" s="151"/>
      <c r="H45" s="151"/>
      <c r="I45" s="151"/>
      <c r="J45" s="151"/>
      <c r="K45" s="151"/>
      <c r="L45" s="151"/>
      <c r="M45" s="151"/>
      <c r="N45" s="151"/>
      <c r="O45" s="151"/>
      <c r="P45" s="156">
        <v>0</v>
      </c>
      <c r="Q45" s="212">
        <f t="shared" si="0"/>
        <v>0</v>
      </c>
      <c r="R45" s="68"/>
      <c r="S45" s="156">
        <v>0</v>
      </c>
      <c r="T45" s="156">
        <v>0</v>
      </c>
      <c r="U45" s="156">
        <v>0</v>
      </c>
      <c r="V45" s="151"/>
      <c r="W45" s="156">
        <v>0</v>
      </c>
      <c r="X45" s="151"/>
      <c r="Y45" s="156">
        <v>0</v>
      </c>
      <c r="Z45" s="212">
        <f t="shared" si="1"/>
        <v>0</v>
      </c>
      <c r="AA45" s="151"/>
    </row>
    <row r="46" spans="3:27" ht="17.25" hidden="1" x14ac:dyDescent="0.3">
      <c r="C46" s="151" t="s">
        <v>218</v>
      </c>
      <c r="D46" s="151"/>
      <c r="E46" s="151"/>
      <c r="F46" s="151"/>
      <c r="G46" s="151"/>
      <c r="H46" s="151"/>
      <c r="I46" s="151"/>
      <c r="J46" s="151"/>
      <c r="K46" s="151"/>
      <c r="L46" s="151"/>
      <c r="M46" s="151"/>
      <c r="N46" s="151"/>
      <c r="O46" s="151"/>
      <c r="P46" s="156">
        <v>0</v>
      </c>
      <c r="Q46" s="212">
        <f t="shared" si="0"/>
        <v>0</v>
      </c>
      <c r="R46" s="68"/>
      <c r="S46" s="156">
        <v>0</v>
      </c>
      <c r="T46" s="156">
        <v>0</v>
      </c>
      <c r="U46" s="156">
        <v>0</v>
      </c>
      <c r="V46" s="151"/>
      <c r="W46" s="156">
        <v>0</v>
      </c>
      <c r="X46" s="151"/>
      <c r="Y46" s="156">
        <v>0</v>
      </c>
      <c r="Z46" s="212">
        <f t="shared" si="1"/>
        <v>0</v>
      </c>
      <c r="AA46" s="151"/>
    </row>
    <row r="47" spans="3:27" ht="17.25" hidden="1" x14ac:dyDescent="0.3">
      <c r="C47" s="151" t="s">
        <v>219</v>
      </c>
      <c r="D47" s="151"/>
      <c r="E47" s="151"/>
      <c r="F47" s="151"/>
      <c r="G47" s="151"/>
      <c r="H47" s="151"/>
      <c r="I47" s="151"/>
      <c r="J47" s="151"/>
      <c r="K47" s="151"/>
      <c r="L47" s="151"/>
      <c r="M47" s="151"/>
      <c r="N47" s="151"/>
      <c r="O47" s="151"/>
      <c r="P47" s="156">
        <v>0</v>
      </c>
      <c r="Q47" s="212">
        <f t="shared" si="0"/>
        <v>0</v>
      </c>
      <c r="R47" s="68"/>
      <c r="S47" s="156">
        <v>0</v>
      </c>
      <c r="T47" s="156">
        <v>0</v>
      </c>
      <c r="U47" s="156">
        <v>0</v>
      </c>
      <c r="V47" s="151"/>
      <c r="W47" s="156">
        <v>0</v>
      </c>
      <c r="X47" s="151"/>
      <c r="Y47" s="156">
        <v>0</v>
      </c>
      <c r="Z47" s="212">
        <f t="shared" si="1"/>
        <v>0</v>
      </c>
      <c r="AA47" s="151"/>
    </row>
    <row r="48" spans="3:27" ht="17.25" hidden="1" x14ac:dyDescent="0.3">
      <c r="C48" s="151" t="s">
        <v>220</v>
      </c>
      <c r="D48" s="151"/>
      <c r="E48" s="151"/>
      <c r="F48" s="151"/>
      <c r="G48" s="151"/>
      <c r="H48" s="151"/>
      <c r="I48" s="151"/>
      <c r="J48" s="151"/>
      <c r="K48" s="151"/>
      <c r="L48" s="151"/>
      <c r="M48" s="151"/>
      <c r="N48" s="151"/>
      <c r="O48" s="151"/>
      <c r="P48" s="156">
        <v>0</v>
      </c>
      <c r="Q48" s="212">
        <f t="shared" si="0"/>
        <v>0</v>
      </c>
      <c r="R48" s="68"/>
      <c r="S48" s="156">
        <v>0</v>
      </c>
      <c r="T48" s="156">
        <v>0</v>
      </c>
      <c r="U48" s="156">
        <v>0</v>
      </c>
      <c r="V48" s="151"/>
      <c r="W48" s="156">
        <v>0</v>
      </c>
      <c r="X48" s="151"/>
      <c r="Y48" s="156">
        <v>0</v>
      </c>
      <c r="Z48" s="212">
        <f t="shared" si="1"/>
        <v>0</v>
      </c>
      <c r="AA48" s="151"/>
    </row>
    <row r="49" spans="3:27" ht="17.25" hidden="1" x14ac:dyDescent="0.3">
      <c r="C49" s="151" t="s">
        <v>221</v>
      </c>
      <c r="D49" s="151"/>
      <c r="E49" s="151"/>
      <c r="F49" s="151"/>
      <c r="G49" s="151"/>
      <c r="H49" s="151"/>
      <c r="I49" s="151"/>
      <c r="J49" s="151"/>
      <c r="K49" s="151"/>
      <c r="L49" s="151"/>
      <c r="M49" s="151"/>
      <c r="N49" s="151"/>
      <c r="O49" s="151"/>
      <c r="P49" s="156">
        <v>0</v>
      </c>
      <c r="Q49" s="212">
        <f t="shared" si="0"/>
        <v>0</v>
      </c>
      <c r="R49" s="68"/>
      <c r="S49" s="156">
        <v>0</v>
      </c>
      <c r="T49" s="156">
        <v>0</v>
      </c>
      <c r="U49" s="156">
        <v>0</v>
      </c>
      <c r="V49" s="151"/>
      <c r="W49" s="156">
        <v>0</v>
      </c>
      <c r="X49" s="151"/>
      <c r="Y49" s="156">
        <v>0</v>
      </c>
      <c r="Z49" s="212">
        <f t="shared" si="1"/>
        <v>0</v>
      </c>
      <c r="AA49" s="151"/>
    </row>
    <row r="50" spans="3:27" s="137" customFormat="1" x14ac:dyDescent="0.25">
      <c r="C50" s="855" t="s">
        <v>133</v>
      </c>
      <c r="D50" s="982"/>
      <c r="E50" s="253"/>
      <c r="F50" s="159"/>
      <c r="G50" s="159"/>
      <c r="H50" s="159"/>
      <c r="I50" s="159"/>
      <c r="J50" s="159"/>
      <c r="K50" s="159"/>
      <c r="L50" s="159"/>
      <c r="M50" s="159"/>
      <c r="N50" s="159"/>
      <c r="O50" s="159"/>
      <c r="P50" s="159"/>
      <c r="Q50" s="214">
        <f>SUM(Q20:Q49)</f>
        <v>0</v>
      </c>
      <c r="R50" s="158"/>
      <c r="S50" s="214">
        <f>SUM(S20:S49)</f>
        <v>0</v>
      </c>
      <c r="T50" s="214">
        <f>SUM(T20:T49)</f>
        <v>0</v>
      </c>
      <c r="U50" s="214">
        <f>SUM(U20:U49)</f>
        <v>0</v>
      </c>
      <c r="V50" s="1032">
        <f>SUM(W20:W49,Y20:Y49)</f>
        <v>0</v>
      </c>
      <c r="W50" s="1033"/>
      <c r="X50" s="1033"/>
      <c r="Y50" s="1034"/>
      <c r="Z50" s="214">
        <f>SUM(Z20:Z49)</f>
        <v>0</v>
      </c>
      <c r="AA50" s="249"/>
    </row>
    <row r="52" spans="3:27" x14ac:dyDescent="0.25">
      <c r="C52" s="789" t="s">
        <v>35</v>
      </c>
      <c r="D52" s="789" t="s">
        <v>34</v>
      </c>
      <c r="E52" s="766" t="s">
        <v>315</v>
      </c>
      <c r="F52" s="769" t="s">
        <v>110</v>
      </c>
      <c r="G52" s="789" t="s">
        <v>96</v>
      </c>
      <c r="H52" s="789" t="s">
        <v>99</v>
      </c>
      <c r="I52" s="789" t="s">
        <v>189</v>
      </c>
      <c r="J52" s="766" t="s">
        <v>188</v>
      </c>
      <c r="K52" s="766"/>
      <c r="L52" s="766"/>
      <c r="M52" s="766"/>
      <c r="N52" s="769" t="s">
        <v>519</v>
      </c>
      <c r="O52" s="769" t="s">
        <v>520</v>
      </c>
      <c r="P52" s="769" t="s">
        <v>187</v>
      </c>
      <c r="Q52" s="789" t="s">
        <v>190</v>
      </c>
      <c r="R52" s="789" t="s">
        <v>191</v>
      </c>
      <c r="S52" s="767" t="s">
        <v>53</v>
      </c>
      <c r="T52" s="942"/>
      <c r="U52" s="942"/>
      <c r="V52" s="942"/>
      <c r="W52" s="942"/>
      <c r="X52" s="942"/>
      <c r="Y52" s="768"/>
      <c r="Z52" s="789" t="s">
        <v>415</v>
      </c>
      <c r="AA52" s="789" t="s">
        <v>107</v>
      </c>
    </row>
    <row r="53" spans="3:27" x14ac:dyDescent="0.25">
      <c r="C53" s="789"/>
      <c r="D53" s="789"/>
      <c r="E53" s="766"/>
      <c r="F53" s="956"/>
      <c r="G53" s="789"/>
      <c r="H53" s="789"/>
      <c r="I53" s="789"/>
      <c r="J53" s="766"/>
      <c r="K53" s="766"/>
      <c r="L53" s="766"/>
      <c r="M53" s="766"/>
      <c r="N53" s="956"/>
      <c r="O53" s="956"/>
      <c r="P53" s="956"/>
      <c r="Q53" s="789"/>
      <c r="R53" s="789"/>
      <c r="S53" s="940" t="s">
        <v>54</v>
      </c>
      <c r="T53" s="944"/>
      <c r="U53" s="941"/>
      <c r="V53" s="998" t="s">
        <v>55</v>
      </c>
      <c r="W53" s="998"/>
      <c r="X53" s="998" t="s">
        <v>58</v>
      </c>
      <c r="Y53" s="998"/>
      <c r="Z53" s="789"/>
      <c r="AA53" s="789"/>
    </row>
    <row r="54" spans="3:27" ht="49.5" customHeight="1" x14ac:dyDescent="0.25">
      <c r="C54" s="789"/>
      <c r="D54" s="789"/>
      <c r="E54" s="766"/>
      <c r="F54" s="770"/>
      <c r="G54" s="789"/>
      <c r="H54" s="789"/>
      <c r="I54" s="789"/>
      <c r="J54" s="259" t="s">
        <v>37</v>
      </c>
      <c r="K54" s="259" t="s">
        <v>38</v>
      </c>
      <c r="L54" s="259" t="s">
        <v>39</v>
      </c>
      <c r="M54" s="259" t="s">
        <v>40</v>
      </c>
      <c r="N54" s="770"/>
      <c r="O54" s="770"/>
      <c r="P54" s="770"/>
      <c r="Q54" s="789"/>
      <c r="R54" s="789"/>
      <c r="S54" s="260" t="s">
        <v>62</v>
      </c>
      <c r="T54" s="260" t="s">
        <v>63</v>
      </c>
      <c r="U54" s="260" t="s">
        <v>282</v>
      </c>
      <c r="V54" s="260" t="s">
        <v>56</v>
      </c>
      <c r="W54" s="260" t="s">
        <v>57</v>
      </c>
      <c r="X54" s="260" t="s">
        <v>56</v>
      </c>
      <c r="Y54" s="260" t="s">
        <v>57</v>
      </c>
      <c r="Z54" s="789"/>
      <c r="AA54" s="789"/>
    </row>
    <row r="55" spans="3:27" ht="16.5" customHeight="1" x14ac:dyDescent="0.25">
      <c r="C55" s="1035" t="s">
        <v>142</v>
      </c>
      <c r="D55" s="1036"/>
      <c r="E55" s="1036"/>
      <c r="F55" s="1036"/>
      <c r="G55" s="1036"/>
      <c r="H55" s="1036"/>
      <c r="I55" s="1037"/>
      <c r="J55" s="256"/>
      <c r="K55" s="256"/>
      <c r="L55" s="256"/>
      <c r="M55" s="256"/>
      <c r="N55" s="256"/>
      <c r="O55" s="256"/>
      <c r="P55" s="256"/>
      <c r="Q55" s="256"/>
      <c r="R55" s="256"/>
      <c r="S55" s="256"/>
      <c r="T55" s="256"/>
      <c r="U55" s="256"/>
      <c r="V55" s="256"/>
      <c r="W55" s="256"/>
      <c r="X55" s="256"/>
      <c r="Y55" s="256"/>
      <c r="Z55" s="256"/>
      <c r="AA55" s="256"/>
    </row>
    <row r="56" spans="3:27" ht="17.25" hidden="1" x14ac:dyDescent="0.3">
      <c r="C56" s="151" t="s">
        <v>222</v>
      </c>
      <c r="D56" s="189" t="s">
        <v>533</v>
      </c>
      <c r="E56" s="151"/>
      <c r="F56" s="151"/>
      <c r="G56" s="151"/>
      <c r="H56" s="151"/>
      <c r="I56" s="151"/>
      <c r="J56" s="151"/>
      <c r="K56" s="151"/>
      <c r="L56" s="151"/>
      <c r="M56" s="151"/>
      <c r="N56" s="151"/>
      <c r="O56" s="151"/>
      <c r="P56" s="156">
        <v>0</v>
      </c>
      <c r="Q56" s="212">
        <f>$E56*$P56</f>
        <v>0</v>
      </c>
      <c r="R56" s="68"/>
      <c r="S56" s="156">
        <v>0</v>
      </c>
      <c r="T56" s="156">
        <v>0</v>
      </c>
      <c r="U56" s="156">
        <v>0</v>
      </c>
      <c r="V56" s="151"/>
      <c r="W56" s="156">
        <v>0</v>
      </c>
      <c r="X56" s="151"/>
      <c r="Y56" s="156">
        <v>0</v>
      </c>
      <c r="Z56" s="212">
        <f>Q56-SUM(S56:U56, W56,Y56)</f>
        <v>0</v>
      </c>
      <c r="AA56" s="151"/>
    </row>
    <row r="57" spans="3:27" ht="33" hidden="1" x14ac:dyDescent="0.3">
      <c r="C57" s="151" t="s">
        <v>223</v>
      </c>
      <c r="D57" s="189" t="s">
        <v>534</v>
      </c>
      <c r="E57" s="151"/>
      <c r="F57" s="151"/>
      <c r="G57" s="151"/>
      <c r="H57" s="151"/>
      <c r="I57" s="151"/>
      <c r="J57" s="151"/>
      <c r="K57" s="151"/>
      <c r="L57" s="151"/>
      <c r="M57" s="151"/>
      <c r="N57" s="151"/>
      <c r="O57" s="151"/>
      <c r="P57" s="156">
        <v>0</v>
      </c>
      <c r="Q57" s="212">
        <f t="shared" ref="Q57:Q65" si="3">$E57*$P57</f>
        <v>0</v>
      </c>
      <c r="R57" s="68"/>
      <c r="S57" s="156">
        <v>0</v>
      </c>
      <c r="T57" s="156">
        <v>0</v>
      </c>
      <c r="U57" s="156">
        <v>0</v>
      </c>
      <c r="V57" s="151"/>
      <c r="W57" s="156">
        <v>0</v>
      </c>
      <c r="X57" s="151"/>
      <c r="Y57" s="156">
        <v>0</v>
      </c>
      <c r="Z57" s="212">
        <f>Q57-SUM(S57:U57, W57,Y57)</f>
        <v>0</v>
      </c>
      <c r="AA57" s="151"/>
    </row>
    <row r="58" spans="3:27" ht="17.25" hidden="1" x14ac:dyDescent="0.3">
      <c r="C58" s="151" t="s">
        <v>224</v>
      </c>
      <c r="D58" s="151"/>
      <c r="E58" s="151"/>
      <c r="F58" s="151"/>
      <c r="G58" s="151"/>
      <c r="H58" s="151"/>
      <c r="I58" s="151"/>
      <c r="J58" s="151"/>
      <c r="K58" s="151"/>
      <c r="L58" s="151"/>
      <c r="M58" s="151"/>
      <c r="N58" s="151"/>
      <c r="O58" s="151"/>
      <c r="P58" s="156">
        <v>0</v>
      </c>
      <c r="Q58" s="212">
        <f t="shared" si="3"/>
        <v>0</v>
      </c>
      <c r="R58" s="68"/>
      <c r="S58" s="156">
        <v>0</v>
      </c>
      <c r="T58" s="156">
        <v>0</v>
      </c>
      <c r="U58" s="156">
        <v>0</v>
      </c>
      <c r="V58" s="151"/>
      <c r="W58" s="156">
        <v>0</v>
      </c>
      <c r="X58" s="151"/>
      <c r="Y58" s="156">
        <v>0</v>
      </c>
      <c r="Z58" s="212">
        <f t="shared" ref="Z58:Z85" si="4">Q58-SUM(S58:U58, W58,Y58)</f>
        <v>0</v>
      </c>
      <c r="AA58" s="151"/>
    </row>
    <row r="59" spans="3:27" ht="17.25" hidden="1" x14ac:dyDescent="0.3">
      <c r="C59" s="151" t="s">
        <v>225</v>
      </c>
      <c r="D59" s="151"/>
      <c r="E59" s="151"/>
      <c r="F59" s="151"/>
      <c r="G59" s="151"/>
      <c r="H59" s="151"/>
      <c r="I59" s="151"/>
      <c r="J59" s="151"/>
      <c r="K59" s="151"/>
      <c r="L59" s="151"/>
      <c r="M59" s="151"/>
      <c r="N59" s="151"/>
      <c r="O59" s="151"/>
      <c r="P59" s="156">
        <v>0</v>
      </c>
      <c r="Q59" s="212">
        <f t="shared" si="3"/>
        <v>0</v>
      </c>
      <c r="R59" s="68"/>
      <c r="S59" s="156">
        <v>0</v>
      </c>
      <c r="T59" s="156">
        <v>0</v>
      </c>
      <c r="U59" s="156">
        <v>0</v>
      </c>
      <c r="V59" s="151"/>
      <c r="W59" s="156">
        <v>0</v>
      </c>
      <c r="X59" s="151"/>
      <c r="Y59" s="156">
        <v>0</v>
      </c>
      <c r="Z59" s="212">
        <f t="shared" si="4"/>
        <v>0</v>
      </c>
      <c r="AA59" s="151"/>
    </row>
    <row r="60" spans="3:27" ht="17.25" hidden="1" x14ac:dyDescent="0.3">
      <c r="C60" s="151" t="s">
        <v>226</v>
      </c>
      <c r="D60" s="151"/>
      <c r="E60" s="151"/>
      <c r="F60" s="151"/>
      <c r="G60" s="151"/>
      <c r="H60" s="151"/>
      <c r="I60" s="151"/>
      <c r="J60" s="151"/>
      <c r="K60" s="151"/>
      <c r="L60" s="151"/>
      <c r="M60" s="151"/>
      <c r="N60" s="151"/>
      <c r="O60" s="151"/>
      <c r="P60" s="156">
        <v>0</v>
      </c>
      <c r="Q60" s="212">
        <f>$E60*$P60</f>
        <v>0</v>
      </c>
      <c r="R60" s="68"/>
      <c r="S60" s="156">
        <v>0</v>
      </c>
      <c r="T60" s="156">
        <v>0</v>
      </c>
      <c r="U60" s="156">
        <v>0</v>
      </c>
      <c r="V60" s="151"/>
      <c r="W60" s="156">
        <v>0</v>
      </c>
      <c r="X60" s="151"/>
      <c r="Y60" s="156">
        <v>0</v>
      </c>
      <c r="Z60" s="212">
        <f t="shared" si="4"/>
        <v>0</v>
      </c>
      <c r="AA60" s="151"/>
    </row>
    <row r="61" spans="3:27" ht="17.25" hidden="1" x14ac:dyDescent="0.3">
      <c r="C61" s="151" t="s">
        <v>227</v>
      </c>
      <c r="D61" s="151"/>
      <c r="E61" s="151"/>
      <c r="F61" s="151"/>
      <c r="G61" s="151"/>
      <c r="H61" s="151"/>
      <c r="I61" s="151"/>
      <c r="J61" s="151"/>
      <c r="K61" s="151"/>
      <c r="L61" s="151"/>
      <c r="M61" s="151"/>
      <c r="N61" s="151"/>
      <c r="O61" s="151"/>
      <c r="P61" s="156">
        <v>0</v>
      </c>
      <c r="Q61" s="212">
        <f t="shared" si="3"/>
        <v>0</v>
      </c>
      <c r="R61" s="68"/>
      <c r="S61" s="156">
        <v>0</v>
      </c>
      <c r="T61" s="156">
        <v>0</v>
      </c>
      <c r="U61" s="156">
        <v>0</v>
      </c>
      <c r="V61" s="151"/>
      <c r="W61" s="156">
        <v>0</v>
      </c>
      <c r="X61" s="151"/>
      <c r="Y61" s="156">
        <v>0</v>
      </c>
      <c r="Z61" s="212">
        <f t="shared" si="4"/>
        <v>0</v>
      </c>
      <c r="AA61" s="151"/>
    </row>
    <row r="62" spans="3:27" ht="17.25" hidden="1" x14ac:dyDescent="0.3">
      <c r="C62" s="151" t="s">
        <v>228</v>
      </c>
      <c r="D62" s="151"/>
      <c r="E62" s="151"/>
      <c r="F62" s="151"/>
      <c r="G62" s="151"/>
      <c r="H62" s="151"/>
      <c r="I62" s="151"/>
      <c r="J62" s="151"/>
      <c r="K62" s="151"/>
      <c r="L62" s="151"/>
      <c r="M62" s="151"/>
      <c r="N62" s="151"/>
      <c r="O62" s="151"/>
      <c r="P62" s="156">
        <v>0</v>
      </c>
      <c r="Q62" s="212">
        <f t="shared" si="3"/>
        <v>0</v>
      </c>
      <c r="R62" s="68"/>
      <c r="S62" s="156">
        <v>0</v>
      </c>
      <c r="T62" s="156">
        <v>0</v>
      </c>
      <c r="U62" s="156">
        <v>0</v>
      </c>
      <c r="V62" s="151"/>
      <c r="W62" s="156">
        <v>0</v>
      </c>
      <c r="X62" s="151"/>
      <c r="Y62" s="156">
        <v>0</v>
      </c>
      <c r="Z62" s="212">
        <f t="shared" si="4"/>
        <v>0</v>
      </c>
      <c r="AA62" s="151"/>
    </row>
    <row r="63" spans="3:27" ht="17.25" hidden="1" x14ac:dyDescent="0.3">
      <c r="C63" s="151" t="s">
        <v>229</v>
      </c>
      <c r="D63" s="151"/>
      <c r="E63" s="151"/>
      <c r="F63" s="151"/>
      <c r="G63" s="151"/>
      <c r="H63" s="151"/>
      <c r="I63" s="151"/>
      <c r="J63" s="151"/>
      <c r="K63" s="151"/>
      <c r="L63" s="151"/>
      <c r="M63" s="151"/>
      <c r="N63" s="151"/>
      <c r="O63" s="151"/>
      <c r="P63" s="156">
        <v>0</v>
      </c>
      <c r="Q63" s="212">
        <f t="shared" si="3"/>
        <v>0</v>
      </c>
      <c r="R63" s="68"/>
      <c r="S63" s="156">
        <v>0</v>
      </c>
      <c r="T63" s="156">
        <v>0</v>
      </c>
      <c r="U63" s="156">
        <v>0</v>
      </c>
      <c r="V63" s="151"/>
      <c r="W63" s="156">
        <v>0</v>
      </c>
      <c r="X63" s="151"/>
      <c r="Y63" s="156">
        <v>0</v>
      </c>
      <c r="Z63" s="212">
        <f t="shared" si="4"/>
        <v>0</v>
      </c>
      <c r="AA63" s="151"/>
    </row>
    <row r="64" spans="3:27" ht="17.25" hidden="1" x14ac:dyDescent="0.3">
      <c r="C64" s="151" t="s">
        <v>230</v>
      </c>
      <c r="D64" s="151"/>
      <c r="E64" s="151"/>
      <c r="F64" s="151"/>
      <c r="G64" s="151"/>
      <c r="H64" s="151"/>
      <c r="I64" s="151"/>
      <c r="J64" s="151"/>
      <c r="K64" s="151"/>
      <c r="L64" s="151"/>
      <c r="M64" s="151"/>
      <c r="N64" s="151"/>
      <c r="O64" s="151"/>
      <c r="P64" s="156">
        <v>0</v>
      </c>
      <c r="Q64" s="212">
        <f t="shared" si="3"/>
        <v>0</v>
      </c>
      <c r="R64" s="68"/>
      <c r="S64" s="156">
        <v>0</v>
      </c>
      <c r="T64" s="156">
        <v>0</v>
      </c>
      <c r="U64" s="156">
        <v>0</v>
      </c>
      <c r="V64" s="151"/>
      <c r="W64" s="156">
        <v>0</v>
      </c>
      <c r="X64" s="151"/>
      <c r="Y64" s="156">
        <v>0</v>
      </c>
      <c r="Z64" s="212">
        <f t="shared" si="4"/>
        <v>0</v>
      </c>
      <c r="AA64" s="151"/>
    </row>
    <row r="65" spans="3:27" ht="17.25" hidden="1" x14ac:dyDescent="0.3">
      <c r="C65" s="151" t="s">
        <v>231</v>
      </c>
      <c r="D65" s="151"/>
      <c r="E65" s="151"/>
      <c r="F65" s="151"/>
      <c r="G65" s="151"/>
      <c r="H65" s="151"/>
      <c r="I65" s="151"/>
      <c r="J65" s="151"/>
      <c r="K65" s="151"/>
      <c r="L65" s="151"/>
      <c r="M65" s="151"/>
      <c r="N65" s="151"/>
      <c r="O65" s="151"/>
      <c r="P65" s="156">
        <v>0</v>
      </c>
      <c r="Q65" s="212">
        <f t="shared" si="3"/>
        <v>0</v>
      </c>
      <c r="R65" s="68"/>
      <c r="S65" s="156">
        <v>0</v>
      </c>
      <c r="T65" s="156">
        <v>0</v>
      </c>
      <c r="U65" s="156">
        <v>0</v>
      </c>
      <c r="V65" s="151"/>
      <c r="W65" s="156">
        <v>0</v>
      </c>
      <c r="X65" s="151"/>
      <c r="Y65" s="156">
        <v>0</v>
      </c>
      <c r="Z65" s="212">
        <f t="shared" si="4"/>
        <v>0</v>
      </c>
      <c r="AA65" s="151"/>
    </row>
    <row r="66" spans="3:27" ht="17.25" hidden="1" x14ac:dyDescent="0.3">
      <c r="C66" s="151" t="s">
        <v>232</v>
      </c>
      <c r="D66" s="151"/>
      <c r="E66" s="151"/>
      <c r="F66" s="151"/>
      <c r="G66" s="151"/>
      <c r="H66" s="151"/>
      <c r="I66" s="151"/>
      <c r="J66" s="151"/>
      <c r="K66" s="151"/>
      <c r="L66" s="151"/>
      <c r="M66" s="151"/>
      <c r="N66" s="151"/>
      <c r="O66" s="151"/>
      <c r="P66" s="156">
        <v>0</v>
      </c>
      <c r="Q66" s="212">
        <f>$E66*$P66</f>
        <v>0</v>
      </c>
      <c r="R66" s="68"/>
      <c r="S66" s="156">
        <v>0</v>
      </c>
      <c r="T66" s="156">
        <v>0</v>
      </c>
      <c r="U66" s="156">
        <v>0</v>
      </c>
      <c r="V66" s="151"/>
      <c r="W66" s="156">
        <v>0</v>
      </c>
      <c r="X66" s="151"/>
      <c r="Y66" s="156">
        <v>0</v>
      </c>
      <c r="Z66" s="212">
        <f t="shared" si="4"/>
        <v>0</v>
      </c>
      <c r="AA66" s="151"/>
    </row>
    <row r="67" spans="3:27" ht="17.25" hidden="1" x14ac:dyDescent="0.3">
      <c r="C67" s="151" t="s">
        <v>233</v>
      </c>
      <c r="D67" s="151"/>
      <c r="E67" s="151"/>
      <c r="F67" s="151"/>
      <c r="G67" s="151"/>
      <c r="H67" s="151"/>
      <c r="I67" s="151"/>
      <c r="J67" s="151"/>
      <c r="K67" s="151"/>
      <c r="L67" s="151"/>
      <c r="M67" s="151"/>
      <c r="N67" s="151"/>
      <c r="O67" s="151"/>
      <c r="P67" s="156">
        <v>0</v>
      </c>
      <c r="Q67" s="212">
        <f t="shared" ref="Q67:Q85" si="5">$E67*$P67</f>
        <v>0</v>
      </c>
      <c r="R67" s="68"/>
      <c r="S67" s="156">
        <v>0</v>
      </c>
      <c r="T67" s="156">
        <v>0</v>
      </c>
      <c r="U67" s="156">
        <v>0</v>
      </c>
      <c r="V67" s="151"/>
      <c r="W67" s="156">
        <v>0</v>
      </c>
      <c r="X67" s="151"/>
      <c r="Y67" s="156">
        <v>0</v>
      </c>
      <c r="Z67" s="212">
        <f t="shared" si="4"/>
        <v>0</v>
      </c>
      <c r="AA67" s="151"/>
    </row>
    <row r="68" spans="3:27" ht="17.25" hidden="1" x14ac:dyDescent="0.3">
      <c r="C68" s="151" t="s">
        <v>234</v>
      </c>
      <c r="D68" s="151"/>
      <c r="E68" s="151"/>
      <c r="F68" s="151"/>
      <c r="G68" s="151"/>
      <c r="H68" s="151"/>
      <c r="I68" s="151"/>
      <c r="J68" s="151"/>
      <c r="K68" s="151"/>
      <c r="L68" s="151"/>
      <c r="M68" s="151"/>
      <c r="N68" s="151"/>
      <c r="O68" s="151"/>
      <c r="P68" s="156">
        <v>0</v>
      </c>
      <c r="Q68" s="212">
        <f t="shared" si="5"/>
        <v>0</v>
      </c>
      <c r="R68" s="68"/>
      <c r="S68" s="156">
        <v>0</v>
      </c>
      <c r="T68" s="156">
        <v>0</v>
      </c>
      <c r="U68" s="156">
        <v>0</v>
      </c>
      <c r="V68" s="151"/>
      <c r="W68" s="156">
        <v>0</v>
      </c>
      <c r="X68" s="151"/>
      <c r="Y68" s="156">
        <v>0</v>
      </c>
      <c r="Z68" s="212">
        <f t="shared" si="4"/>
        <v>0</v>
      </c>
      <c r="AA68" s="151"/>
    </row>
    <row r="69" spans="3:27" ht="17.25" hidden="1" x14ac:dyDescent="0.3">
      <c r="C69" s="151" t="s">
        <v>235</v>
      </c>
      <c r="D69" s="151"/>
      <c r="E69" s="151"/>
      <c r="F69" s="151"/>
      <c r="G69" s="151"/>
      <c r="H69" s="151"/>
      <c r="I69" s="151"/>
      <c r="J69" s="151"/>
      <c r="K69" s="151"/>
      <c r="L69" s="151"/>
      <c r="M69" s="151"/>
      <c r="N69" s="151"/>
      <c r="O69" s="151"/>
      <c r="P69" s="156">
        <v>0</v>
      </c>
      <c r="Q69" s="212">
        <f t="shared" si="5"/>
        <v>0</v>
      </c>
      <c r="R69" s="68"/>
      <c r="S69" s="156">
        <v>0</v>
      </c>
      <c r="T69" s="156">
        <v>0</v>
      </c>
      <c r="U69" s="156">
        <v>0</v>
      </c>
      <c r="V69" s="151"/>
      <c r="W69" s="156">
        <v>0</v>
      </c>
      <c r="X69" s="151"/>
      <c r="Y69" s="156">
        <v>0</v>
      </c>
      <c r="Z69" s="212">
        <f t="shared" si="4"/>
        <v>0</v>
      </c>
      <c r="AA69" s="151"/>
    </row>
    <row r="70" spans="3:27" ht="17.25" hidden="1" x14ac:dyDescent="0.3">
      <c r="C70" s="151" t="s">
        <v>236</v>
      </c>
      <c r="D70" s="151"/>
      <c r="E70" s="151"/>
      <c r="F70" s="151"/>
      <c r="G70" s="151"/>
      <c r="H70" s="151"/>
      <c r="I70" s="151"/>
      <c r="J70" s="151"/>
      <c r="K70" s="151"/>
      <c r="L70" s="151"/>
      <c r="M70" s="151"/>
      <c r="N70" s="151"/>
      <c r="O70" s="151"/>
      <c r="P70" s="156">
        <v>0</v>
      </c>
      <c r="Q70" s="212">
        <f t="shared" si="5"/>
        <v>0</v>
      </c>
      <c r="R70" s="68"/>
      <c r="S70" s="156">
        <v>0</v>
      </c>
      <c r="T70" s="156">
        <v>0</v>
      </c>
      <c r="U70" s="156">
        <v>0</v>
      </c>
      <c r="V70" s="151"/>
      <c r="W70" s="156">
        <v>0</v>
      </c>
      <c r="X70" s="151"/>
      <c r="Y70" s="156">
        <v>0</v>
      </c>
      <c r="Z70" s="212">
        <f t="shared" si="4"/>
        <v>0</v>
      </c>
      <c r="AA70" s="151"/>
    </row>
    <row r="71" spans="3:27" ht="17.25" hidden="1" x14ac:dyDescent="0.3">
      <c r="C71" s="151" t="s">
        <v>237</v>
      </c>
      <c r="D71" s="151"/>
      <c r="E71" s="151"/>
      <c r="F71" s="151"/>
      <c r="G71" s="151"/>
      <c r="H71" s="151"/>
      <c r="I71" s="151"/>
      <c r="J71" s="151"/>
      <c r="K71" s="151"/>
      <c r="L71" s="151"/>
      <c r="M71" s="151"/>
      <c r="N71" s="151"/>
      <c r="O71" s="151"/>
      <c r="P71" s="156">
        <v>0</v>
      </c>
      <c r="Q71" s="212">
        <f t="shared" si="5"/>
        <v>0</v>
      </c>
      <c r="R71" s="68"/>
      <c r="S71" s="156">
        <v>0</v>
      </c>
      <c r="T71" s="156">
        <v>0</v>
      </c>
      <c r="U71" s="156">
        <v>0</v>
      </c>
      <c r="V71" s="151"/>
      <c r="W71" s="156">
        <v>0</v>
      </c>
      <c r="X71" s="151"/>
      <c r="Y71" s="156">
        <v>0</v>
      </c>
      <c r="Z71" s="212">
        <f t="shared" si="4"/>
        <v>0</v>
      </c>
      <c r="AA71" s="151"/>
    </row>
    <row r="72" spans="3:27" ht="17.25" hidden="1" x14ac:dyDescent="0.3">
      <c r="C72" s="151" t="s">
        <v>238</v>
      </c>
      <c r="D72" s="151"/>
      <c r="E72" s="151"/>
      <c r="F72" s="151"/>
      <c r="G72" s="151"/>
      <c r="H72" s="151"/>
      <c r="I72" s="151"/>
      <c r="J72" s="151"/>
      <c r="K72" s="151"/>
      <c r="L72" s="151"/>
      <c r="M72" s="151"/>
      <c r="N72" s="151"/>
      <c r="O72" s="151"/>
      <c r="P72" s="156">
        <v>0</v>
      </c>
      <c r="Q72" s="212">
        <f t="shared" si="5"/>
        <v>0</v>
      </c>
      <c r="R72" s="68"/>
      <c r="S72" s="156">
        <v>0</v>
      </c>
      <c r="T72" s="156">
        <v>0</v>
      </c>
      <c r="U72" s="156">
        <v>0</v>
      </c>
      <c r="V72" s="151"/>
      <c r="W72" s="156">
        <v>0</v>
      </c>
      <c r="X72" s="151"/>
      <c r="Y72" s="156">
        <v>0</v>
      </c>
      <c r="Z72" s="212">
        <f t="shared" si="4"/>
        <v>0</v>
      </c>
      <c r="AA72" s="151"/>
    </row>
    <row r="73" spans="3:27" ht="17.25" hidden="1" x14ac:dyDescent="0.3">
      <c r="C73" s="151" t="s">
        <v>239</v>
      </c>
      <c r="D73" s="151"/>
      <c r="E73" s="151"/>
      <c r="F73" s="151"/>
      <c r="G73" s="151"/>
      <c r="H73" s="151"/>
      <c r="I73" s="151"/>
      <c r="J73" s="151"/>
      <c r="K73" s="151"/>
      <c r="L73" s="151"/>
      <c r="M73" s="151"/>
      <c r="N73" s="151"/>
      <c r="O73" s="151"/>
      <c r="P73" s="156">
        <v>0</v>
      </c>
      <c r="Q73" s="212">
        <f>$E73*$P73</f>
        <v>0</v>
      </c>
      <c r="R73" s="68"/>
      <c r="S73" s="156">
        <v>0</v>
      </c>
      <c r="T73" s="156">
        <v>0</v>
      </c>
      <c r="U73" s="156">
        <v>0</v>
      </c>
      <c r="V73" s="151"/>
      <c r="W73" s="156">
        <v>0</v>
      </c>
      <c r="X73" s="151"/>
      <c r="Y73" s="156">
        <v>0</v>
      </c>
      <c r="Z73" s="212">
        <f t="shared" si="4"/>
        <v>0</v>
      </c>
      <c r="AA73" s="151"/>
    </row>
    <row r="74" spans="3:27" ht="17.25" hidden="1" x14ac:dyDescent="0.3">
      <c r="C74" s="151" t="s">
        <v>240</v>
      </c>
      <c r="D74" s="151"/>
      <c r="E74" s="151"/>
      <c r="F74" s="151"/>
      <c r="G74" s="151"/>
      <c r="H74" s="151"/>
      <c r="I74" s="151"/>
      <c r="J74" s="151"/>
      <c r="K74" s="151"/>
      <c r="L74" s="151"/>
      <c r="M74" s="151"/>
      <c r="N74" s="151"/>
      <c r="O74" s="151"/>
      <c r="P74" s="156">
        <v>0</v>
      </c>
      <c r="Q74" s="212">
        <f t="shared" si="5"/>
        <v>0</v>
      </c>
      <c r="R74" s="68"/>
      <c r="S74" s="156">
        <v>0</v>
      </c>
      <c r="T74" s="156">
        <v>0</v>
      </c>
      <c r="U74" s="156">
        <v>0</v>
      </c>
      <c r="V74" s="151"/>
      <c r="W74" s="156">
        <v>0</v>
      </c>
      <c r="X74" s="151"/>
      <c r="Y74" s="156">
        <v>0</v>
      </c>
      <c r="Z74" s="212">
        <f t="shared" si="4"/>
        <v>0</v>
      </c>
      <c r="AA74" s="151"/>
    </row>
    <row r="75" spans="3:27" ht="17.25" hidden="1" x14ac:dyDescent="0.3">
      <c r="C75" s="151" t="s">
        <v>241</v>
      </c>
      <c r="D75" s="151"/>
      <c r="E75" s="151"/>
      <c r="F75" s="151"/>
      <c r="G75" s="151"/>
      <c r="H75" s="151"/>
      <c r="I75" s="151"/>
      <c r="J75" s="151"/>
      <c r="K75" s="151"/>
      <c r="L75" s="151"/>
      <c r="M75" s="151"/>
      <c r="N75" s="151"/>
      <c r="O75" s="151"/>
      <c r="P75" s="156">
        <v>0</v>
      </c>
      <c r="Q75" s="212">
        <f t="shared" si="5"/>
        <v>0</v>
      </c>
      <c r="R75" s="68"/>
      <c r="S75" s="156">
        <v>0</v>
      </c>
      <c r="T75" s="156">
        <v>0</v>
      </c>
      <c r="U75" s="156">
        <v>0</v>
      </c>
      <c r="V75" s="151"/>
      <c r="W75" s="156">
        <v>0</v>
      </c>
      <c r="X75" s="151"/>
      <c r="Y75" s="156">
        <v>0</v>
      </c>
      <c r="Z75" s="212">
        <f>Q75-SUM(S75:U75, W75,Y75)</f>
        <v>0</v>
      </c>
      <c r="AA75" s="151"/>
    </row>
    <row r="76" spans="3:27" ht="17.25" hidden="1" x14ac:dyDescent="0.3">
      <c r="C76" s="151" t="s">
        <v>242</v>
      </c>
      <c r="D76" s="151"/>
      <c r="E76" s="151"/>
      <c r="F76" s="151"/>
      <c r="G76" s="151"/>
      <c r="H76" s="151"/>
      <c r="I76" s="151"/>
      <c r="J76" s="151"/>
      <c r="K76" s="151"/>
      <c r="L76" s="151"/>
      <c r="M76" s="151"/>
      <c r="N76" s="151"/>
      <c r="O76" s="151"/>
      <c r="P76" s="156">
        <v>0</v>
      </c>
      <c r="Q76" s="212">
        <f>$E76*$P76</f>
        <v>0</v>
      </c>
      <c r="R76" s="68"/>
      <c r="S76" s="156">
        <v>0</v>
      </c>
      <c r="T76" s="156">
        <v>0</v>
      </c>
      <c r="U76" s="156">
        <v>0</v>
      </c>
      <c r="V76" s="151"/>
      <c r="W76" s="156">
        <v>0</v>
      </c>
      <c r="X76" s="151"/>
      <c r="Y76" s="156">
        <v>0</v>
      </c>
      <c r="Z76" s="212">
        <f>Q76-SUM(S76:U76, W76,Y76)</f>
        <v>0</v>
      </c>
      <c r="AA76" s="151"/>
    </row>
    <row r="77" spans="3:27" ht="17.25" hidden="1" x14ac:dyDescent="0.3">
      <c r="C77" s="151" t="s">
        <v>243</v>
      </c>
      <c r="D77" s="151"/>
      <c r="E77" s="151"/>
      <c r="F77" s="151"/>
      <c r="G77" s="151"/>
      <c r="H77" s="151"/>
      <c r="I77" s="151"/>
      <c r="J77" s="151"/>
      <c r="K77" s="151"/>
      <c r="L77" s="151"/>
      <c r="M77" s="151"/>
      <c r="N77" s="151"/>
      <c r="O77" s="151"/>
      <c r="P77" s="156">
        <v>0</v>
      </c>
      <c r="Q77" s="212">
        <f t="shared" si="5"/>
        <v>0</v>
      </c>
      <c r="R77" s="68"/>
      <c r="S77" s="156">
        <v>0</v>
      </c>
      <c r="T77" s="156">
        <v>0</v>
      </c>
      <c r="U77" s="156">
        <v>0</v>
      </c>
      <c r="V77" s="151"/>
      <c r="W77" s="156">
        <v>0</v>
      </c>
      <c r="X77" s="151"/>
      <c r="Y77" s="156">
        <v>0</v>
      </c>
      <c r="Z77" s="212">
        <f t="shared" si="4"/>
        <v>0</v>
      </c>
      <c r="AA77" s="151"/>
    </row>
    <row r="78" spans="3:27" ht="17.25" hidden="1" x14ac:dyDescent="0.3">
      <c r="C78" s="151" t="s">
        <v>244</v>
      </c>
      <c r="D78" s="151"/>
      <c r="E78" s="151"/>
      <c r="F78" s="151"/>
      <c r="G78" s="151"/>
      <c r="H78" s="151"/>
      <c r="I78" s="151"/>
      <c r="J78" s="151"/>
      <c r="K78" s="151"/>
      <c r="L78" s="151"/>
      <c r="M78" s="151"/>
      <c r="N78" s="151"/>
      <c r="O78" s="151"/>
      <c r="P78" s="156">
        <v>0</v>
      </c>
      <c r="Q78" s="212">
        <f t="shared" si="5"/>
        <v>0</v>
      </c>
      <c r="R78" s="68"/>
      <c r="S78" s="156">
        <v>0</v>
      </c>
      <c r="T78" s="156">
        <v>0</v>
      </c>
      <c r="U78" s="156">
        <v>0</v>
      </c>
      <c r="V78" s="151"/>
      <c r="W78" s="156">
        <v>0</v>
      </c>
      <c r="X78" s="151"/>
      <c r="Y78" s="156">
        <v>0</v>
      </c>
      <c r="Z78" s="212">
        <f t="shared" si="4"/>
        <v>0</v>
      </c>
      <c r="AA78" s="151"/>
    </row>
    <row r="79" spans="3:27" ht="17.25" hidden="1" x14ac:dyDescent="0.3">
      <c r="C79" s="151" t="s">
        <v>245</v>
      </c>
      <c r="D79" s="151"/>
      <c r="E79" s="151"/>
      <c r="F79" s="151"/>
      <c r="G79" s="151"/>
      <c r="H79" s="151"/>
      <c r="I79" s="151"/>
      <c r="J79" s="151"/>
      <c r="K79" s="151"/>
      <c r="L79" s="151"/>
      <c r="M79" s="151"/>
      <c r="N79" s="151"/>
      <c r="O79" s="151"/>
      <c r="P79" s="156">
        <v>0</v>
      </c>
      <c r="Q79" s="212">
        <f t="shared" si="5"/>
        <v>0</v>
      </c>
      <c r="R79" s="68"/>
      <c r="S79" s="156">
        <v>0</v>
      </c>
      <c r="T79" s="156">
        <v>0</v>
      </c>
      <c r="U79" s="156">
        <v>0</v>
      </c>
      <c r="V79" s="151"/>
      <c r="W79" s="156">
        <v>0</v>
      </c>
      <c r="X79" s="151"/>
      <c r="Y79" s="156">
        <v>0</v>
      </c>
      <c r="Z79" s="212">
        <f t="shared" si="4"/>
        <v>0</v>
      </c>
      <c r="AA79" s="151"/>
    </row>
    <row r="80" spans="3:27" ht="17.25" hidden="1" x14ac:dyDescent="0.3">
      <c r="C80" s="151" t="s">
        <v>246</v>
      </c>
      <c r="D80" s="151"/>
      <c r="E80" s="151"/>
      <c r="F80" s="151"/>
      <c r="G80" s="151"/>
      <c r="H80" s="151"/>
      <c r="I80" s="151"/>
      <c r="J80" s="151"/>
      <c r="K80" s="151"/>
      <c r="L80" s="151"/>
      <c r="M80" s="151"/>
      <c r="N80" s="151"/>
      <c r="O80" s="151"/>
      <c r="P80" s="156">
        <v>0</v>
      </c>
      <c r="Q80" s="212">
        <f t="shared" si="5"/>
        <v>0</v>
      </c>
      <c r="R80" s="68"/>
      <c r="S80" s="156">
        <v>0</v>
      </c>
      <c r="T80" s="156">
        <v>0</v>
      </c>
      <c r="U80" s="156">
        <v>0</v>
      </c>
      <c r="V80" s="151"/>
      <c r="W80" s="156">
        <v>0</v>
      </c>
      <c r="X80" s="151"/>
      <c r="Y80" s="156">
        <v>0</v>
      </c>
      <c r="Z80" s="212">
        <f t="shared" si="4"/>
        <v>0</v>
      </c>
      <c r="AA80" s="151"/>
    </row>
    <row r="81" spans="3:27" ht="17.25" hidden="1" x14ac:dyDescent="0.3">
      <c r="C81" s="151" t="s">
        <v>247</v>
      </c>
      <c r="D81" s="151"/>
      <c r="E81" s="151"/>
      <c r="F81" s="151"/>
      <c r="G81" s="151"/>
      <c r="H81" s="151"/>
      <c r="I81" s="151"/>
      <c r="J81" s="151"/>
      <c r="K81" s="151"/>
      <c r="L81" s="151"/>
      <c r="M81" s="151"/>
      <c r="N81" s="151"/>
      <c r="O81" s="151"/>
      <c r="P81" s="156">
        <v>0</v>
      </c>
      <c r="Q81" s="212">
        <f t="shared" si="5"/>
        <v>0</v>
      </c>
      <c r="R81" s="68"/>
      <c r="S81" s="156">
        <v>0</v>
      </c>
      <c r="T81" s="156">
        <v>0</v>
      </c>
      <c r="U81" s="156">
        <v>0</v>
      </c>
      <c r="V81" s="151"/>
      <c r="W81" s="156">
        <v>0</v>
      </c>
      <c r="X81" s="151"/>
      <c r="Y81" s="156">
        <v>0</v>
      </c>
      <c r="Z81" s="212">
        <f t="shared" si="4"/>
        <v>0</v>
      </c>
      <c r="AA81" s="151"/>
    </row>
    <row r="82" spans="3:27" ht="17.25" hidden="1" x14ac:dyDescent="0.3">
      <c r="C82" s="151" t="s">
        <v>248</v>
      </c>
      <c r="D82" s="151"/>
      <c r="E82" s="151"/>
      <c r="F82" s="151"/>
      <c r="G82" s="151"/>
      <c r="H82" s="151"/>
      <c r="I82" s="151"/>
      <c r="J82" s="151"/>
      <c r="K82" s="151"/>
      <c r="L82" s="151"/>
      <c r="M82" s="151"/>
      <c r="N82" s="151"/>
      <c r="O82" s="151"/>
      <c r="P82" s="156">
        <v>0</v>
      </c>
      <c r="Q82" s="212">
        <f t="shared" si="5"/>
        <v>0</v>
      </c>
      <c r="R82" s="68"/>
      <c r="S82" s="156">
        <v>0</v>
      </c>
      <c r="T82" s="156">
        <v>0</v>
      </c>
      <c r="U82" s="156">
        <v>0</v>
      </c>
      <c r="V82" s="151"/>
      <c r="W82" s="156">
        <v>0</v>
      </c>
      <c r="X82" s="151"/>
      <c r="Y82" s="156">
        <v>0</v>
      </c>
      <c r="Z82" s="212">
        <f t="shared" si="4"/>
        <v>0</v>
      </c>
      <c r="AA82" s="151"/>
    </row>
    <row r="83" spans="3:27" ht="17.25" hidden="1" x14ac:dyDescent="0.3">
      <c r="C83" s="151" t="s">
        <v>249</v>
      </c>
      <c r="D83" s="151"/>
      <c r="E83" s="151"/>
      <c r="F83" s="151"/>
      <c r="G83" s="151"/>
      <c r="H83" s="151"/>
      <c r="I83" s="151"/>
      <c r="J83" s="151"/>
      <c r="K83" s="151"/>
      <c r="L83" s="151"/>
      <c r="M83" s="151"/>
      <c r="N83" s="151"/>
      <c r="O83" s="151"/>
      <c r="P83" s="156">
        <v>0</v>
      </c>
      <c r="Q83" s="212">
        <f t="shared" si="5"/>
        <v>0</v>
      </c>
      <c r="R83" s="68"/>
      <c r="S83" s="156">
        <v>0</v>
      </c>
      <c r="T83" s="156">
        <v>0</v>
      </c>
      <c r="U83" s="156">
        <v>0</v>
      </c>
      <c r="V83" s="151"/>
      <c r="W83" s="156">
        <v>0</v>
      </c>
      <c r="X83" s="151"/>
      <c r="Y83" s="156">
        <v>0</v>
      </c>
      <c r="Z83" s="212">
        <f t="shared" si="4"/>
        <v>0</v>
      </c>
      <c r="AA83" s="151"/>
    </row>
    <row r="84" spans="3:27" ht="17.25" hidden="1" x14ac:dyDescent="0.3">
      <c r="C84" s="151" t="s">
        <v>250</v>
      </c>
      <c r="D84" s="151"/>
      <c r="E84" s="151"/>
      <c r="F84" s="151"/>
      <c r="G84" s="151"/>
      <c r="H84" s="151"/>
      <c r="I84" s="151"/>
      <c r="J84" s="151"/>
      <c r="K84" s="151"/>
      <c r="L84" s="151"/>
      <c r="M84" s="151"/>
      <c r="N84" s="151"/>
      <c r="O84" s="151"/>
      <c r="P84" s="156">
        <v>0</v>
      </c>
      <c r="Q84" s="212">
        <f>$E84*$P84</f>
        <v>0</v>
      </c>
      <c r="R84" s="68"/>
      <c r="S84" s="156">
        <v>0</v>
      </c>
      <c r="T84" s="156">
        <v>0</v>
      </c>
      <c r="U84" s="156">
        <v>0</v>
      </c>
      <c r="V84" s="151"/>
      <c r="W84" s="156">
        <v>0</v>
      </c>
      <c r="X84" s="151"/>
      <c r="Y84" s="156">
        <v>0</v>
      </c>
      <c r="Z84" s="212">
        <f>Q84-SUM(S84:U84, W84,Y84)</f>
        <v>0</v>
      </c>
      <c r="AA84" s="151"/>
    </row>
    <row r="85" spans="3:27" ht="17.25" hidden="1" x14ac:dyDescent="0.3">
      <c r="C85" s="151" t="s">
        <v>251</v>
      </c>
      <c r="D85" s="151"/>
      <c r="E85" s="151"/>
      <c r="F85" s="151"/>
      <c r="G85" s="151"/>
      <c r="H85" s="151"/>
      <c r="I85" s="151"/>
      <c r="J85" s="151"/>
      <c r="K85" s="151"/>
      <c r="L85" s="151"/>
      <c r="M85" s="151"/>
      <c r="N85" s="151"/>
      <c r="O85" s="151"/>
      <c r="P85" s="156">
        <v>0</v>
      </c>
      <c r="Q85" s="212">
        <f t="shared" si="5"/>
        <v>0</v>
      </c>
      <c r="R85" s="68"/>
      <c r="S85" s="156">
        <v>0</v>
      </c>
      <c r="T85" s="156">
        <v>0</v>
      </c>
      <c r="U85" s="156">
        <v>0</v>
      </c>
      <c r="V85" s="151"/>
      <c r="W85" s="156">
        <v>0</v>
      </c>
      <c r="X85" s="151"/>
      <c r="Y85" s="156">
        <v>0</v>
      </c>
      <c r="Z85" s="212">
        <f t="shared" si="4"/>
        <v>0</v>
      </c>
      <c r="AA85" s="151"/>
    </row>
    <row r="86" spans="3:27" x14ac:dyDescent="0.25">
      <c r="C86" s="855" t="s">
        <v>133</v>
      </c>
      <c r="D86" s="982"/>
      <c r="E86" s="253"/>
      <c r="F86" s="159"/>
      <c r="G86" s="159"/>
      <c r="H86" s="159"/>
      <c r="I86" s="159"/>
      <c r="J86" s="159"/>
      <c r="K86" s="159"/>
      <c r="L86" s="159"/>
      <c r="M86" s="159"/>
      <c r="N86" s="159"/>
      <c r="O86" s="159"/>
      <c r="P86" s="159"/>
      <c r="Q86" s="214">
        <f>SUM(Q56:Q85)</f>
        <v>0</v>
      </c>
      <c r="R86" s="158"/>
      <c r="S86" s="239">
        <f>SUM(S56:S85)</f>
        <v>0</v>
      </c>
      <c r="T86" s="214">
        <f>SUM(T56:T85)</f>
        <v>0</v>
      </c>
      <c r="U86" s="214">
        <f>SUM(U56:U85)</f>
        <v>0</v>
      </c>
      <c r="V86" s="834">
        <f>SUM(W56:W85,Y56:Y85)</f>
        <v>0</v>
      </c>
      <c r="W86" s="835"/>
      <c r="X86" s="835"/>
      <c r="Y86" s="836"/>
      <c r="Z86" s="214">
        <f>SUM(Z56:Z85)</f>
        <v>0</v>
      </c>
      <c r="AA86" s="151"/>
    </row>
    <row r="88" spans="3:27" x14ac:dyDescent="0.25">
      <c r="C88" s="789" t="s">
        <v>35</v>
      </c>
      <c r="D88" s="789" t="s">
        <v>34</v>
      </c>
      <c r="E88" s="766" t="s">
        <v>315</v>
      </c>
      <c r="F88" s="769" t="s">
        <v>110</v>
      </c>
      <c r="G88" s="789" t="s">
        <v>96</v>
      </c>
      <c r="H88" s="789" t="s">
        <v>99</v>
      </c>
      <c r="I88" s="789" t="s">
        <v>189</v>
      </c>
      <c r="J88" s="766" t="s">
        <v>188</v>
      </c>
      <c r="K88" s="766"/>
      <c r="L88" s="766"/>
      <c r="M88" s="766"/>
      <c r="N88" s="769" t="s">
        <v>519</v>
      </c>
      <c r="O88" s="769" t="s">
        <v>520</v>
      </c>
      <c r="P88" s="769" t="s">
        <v>187</v>
      </c>
      <c r="Q88" s="789" t="s">
        <v>190</v>
      </c>
      <c r="R88" s="789" t="s">
        <v>191</v>
      </c>
      <c r="S88" s="767" t="s">
        <v>53</v>
      </c>
      <c r="T88" s="942"/>
      <c r="U88" s="942"/>
      <c r="V88" s="942"/>
      <c r="W88" s="942"/>
      <c r="X88" s="942"/>
      <c r="Y88" s="768"/>
      <c r="Z88" s="789" t="s">
        <v>415</v>
      </c>
      <c r="AA88" s="789" t="s">
        <v>107</v>
      </c>
    </row>
    <row r="89" spans="3:27" x14ac:dyDescent="0.25">
      <c r="C89" s="789"/>
      <c r="D89" s="789"/>
      <c r="E89" s="766"/>
      <c r="F89" s="956"/>
      <c r="G89" s="789"/>
      <c r="H89" s="789"/>
      <c r="I89" s="789"/>
      <c r="J89" s="766"/>
      <c r="K89" s="766"/>
      <c r="L89" s="766"/>
      <c r="M89" s="766"/>
      <c r="N89" s="956"/>
      <c r="O89" s="956"/>
      <c r="P89" s="956"/>
      <c r="Q89" s="789"/>
      <c r="R89" s="789"/>
      <c r="S89" s="940" t="s">
        <v>54</v>
      </c>
      <c r="T89" s="944"/>
      <c r="U89" s="941"/>
      <c r="V89" s="998" t="s">
        <v>55</v>
      </c>
      <c r="W89" s="998"/>
      <c r="X89" s="998" t="s">
        <v>58</v>
      </c>
      <c r="Y89" s="998"/>
      <c r="Z89" s="789"/>
      <c r="AA89" s="789"/>
    </row>
    <row r="90" spans="3:27" ht="49.5" customHeight="1" x14ac:dyDescent="0.25">
      <c r="C90" s="789"/>
      <c r="D90" s="789"/>
      <c r="E90" s="766"/>
      <c r="F90" s="770"/>
      <c r="G90" s="789"/>
      <c r="H90" s="789"/>
      <c r="I90" s="789"/>
      <c r="J90" s="259" t="s">
        <v>37</v>
      </c>
      <c r="K90" s="259" t="s">
        <v>38</v>
      </c>
      <c r="L90" s="259" t="s">
        <v>39</v>
      </c>
      <c r="M90" s="259" t="s">
        <v>40</v>
      </c>
      <c r="N90" s="770"/>
      <c r="O90" s="770"/>
      <c r="P90" s="770"/>
      <c r="Q90" s="789"/>
      <c r="R90" s="789"/>
      <c r="S90" s="260" t="s">
        <v>62</v>
      </c>
      <c r="T90" s="260" t="s">
        <v>63</v>
      </c>
      <c r="U90" s="260" t="s">
        <v>282</v>
      </c>
      <c r="V90" s="260" t="s">
        <v>56</v>
      </c>
      <c r="W90" s="260" t="s">
        <v>57</v>
      </c>
      <c r="X90" s="260" t="s">
        <v>56</v>
      </c>
      <c r="Y90" s="260" t="s">
        <v>57</v>
      </c>
      <c r="Z90" s="789"/>
      <c r="AA90" s="789"/>
    </row>
    <row r="91" spans="3:27" ht="21" customHeight="1" x14ac:dyDescent="0.25">
      <c r="C91" s="1013" t="s">
        <v>134</v>
      </c>
      <c r="D91" s="1014"/>
      <c r="E91" s="1014"/>
      <c r="F91" s="1014"/>
      <c r="G91" s="1014"/>
      <c r="H91" s="1014"/>
      <c r="I91" s="1015"/>
      <c r="J91" s="264"/>
      <c r="K91" s="264"/>
      <c r="L91" s="264"/>
      <c r="M91" s="264"/>
      <c r="N91" s="264"/>
      <c r="O91" s="264"/>
      <c r="P91" s="264"/>
      <c r="Q91" s="264"/>
      <c r="R91" s="264"/>
      <c r="S91" s="264"/>
      <c r="T91" s="264"/>
      <c r="U91" s="264"/>
      <c r="V91" s="264"/>
      <c r="W91" s="264"/>
      <c r="X91" s="264"/>
      <c r="Y91" s="264"/>
      <c r="Z91" s="264"/>
      <c r="AA91" s="264"/>
    </row>
    <row r="92" spans="3:27" ht="17.25" hidden="1" x14ac:dyDescent="0.3">
      <c r="C92" s="151" t="s">
        <v>252</v>
      </c>
      <c r="D92" s="189" t="s">
        <v>535</v>
      </c>
      <c r="E92" s="151"/>
      <c r="F92" s="151"/>
      <c r="G92" s="151"/>
      <c r="H92" s="151"/>
      <c r="I92" s="151"/>
      <c r="J92" s="151"/>
      <c r="K92" s="151"/>
      <c r="L92" s="151"/>
      <c r="M92" s="151"/>
      <c r="N92" s="151"/>
      <c r="O92" s="151"/>
      <c r="P92" s="156">
        <v>0</v>
      </c>
      <c r="Q92" s="212">
        <f>E92*P92</f>
        <v>0</v>
      </c>
      <c r="R92" s="68"/>
      <c r="S92" s="156">
        <v>0</v>
      </c>
      <c r="T92" s="156">
        <v>0</v>
      </c>
      <c r="U92" s="156">
        <v>0</v>
      </c>
      <c r="V92" s="151"/>
      <c r="W92" s="156">
        <v>0</v>
      </c>
      <c r="X92" s="151"/>
      <c r="Y92" s="156">
        <v>0</v>
      </c>
      <c r="Z92" s="212">
        <f>Q92-SUM(S92:U92, W92,Y92)</f>
        <v>0</v>
      </c>
      <c r="AA92" s="151"/>
    </row>
    <row r="93" spans="3:27" ht="17.25" hidden="1" x14ac:dyDescent="0.3">
      <c r="C93" s="151" t="s">
        <v>253</v>
      </c>
      <c r="D93" s="151"/>
      <c r="E93" s="151"/>
      <c r="F93" s="151"/>
      <c r="G93" s="151"/>
      <c r="H93" s="151"/>
      <c r="I93" s="151"/>
      <c r="J93" s="151"/>
      <c r="K93" s="151"/>
      <c r="L93" s="151"/>
      <c r="M93" s="151"/>
      <c r="N93" s="151"/>
      <c r="O93" s="151"/>
      <c r="P93" s="156">
        <v>0</v>
      </c>
      <c r="Q93" s="212">
        <f t="shared" ref="Q93:Q121" si="6">E93*P93</f>
        <v>0</v>
      </c>
      <c r="R93" s="68"/>
      <c r="S93" s="156">
        <v>0</v>
      </c>
      <c r="T93" s="156">
        <v>0</v>
      </c>
      <c r="U93" s="156">
        <v>0</v>
      </c>
      <c r="V93" s="151"/>
      <c r="W93" s="156">
        <v>0</v>
      </c>
      <c r="X93" s="151"/>
      <c r="Y93" s="156">
        <v>0</v>
      </c>
      <c r="Z93" s="212">
        <f>Q93-SUM(S93:U93, W93,Y93)</f>
        <v>0</v>
      </c>
      <c r="AA93" s="151"/>
    </row>
    <row r="94" spans="3:27" ht="17.25" hidden="1" x14ac:dyDescent="0.3">
      <c r="C94" s="151" t="s">
        <v>254</v>
      </c>
      <c r="D94" s="151"/>
      <c r="E94" s="151"/>
      <c r="F94" s="151"/>
      <c r="G94" s="151"/>
      <c r="H94" s="151"/>
      <c r="I94" s="151"/>
      <c r="J94" s="151"/>
      <c r="K94" s="151"/>
      <c r="L94" s="151"/>
      <c r="M94" s="151"/>
      <c r="N94" s="151"/>
      <c r="O94" s="151"/>
      <c r="P94" s="156">
        <v>0</v>
      </c>
      <c r="Q94" s="212">
        <f t="shared" si="6"/>
        <v>0</v>
      </c>
      <c r="R94" s="68"/>
      <c r="S94" s="156">
        <v>0</v>
      </c>
      <c r="T94" s="156">
        <v>0</v>
      </c>
      <c r="U94" s="156">
        <v>0</v>
      </c>
      <c r="V94" s="151"/>
      <c r="W94" s="156">
        <v>0</v>
      </c>
      <c r="X94" s="151"/>
      <c r="Y94" s="156">
        <v>0</v>
      </c>
      <c r="Z94" s="212">
        <f>Q94-SUM(S94:U94, W94,Y94)</f>
        <v>0</v>
      </c>
      <c r="AA94" s="151"/>
    </row>
    <row r="95" spans="3:27" ht="17.25" hidden="1" x14ac:dyDescent="0.3">
      <c r="C95" s="151" t="s">
        <v>255</v>
      </c>
      <c r="D95" s="151"/>
      <c r="E95" s="151"/>
      <c r="F95" s="151"/>
      <c r="G95" s="151"/>
      <c r="H95" s="151"/>
      <c r="I95" s="151"/>
      <c r="J95" s="151"/>
      <c r="K95" s="151"/>
      <c r="L95" s="151"/>
      <c r="M95" s="151"/>
      <c r="N95" s="151"/>
      <c r="O95" s="151"/>
      <c r="P95" s="156">
        <v>0</v>
      </c>
      <c r="Q95" s="212">
        <f t="shared" si="6"/>
        <v>0</v>
      </c>
      <c r="R95" s="68"/>
      <c r="S95" s="156">
        <v>0</v>
      </c>
      <c r="T95" s="156">
        <v>0</v>
      </c>
      <c r="U95" s="156">
        <v>0</v>
      </c>
      <c r="V95" s="151"/>
      <c r="W95" s="156">
        <v>0</v>
      </c>
      <c r="X95" s="151"/>
      <c r="Y95" s="156">
        <v>0</v>
      </c>
      <c r="Z95" s="212">
        <f t="shared" ref="Z95:Z121" si="7">Q95-SUM(S95:U95, W95,Y95)</f>
        <v>0</v>
      </c>
      <c r="AA95" s="151"/>
    </row>
    <row r="96" spans="3:27" ht="17.25" hidden="1" x14ac:dyDescent="0.3">
      <c r="C96" s="151" t="s">
        <v>256</v>
      </c>
      <c r="D96" s="151"/>
      <c r="E96" s="151"/>
      <c r="F96" s="151"/>
      <c r="G96" s="151"/>
      <c r="H96" s="151"/>
      <c r="I96" s="151"/>
      <c r="J96" s="151"/>
      <c r="K96" s="151"/>
      <c r="L96" s="151"/>
      <c r="M96" s="151"/>
      <c r="N96" s="151"/>
      <c r="O96" s="151"/>
      <c r="P96" s="156">
        <v>0</v>
      </c>
      <c r="Q96" s="212">
        <f t="shared" si="6"/>
        <v>0</v>
      </c>
      <c r="R96" s="68"/>
      <c r="S96" s="156">
        <v>0</v>
      </c>
      <c r="T96" s="156">
        <v>0</v>
      </c>
      <c r="U96" s="156">
        <v>0</v>
      </c>
      <c r="V96" s="151"/>
      <c r="W96" s="156">
        <v>0</v>
      </c>
      <c r="X96" s="151"/>
      <c r="Y96" s="156">
        <v>0</v>
      </c>
      <c r="Z96" s="212">
        <f t="shared" si="7"/>
        <v>0</v>
      </c>
      <c r="AA96" s="151"/>
    </row>
    <row r="97" spans="3:27" ht="17.25" hidden="1" x14ac:dyDescent="0.3">
      <c r="C97" s="151" t="s">
        <v>257</v>
      </c>
      <c r="D97" s="151"/>
      <c r="E97" s="151"/>
      <c r="F97" s="151"/>
      <c r="G97" s="151"/>
      <c r="H97" s="151"/>
      <c r="I97" s="151"/>
      <c r="J97" s="151"/>
      <c r="K97" s="151"/>
      <c r="L97" s="151"/>
      <c r="M97" s="151"/>
      <c r="N97" s="151"/>
      <c r="O97" s="151"/>
      <c r="P97" s="156">
        <v>0</v>
      </c>
      <c r="Q97" s="212">
        <f t="shared" si="6"/>
        <v>0</v>
      </c>
      <c r="R97" s="68"/>
      <c r="S97" s="156">
        <v>0</v>
      </c>
      <c r="T97" s="156">
        <v>0</v>
      </c>
      <c r="U97" s="156">
        <v>0</v>
      </c>
      <c r="V97" s="151"/>
      <c r="W97" s="156">
        <v>0</v>
      </c>
      <c r="X97" s="151"/>
      <c r="Y97" s="156">
        <v>0</v>
      </c>
      <c r="Z97" s="212">
        <f t="shared" si="7"/>
        <v>0</v>
      </c>
      <c r="AA97" s="151"/>
    </row>
    <row r="98" spans="3:27" ht="17.25" hidden="1" x14ac:dyDescent="0.3">
      <c r="C98" s="151" t="s">
        <v>258</v>
      </c>
      <c r="D98" s="151"/>
      <c r="E98" s="151"/>
      <c r="F98" s="151"/>
      <c r="G98" s="151"/>
      <c r="H98" s="151"/>
      <c r="I98" s="151"/>
      <c r="J98" s="151"/>
      <c r="K98" s="151"/>
      <c r="L98" s="151"/>
      <c r="M98" s="151"/>
      <c r="N98" s="151"/>
      <c r="O98" s="151"/>
      <c r="P98" s="156">
        <v>0</v>
      </c>
      <c r="Q98" s="212">
        <f t="shared" si="6"/>
        <v>0</v>
      </c>
      <c r="R98" s="68"/>
      <c r="S98" s="156">
        <v>0</v>
      </c>
      <c r="T98" s="156">
        <v>0</v>
      </c>
      <c r="U98" s="156">
        <v>0</v>
      </c>
      <c r="V98" s="151"/>
      <c r="W98" s="156">
        <v>0</v>
      </c>
      <c r="X98" s="151"/>
      <c r="Y98" s="156">
        <v>0</v>
      </c>
      <c r="Z98" s="212">
        <f t="shared" si="7"/>
        <v>0</v>
      </c>
      <c r="AA98" s="151"/>
    </row>
    <row r="99" spans="3:27" ht="17.25" hidden="1" x14ac:dyDescent="0.3">
      <c r="C99" s="151" t="s">
        <v>259</v>
      </c>
      <c r="D99" s="151"/>
      <c r="E99" s="151"/>
      <c r="F99" s="151"/>
      <c r="G99" s="151"/>
      <c r="H99" s="151"/>
      <c r="I99" s="151"/>
      <c r="J99" s="151"/>
      <c r="K99" s="151"/>
      <c r="L99" s="151"/>
      <c r="M99" s="151"/>
      <c r="N99" s="249"/>
      <c r="O99" s="151"/>
      <c r="P99" s="156">
        <v>0</v>
      </c>
      <c r="Q99" s="212">
        <f t="shared" si="6"/>
        <v>0</v>
      </c>
      <c r="R99" s="68"/>
      <c r="S99" s="156">
        <v>0</v>
      </c>
      <c r="T99" s="156">
        <v>0</v>
      </c>
      <c r="U99" s="156">
        <v>0</v>
      </c>
      <c r="V99" s="151"/>
      <c r="W99" s="156">
        <v>0</v>
      </c>
      <c r="X99" s="151"/>
      <c r="Y99" s="156">
        <v>0</v>
      </c>
      <c r="Z99" s="212">
        <f t="shared" si="7"/>
        <v>0</v>
      </c>
      <c r="AA99" s="151"/>
    </row>
    <row r="100" spans="3:27" ht="17.25" hidden="1" x14ac:dyDescent="0.3">
      <c r="C100" s="151" t="s">
        <v>260</v>
      </c>
      <c r="D100" s="151"/>
      <c r="E100" s="151"/>
      <c r="F100" s="151"/>
      <c r="G100" s="151"/>
      <c r="H100" s="151"/>
      <c r="I100" s="151"/>
      <c r="J100" s="151"/>
      <c r="K100" s="151"/>
      <c r="L100" s="151"/>
      <c r="M100" s="151"/>
      <c r="N100" s="151"/>
      <c r="O100" s="151"/>
      <c r="P100" s="156">
        <v>0</v>
      </c>
      <c r="Q100" s="212">
        <f t="shared" si="6"/>
        <v>0</v>
      </c>
      <c r="R100" s="68"/>
      <c r="S100" s="156">
        <v>0</v>
      </c>
      <c r="T100" s="156">
        <v>0</v>
      </c>
      <c r="U100" s="156">
        <v>0</v>
      </c>
      <c r="V100" s="151"/>
      <c r="W100" s="156">
        <v>0</v>
      </c>
      <c r="X100" s="151"/>
      <c r="Y100" s="156">
        <v>0</v>
      </c>
      <c r="Z100" s="212">
        <f t="shared" si="7"/>
        <v>0</v>
      </c>
      <c r="AA100" s="151"/>
    </row>
    <row r="101" spans="3:27" ht="17.25" hidden="1" x14ac:dyDescent="0.3">
      <c r="C101" s="151" t="s">
        <v>261</v>
      </c>
      <c r="D101" s="151"/>
      <c r="E101" s="151"/>
      <c r="F101" s="151"/>
      <c r="G101" s="151"/>
      <c r="H101" s="151"/>
      <c r="I101" s="151"/>
      <c r="J101" s="151"/>
      <c r="K101" s="151"/>
      <c r="L101" s="151"/>
      <c r="M101" s="151"/>
      <c r="N101" s="151"/>
      <c r="O101" s="151"/>
      <c r="P101" s="156">
        <v>0</v>
      </c>
      <c r="Q101" s="212">
        <f t="shared" si="6"/>
        <v>0</v>
      </c>
      <c r="R101" s="68"/>
      <c r="S101" s="156">
        <v>0</v>
      </c>
      <c r="T101" s="156">
        <v>0</v>
      </c>
      <c r="U101" s="156">
        <v>0</v>
      </c>
      <c r="V101" s="151"/>
      <c r="W101" s="156">
        <v>0</v>
      </c>
      <c r="X101" s="151"/>
      <c r="Y101" s="156">
        <v>0</v>
      </c>
      <c r="Z101" s="212">
        <f t="shared" si="7"/>
        <v>0</v>
      </c>
      <c r="AA101" s="151"/>
    </row>
    <row r="102" spans="3:27" ht="17.25" hidden="1" x14ac:dyDescent="0.3">
      <c r="C102" s="151" t="s">
        <v>262</v>
      </c>
      <c r="D102" s="151"/>
      <c r="E102" s="151"/>
      <c r="F102" s="151"/>
      <c r="G102" s="151"/>
      <c r="H102" s="151"/>
      <c r="I102" s="151"/>
      <c r="J102" s="151"/>
      <c r="K102" s="151"/>
      <c r="L102" s="151"/>
      <c r="M102" s="151"/>
      <c r="N102" s="151"/>
      <c r="O102" s="151"/>
      <c r="P102" s="156">
        <v>0</v>
      </c>
      <c r="Q102" s="212">
        <f t="shared" si="6"/>
        <v>0</v>
      </c>
      <c r="R102" s="68"/>
      <c r="S102" s="156">
        <v>0</v>
      </c>
      <c r="T102" s="156">
        <v>0</v>
      </c>
      <c r="U102" s="156">
        <v>0</v>
      </c>
      <c r="V102" s="151"/>
      <c r="W102" s="156">
        <v>0</v>
      </c>
      <c r="X102" s="151"/>
      <c r="Y102" s="156">
        <v>0</v>
      </c>
      <c r="Z102" s="212">
        <f t="shared" si="7"/>
        <v>0</v>
      </c>
      <c r="AA102" s="151"/>
    </row>
    <row r="103" spans="3:27" ht="17.25" hidden="1" x14ac:dyDescent="0.3">
      <c r="C103" s="151" t="s">
        <v>263</v>
      </c>
      <c r="D103" s="151"/>
      <c r="E103" s="151"/>
      <c r="F103" s="151"/>
      <c r="G103" s="151"/>
      <c r="H103" s="151"/>
      <c r="I103" s="151"/>
      <c r="J103" s="151"/>
      <c r="K103" s="151"/>
      <c r="L103" s="151"/>
      <c r="M103" s="151"/>
      <c r="N103" s="151"/>
      <c r="O103" s="151"/>
      <c r="P103" s="156">
        <v>0</v>
      </c>
      <c r="Q103" s="212">
        <f t="shared" si="6"/>
        <v>0</v>
      </c>
      <c r="R103" s="68"/>
      <c r="S103" s="156">
        <v>0</v>
      </c>
      <c r="T103" s="156">
        <v>0</v>
      </c>
      <c r="U103" s="156">
        <v>0</v>
      </c>
      <c r="V103" s="151"/>
      <c r="W103" s="156">
        <v>0</v>
      </c>
      <c r="X103" s="151"/>
      <c r="Y103" s="156">
        <v>0</v>
      </c>
      <c r="Z103" s="212">
        <f t="shared" si="7"/>
        <v>0</v>
      </c>
      <c r="AA103" s="151"/>
    </row>
    <row r="104" spans="3:27" ht="17.25" hidden="1" x14ac:dyDescent="0.3">
      <c r="C104" s="151" t="s">
        <v>264</v>
      </c>
      <c r="D104" s="151"/>
      <c r="E104" s="151"/>
      <c r="F104" s="151"/>
      <c r="G104" s="151"/>
      <c r="H104" s="151"/>
      <c r="I104" s="151"/>
      <c r="J104" s="151"/>
      <c r="K104" s="151"/>
      <c r="L104" s="151"/>
      <c r="M104" s="151"/>
      <c r="N104" s="151"/>
      <c r="O104" s="151"/>
      <c r="P104" s="156">
        <v>0</v>
      </c>
      <c r="Q104" s="212">
        <f t="shared" si="6"/>
        <v>0</v>
      </c>
      <c r="R104" s="68"/>
      <c r="S104" s="156">
        <v>0</v>
      </c>
      <c r="T104" s="156">
        <v>0</v>
      </c>
      <c r="U104" s="156">
        <v>0</v>
      </c>
      <c r="V104" s="151"/>
      <c r="W104" s="156">
        <v>0</v>
      </c>
      <c r="X104" s="151"/>
      <c r="Y104" s="156">
        <v>0</v>
      </c>
      <c r="Z104" s="212">
        <f t="shared" si="7"/>
        <v>0</v>
      </c>
      <c r="AA104" s="151"/>
    </row>
    <row r="105" spans="3:27" ht="17.25" hidden="1" x14ac:dyDescent="0.3">
      <c r="C105" s="151" t="s">
        <v>265</v>
      </c>
      <c r="D105" s="151"/>
      <c r="E105" s="151"/>
      <c r="F105" s="151"/>
      <c r="G105" s="151"/>
      <c r="H105" s="151"/>
      <c r="I105" s="151"/>
      <c r="J105" s="151"/>
      <c r="K105" s="151"/>
      <c r="L105" s="151"/>
      <c r="M105" s="151"/>
      <c r="N105" s="151"/>
      <c r="O105" s="151"/>
      <c r="P105" s="156">
        <v>0</v>
      </c>
      <c r="Q105" s="212">
        <f t="shared" si="6"/>
        <v>0</v>
      </c>
      <c r="R105" s="68"/>
      <c r="S105" s="156">
        <v>0</v>
      </c>
      <c r="T105" s="156">
        <v>0</v>
      </c>
      <c r="U105" s="156">
        <v>0</v>
      </c>
      <c r="V105" s="151"/>
      <c r="W105" s="156">
        <v>0</v>
      </c>
      <c r="X105" s="151"/>
      <c r="Y105" s="156">
        <v>0</v>
      </c>
      <c r="Z105" s="212">
        <f t="shared" si="7"/>
        <v>0</v>
      </c>
      <c r="AA105" s="151"/>
    </row>
    <row r="106" spans="3:27" ht="17.25" hidden="1" x14ac:dyDescent="0.3">
      <c r="C106" s="151" t="s">
        <v>266</v>
      </c>
      <c r="D106" s="151"/>
      <c r="E106" s="151"/>
      <c r="F106" s="151"/>
      <c r="G106" s="151"/>
      <c r="H106" s="151"/>
      <c r="I106" s="151"/>
      <c r="J106" s="151"/>
      <c r="K106" s="151"/>
      <c r="L106" s="151"/>
      <c r="M106" s="151"/>
      <c r="N106" s="151"/>
      <c r="O106" s="151"/>
      <c r="P106" s="156">
        <v>0</v>
      </c>
      <c r="Q106" s="212">
        <f t="shared" si="6"/>
        <v>0</v>
      </c>
      <c r="R106" s="68"/>
      <c r="S106" s="156">
        <v>0</v>
      </c>
      <c r="T106" s="156">
        <v>0</v>
      </c>
      <c r="U106" s="156">
        <v>0</v>
      </c>
      <c r="V106" s="151"/>
      <c r="W106" s="156">
        <v>0</v>
      </c>
      <c r="X106" s="151"/>
      <c r="Y106" s="156">
        <v>0</v>
      </c>
      <c r="Z106" s="212">
        <f t="shared" si="7"/>
        <v>0</v>
      </c>
      <c r="AA106" s="151"/>
    </row>
    <row r="107" spans="3:27" ht="17.25" hidden="1" x14ac:dyDescent="0.3">
      <c r="C107" s="151" t="s">
        <v>267</v>
      </c>
      <c r="D107" s="151"/>
      <c r="E107" s="151"/>
      <c r="F107" s="151"/>
      <c r="G107" s="151"/>
      <c r="H107" s="151"/>
      <c r="I107" s="151"/>
      <c r="J107" s="151"/>
      <c r="K107" s="151"/>
      <c r="L107" s="151"/>
      <c r="M107" s="151"/>
      <c r="N107" s="151"/>
      <c r="O107" s="151"/>
      <c r="P107" s="156">
        <v>0</v>
      </c>
      <c r="Q107" s="212">
        <f t="shared" si="6"/>
        <v>0</v>
      </c>
      <c r="R107" s="68"/>
      <c r="S107" s="156">
        <v>0</v>
      </c>
      <c r="T107" s="156">
        <v>0</v>
      </c>
      <c r="U107" s="156">
        <v>0</v>
      </c>
      <c r="V107" s="151"/>
      <c r="W107" s="156">
        <v>0</v>
      </c>
      <c r="X107" s="151"/>
      <c r="Y107" s="156">
        <v>0</v>
      </c>
      <c r="Z107" s="212">
        <f t="shared" si="7"/>
        <v>0</v>
      </c>
      <c r="AA107" s="151"/>
    </row>
    <row r="108" spans="3:27" ht="17.25" hidden="1" x14ac:dyDescent="0.3">
      <c r="C108" s="151" t="s">
        <v>268</v>
      </c>
      <c r="D108" s="151"/>
      <c r="E108" s="151"/>
      <c r="F108" s="151"/>
      <c r="G108" s="151"/>
      <c r="H108" s="151"/>
      <c r="I108" s="151"/>
      <c r="J108" s="151"/>
      <c r="K108" s="151"/>
      <c r="L108" s="151"/>
      <c r="M108" s="151"/>
      <c r="N108" s="151"/>
      <c r="O108" s="151"/>
      <c r="P108" s="156">
        <v>0</v>
      </c>
      <c r="Q108" s="212">
        <f t="shared" si="6"/>
        <v>0</v>
      </c>
      <c r="R108" s="68"/>
      <c r="S108" s="156">
        <v>0</v>
      </c>
      <c r="T108" s="156">
        <v>0</v>
      </c>
      <c r="U108" s="156">
        <v>0</v>
      </c>
      <c r="V108" s="151"/>
      <c r="W108" s="156">
        <v>0</v>
      </c>
      <c r="X108" s="151"/>
      <c r="Y108" s="156">
        <v>0</v>
      </c>
      <c r="Z108" s="212">
        <f t="shared" si="7"/>
        <v>0</v>
      </c>
      <c r="AA108" s="151"/>
    </row>
    <row r="109" spans="3:27" ht="17.25" hidden="1" x14ac:dyDescent="0.3">
      <c r="C109" s="151" t="s">
        <v>269</v>
      </c>
      <c r="D109" s="151"/>
      <c r="E109" s="151"/>
      <c r="F109" s="151"/>
      <c r="G109" s="151"/>
      <c r="H109" s="151"/>
      <c r="I109" s="151"/>
      <c r="J109" s="151"/>
      <c r="K109" s="151"/>
      <c r="L109" s="151"/>
      <c r="M109" s="151"/>
      <c r="N109" s="151"/>
      <c r="O109" s="151"/>
      <c r="P109" s="156">
        <v>0</v>
      </c>
      <c r="Q109" s="212">
        <f t="shared" si="6"/>
        <v>0</v>
      </c>
      <c r="R109" s="68"/>
      <c r="S109" s="156">
        <v>0</v>
      </c>
      <c r="T109" s="156">
        <v>0</v>
      </c>
      <c r="U109" s="156">
        <v>0</v>
      </c>
      <c r="V109" s="151"/>
      <c r="W109" s="156">
        <v>0</v>
      </c>
      <c r="X109" s="151"/>
      <c r="Y109" s="156">
        <v>0</v>
      </c>
      <c r="Z109" s="212">
        <f t="shared" si="7"/>
        <v>0</v>
      </c>
      <c r="AA109" s="151"/>
    </row>
    <row r="110" spans="3:27" ht="17.25" hidden="1" x14ac:dyDescent="0.3">
      <c r="C110" s="151" t="s">
        <v>270</v>
      </c>
      <c r="D110" s="151"/>
      <c r="E110" s="151"/>
      <c r="F110" s="151"/>
      <c r="G110" s="151"/>
      <c r="H110" s="151"/>
      <c r="I110" s="151"/>
      <c r="J110" s="151"/>
      <c r="K110" s="151"/>
      <c r="L110" s="151"/>
      <c r="M110" s="151"/>
      <c r="N110" s="151"/>
      <c r="O110" s="151"/>
      <c r="P110" s="156">
        <v>0</v>
      </c>
      <c r="Q110" s="212">
        <f t="shared" si="6"/>
        <v>0</v>
      </c>
      <c r="R110" s="68"/>
      <c r="S110" s="156">
        <v>0</v>
      </c>
      <c r="T110" s="156">
        <v>0</v>
      </c>
      <c r="U110" s="156">
        <v>0</v>
      </c>
      <c r="V110" s="151"/>
      <c r="W110" s="156">
        <v>0</v>
      </c>
      <c r="X110" s="151"/>
      <c r="Y110" s="156">
        <v>0</v>
      </c>
      <c r="Z110" s="212">
        <f t="shared" si="7"/>
        <v>0</v>
      </c>
      <c r="AA110" s="151"/>
    </row>
    <row r="111" spans="3:27" ht="17.25" hidden="1" x14ac:dyDescent="0.3">
      <c r="C111" s="151" t="s">
        <v>271</v>
      </c>
      <c r="D111" s="151"/>
      <c r="E111" s="151"/>
      <c r="F111" s="151"/>
      <c r="G111" s="151"/>
      <c r="H111" s="151"/>
      <c r="I111" s="151"/>
      <c r="J111" s="151"/>
      <c r="K111" s="151"/>
      <c r="L111" s="151"/>
      <c r="M111" s="151"/>
      <c r="N111" s="151"/>
      <c r="O111" s="151"/>
      <c r="P111" s="156">
        <v>0</v>
      </c>
      <c r="Q111" s="212">
        <f t="shared" si="6"/>
        <v>0</v>
      </c>
      <c r="R111" s="68"/>
      <c r="S111" s="156">
        <v>0</v>
      </c>
      <c r="T111" s="156">
        <v>0</v>
      </c>
      <c r="U111" s="156">
        <v>0</v>
      </c>
      <c r="V111" s="151"/>
      <c r="W111" s="156">
        <v>0</v>
      </c>
      <c r="X111" s="151"/>
      <c r="Y111" s="156">
        <v>0</v>
      </c>
      <c r="Z111" s="212">
        <f t="shared" si="7"/>
        <v>0</v>
      </c>
      <c r="AA111" s="151"/>
    </row>
    <row r="112" spans="3:27" ht="17.25" hidden="1" x14ac:dyDescent="0.3">
      <c r="C112" s="151" t="s">
        <v>272</v>
      </c>
      <c r="D112" s="151"/>
      <c r="E112" s="151"/>
      <c r="F112" s="151"/>
      <c r="G112" s="151"/>
      <c r="H112" s="151"/>
      <c r="I112" s="151"/>
      <c r="J112" s="151"/>
      <c r="K112" s="151"/>
      <c r="L112" s="151"/>
      <c r="M112" s="151"/>
      <c r="N112" s="151"/>
      <c r="O112" s="151"/>
      <c r="P112" s="156">
        <v>0</v>
      </c>
      <c r="Q112" s="212">
        <f t="shared" si="6"/>
        <v>0</v>
      </c>
      <c r="R112" s="68"/>
      <c r="S112" s="156">
        <v>0</v>
      </c>
      <c r="T112" s="156">
        <v>0</v>
      </c>
      <c r="U112" s="156">
        <v>0</v>
      </c>
      <c r="V112" s="151"/>
      <c r="W112" s="156">
        <v>0</v>
      </c>
      <c r="X112" s="151"/>
      <c r="Y112" s="156">
        <v>0</v>
      </c>
      <c r="Z112" s="212">
        <f t="shared" si="7"/>
        <v>0</v>
      </c>
      <c r="AA112" s="151"/>
    </row>
    <row r="113" spans="3:27" ht="17.25" hidden="1" x14ac:dyDescent="0.3">
      <c r="C113" s="151" t="s">
        <v>273</v>
      </c>
      <c r="D113" s="151"/>
      <c r="E113" s="151"/>
      <c r="F113" s="151"/>
      <c r="G113" s="151"/>
      <c r="H113" s="151"/>
      <c r="I113" s="151"/>
      <c r="J113" s="151"/>
      <c r="K113" s="151"/>
      <c r="L113" s="151"/>
      <c r="M113" s="151"/>
      <c r="N113" s="151"/>
      <c r="O113" s="151"/>
      <c r="P113" s="156">
        <v>0</v>
      </c>
      <c r="Q113" s="212">
        <f t="shared" si="6"/>
        <v>0</v>
      </c>
      <c r="R113" s="68"/>
      <c r="S113" s="156">
        <v>0</v>
      </c>
      <c r="T113" s="156">
        <v>0</v>
      </c>
      <c r="U113" s="156">
        <v>0</v>
      </c>
      <c r="V113" s="151"/>
      <c r="W113" s="156">
        <v>0</v>
      </c>
      <c r="X113" s="151"/>
      <c r="Y113" s="156">
        <v>0</v>
      </c>
      <c r="Z113" s="212">
        <f t="shared" si="7"/>
        <v>0</v>
      </c>
      <c r="AA113" s="151"/>
    </row>
    <row r="114" spans="3:27" ht="17.25" hidden="1" x14ac:dyDescent="0.3">
      <c r="C114" s="151" t="s">
        <v>274</v>
      </c>
      <c r="D114" s="151"/>
      <c r="E114" s="151"/>
      <c r="F114" s="151"/>
      <c r="G114" s="151"/>
      <c r="H114" s="151"/>
      <c r="I114" s="151"/>
      <c r="J114" s="151"/>
      <c r="K114" s="151"/>
      <c r="L114" s="151"/>
      <c r="M114" s="151"/>
      <c r="N114" s="151"/>
      <c r="O114" s="151"/>
      <c r="P114" s="156">
        <v>0</v>
      </c>
      <c r="Q114" s="212">
        <f t="shared" si="6"/>
        <v>0</v>
      </c>
      <c r="R114" s="68"/>
      <c r="S114" s="156">
        <v>0</v>
      </c>
      <c r="T114" s="156">
        <v>0</v>
      </c>
      <c r="U114" s="156">
        <v>0</v>
      </c>
      <c r="V114" s="151"/>
      <c r="W114" s="156">
        <v>0</v>
      </c>
      <c r="X114" s="151"/>
      <c r="Y114" s="156">
        <v>0</v>
      </c>
      <c r="Z114" s="212">
        <f t="shared" si="7"/>
        <v>0</v>
      </c>
      <c r="AA114" s="151"/>
    </row>
    <row r="115" spans="3:27" ht="17.25" hidden="1" x14ac:dyDescent="0.3">
      <c r="C115" s="151" t="s">
        <v>275</v>
      </c>
      <c r="D115" s="151"/>
      <c r="E115" s="151"/>
      <c r="F115" s="151"/>
      <c r="G115" s="151"/>
      <c r="H115" s="151"/>
      <c r="I115" s="151"/>
      <c r="J115" s="151"/>
      <c r="K115" s="151"/>
      <c r="L115" s="151"/>
      <c r="M115" s="151"/>
      <c r="N115" s="151"/>
      <c r="O115" s="151"/>
      <c r="P115" s="156">
        <v>0</v>
      </c>
      <c r="Q115" s="212">
        <f t="shared" si="6"/>
        <v>0</v>
      </c>
      <c r="R115" s="68"/>
      <c r="S115" s="156">
        <v>0</v>
      </c>
      <c r="T115" s="156">
        <v>0</v>
      </c>
      <c r="U115" s="156">
        <v>0</v>
      </c>
      <c r="V115" s="151"/>
      <c r="W115" s="156">
        <v>0</v>
      </c>
      <c r="X115" s="151"/>
      <c r="Y115" s="156">
        <v>0</v>
      </c>
      <c r="Z115" s="212">
        <f t="shared" si="7"/>
        <v>0</v>
      </c>
      <c r="AA115" s="151"/>
    </row>
    <row r="116" spans="3:27" ht="17.25" hidden="1" x14ac:dyDescent="0.3">
      <c r="C116" s="151" t="s">
        <v>276</v>
      </c>
      <c r="D116" s="151"/>
      <c r="E116" s="151"/>
      <c r="F116" s="151"/>
      <c r="G116" s="151"/>
      <c r="H116" s="151"/>
      <c r="I116" s="151"/>
      <c r="J116" s="151"/>
      <c r="K116" s="151"/>
      <c r="L116" s="151"/>
      <c r="M116" s="151"/>
      <c r="N116" s="151"/>
      <c r="O116" s="151"/>
      <c r="P116" s="156">
        <v>0</v>
      </c>
      <c r="Q116" s="212">
        <f t="shared" si="6"/>
        <v>0</v>
      </c>
      <c r="R116" s="68"/>
      <c r="S116" s="156">
        <v>0</v>
      </c>
      <c r="T116" s="156">
        <v>0</v>
      </c>
      <c r="U116" s="156">
        <v>0</v>
      </c>
      <c r="V116" s="151"/>
      <c r="W116" s="156">
        <v>0</v>
      </c>
      <c r="X116" s="151"/>
      <c r="Y116" s="156">
        <v>0</v>
      </c>
      <c r="Z116" s="212">
        <f t="shared" si="7"/>
        <v>0</v>
      </c>
      <c r="AA116" s="151"/>
    </row>
    <row r="117" spans="3:27" ht="17.25" hidden="1" x14ac:dyDescent="0.3">
      <c r="C117" s="151" t="s">
        <v>277</v>
      </c>
      <c r="D117" s="151"/>
      <c r="E117" s="151"/>
      <c r="F117" s="151"/>
      <c r="G117" s="151"/>
      <c r="H117" s="151"/>
      <c r="I117" s="151"/>
      <c r="J117" s="151"/>
      <c r="K117" s="151"/>
      <c r="L117" s="151"/>
      <c r="M117" s="151"/>
      <c r="N117" s="151"/>
      <c r="O117" s="151"/>
      <c r="P117" s="156">
        <v>0</v>
      </c>
      <c r="Q117" s="212">
        <f t="shared" si="6"/>
        <v>0</v>
      </c>
      <c r="R117" s="68"/>
      <c r="S117" s="156">
        <v>0</v>
      </c>
      <c r="T117" s="156">
        <v>0</v>
      </c>
      <c r="U117" s="156">
        <v>0</v>
      </c>
      <c r="V117" s="151"/>
      <c r="W117" s="156">
        <v>0</v>
      </c>
      <c r="X117" s="151"/>
      <c r="Y117" s="156">
        <v>0</v>
      </c>
      <c r="Z117" s="212">
        <f t="shared" si="7"/>
        <v>0</v>
      </c>
      <c r="AA117" s="151"/>
    </row>
    <row r="118" spans="3:27" ht="17.25" hidden="1" x14ac:dyDescent="0.3">
      <c r="C118" s="151" t="s">
        <v>278</v>
      </c>
      <c r="D118" s="151"/>
      <c r="E118" s="151"/>
      <c r="F118" s="151"/>
      <c r="G118" s="151"/>
      <c r="H118" s="151"/>
      <c r="I118" s="151"/>
      <c r="J118" s="151"/>
      <c r="K118" s="151"/>
      <c r="L118" s="151"/>
      <c r="M118" s="151"/>
      <c r="N118" s="151"/>
      <c r="O118" s="151"/>
      <c r="P118" s="156">
        <v>0</v>
      </c>
      <c r="Q118" s="212">
        <f t="shared" si="6"/>
        <v>0</v>
      </c>
      <c r="R118" s="68"/>
      <c r="S118" s="156">
        <v>0</v>
      </c>
      <c r="T118" s="156">
        <v>0</v>
      </c>
      <c r="U118" s="156">
        <v>0</v>
      </c>
      <c r="V118" s="151"/>
      <c r="W118" s="156">
        <v>0</v>
      </c>
      <c r="X118" s="151"/>
      <c r="Y118" s="156">
        <v>0</v>
      </c>
      <c r="Z118" s="212">
        <f t="shared" si="7"/>
        <v>0</v>
      </c>
      <c r="AA118" s="151"/>
    </row>
    <row r="119" spans="3:27" ht="17.25" hidden="1" x14ac:dyDescent="0.3">
      <c r="C119" s="151" t="s">
        <v>279</v>
      </c>
      <c r="D119" s="151"/>
      <c r="E119" s="151"/>
      <c r="F119" s="151"/>
      <c r="G119" s="151"/>
      <c r="H119" s="151"/>
      <c r="I119" s="151"/>
      <c r="J119" s="151"/>
      <c r="K119" s="151"/>
      <c r="L119" s="151"/>
      <c r="M119" s="151"/>
      <c r="N119" s="151"/>
      <c r="O119" s="151"/>
      <c r="P119" s="156">
        <v>0</v>
      </c>
      <c r="Q119" s="212">
        <f t="shared" si="6"/>
        <v>0</v>
      </c>
      <c r="R119" s="68"/>
      <c r="S119" s="156">
        <v>0</v>
      </c>
      <c r="T119" s="156">
        <v>0</v>
      </c>
      <c r="U119" s="156">
        <v>0</v>
      </c>
      <c r="V119" s="151"/>
      <c r="W119" s="156">
        <v>0</v>
      </c>
      <c r="X119" s="151"/>
      <c r="Y119" s="156">
        <v>0</v>
      </c>
      <c r="Z119" s="212">
        <f t="shared" si="7"/>
        <v>0</v>
      </c>
      <c r="AA119" s="151"/>
    </row>
    <row r="120" spans="3:27" ht="17.25" hidden="1" x14ac:dyDescent="0.3">
      <c r="C120" s="151" t="s">
        <v>280</v>
      </c>
      <c r="D120" s="151"/>
      <c r="E120" s="151"/>
      <c r="F120" s="151"/>
      <c r="G120" s="151"/>
      <c r="H120" s="151"/>
      <c r="I120" s="151"/>
      <c r="J120" s="151"/>
      <c r="K120" s="151"/>
      <c r="L120" s="151"/>
      <c r="M120" s="151"/>
      <c r="N120" s="151"/>
      <c r="O120" s="151"/>
      <c r="P120" s="156">
        <v>0</v>
      </c>
      <c r="Q120" s="212">
        <f t="shared" si="6"/>
        <v>0</v>
      </c>
      <c r="R120" s="68"/>
      <c r="S120" s="156">
        <v>0</v>
      </c>
      <c r="T120" s="156">
        <v>0</v>
      </c>
      <c r="U120" s="156">
        <v>0</v>
      </c>
      <c r="V120" s="151"/>
      <c r="W120" s="156">
        <v>0</v>
      </c>
      <c r="X120" s="151"/>
      <c r="Y120" s="156">
        <v>0</v>
      </c>
      <c r="Z120" s="212">
        <f t="shared" si="7"/>
        <v>0</v>
      </c>
      <c r="AA120" s="151"/>
    </row>
    <row r="121" spans="3:27" ht="17.25" hidden="1" x14ac:dyDescent="0.3">
      <c r="C121" s="151" t="s">
        <v>281</v>
      </c>
      <c r="D121" s="151"/>
      <c r="E121" s="151"/>
      <c r="F121" s="151"/>
      <c r="G121" s="151"/>
      <c r="H121" s="151"/>
      <c r="I121" s="151"/>
      <c r="J121" s="151"/>
      <c r="K121" s="151"/>
      <c r="L121" s="151"/>
      <c r="M121" s="151"/>
      <c r="N121" s="151"/>
      <c r="O121" s="151"/>
      <c r="P121" s="156">
        <v>0</v>
      </c>
      <c r="Q121" s="212">
        <f t="shared" si="6"/>
        <v>0</v>
      </c>
      <c r="R121" s="68"/>
      <c r="S121" s="156">
        <v>0</v>
      </c>
      <c r="T121" s="156">
        <v>0</v>
      </c>
      <c r="U121" s="156">
        <v>0</v>
      </c>
      <c r="V121" s="151"/>
      <c r="W121" s="156">
        <v>0</v>
      </c>
      <c r="X121" s="151"/>
      <c r="Y121" s="156">
        <v>0</v>
      </c>
      <c r="Z121" s="212">
        <f t="shared" si="7"/>
        <v>0</v>
      </c>
      <c r="AA121" s="151"/>
    </row>
    <row r="122" spans="3:27" x14ac:dyDescent="0.25">
      <c r="C122" s="855" t="s">
        <v>133</v>
      </c>
      <c r="D122" s="982"/>
      <c r="E122" s="253"/>
      <c r="F122" s="159"/>
      <c r="G122" s="159"/>
      <c r="H122" s="159"/>
      <c r="I122" s="159"/>
      <c r="J122" s="159"/>
      <c r="K122" s="159"/>
      <c r="L122" s="159"/>
      <c r="M122" s="159"/>
      <c r="N122" s="159"/>
      <c r="O122" s="159"/>
      <c r="P122" s="159"/>
      <c r="Q122" s="214">
        <f>SUM(Q92:Q121)</f>
        <v>0</v>
      </c>
      <c r="R122" s="158"/>
      <c r="S122" s="214">
        <f>SUM(S92:S121)</f>
        <v>0</v>
      </c>
      <c r="T122" s="214">
        <f>SUM(T92:T121)</f>
        <v>0</v>
      </c>
      <c r="U122" s="214">
        <f>SUM(U92:U121)</f>
        <v>0</v>
      </c>
      <c r="V122" s="834">
        <f>SUM(W92:W121,Y92:Y121)</f>
        <v>0</v>
      </c>
      <c r="W122" s="835"/>
      <c r="X122" s="835"/>
      <c r="Y122" s="836"/>
      <c r="Z122" s="214">
        <f>SUM(Z92:Z121)</f>
        <v>0</v>
      </c>
      <c r="AA122" s="151"/>
    </row>
    <row r="124" spans="3:27" x14ac:dyDescent="0.25">
      <c r="C124" s="789" t="s">
        <v>35</v>
      </c>
      <c r="D124" s="789" t="s">
        <v>34</v>
      </c>
      <c r="E124" s="766" t="s">
        <v>315</v>
      </c>
      <c r="F124" s="769" t="s">
        <v>110</v>
      </c>
      <c r="G124" s="789" t="s">
        <v>96</v>
      </c>
      <c r="H124" s="789" t="s">
        <v>99</v>
      </c>
      <c r="I124" s="789" t="s">
        <v>189</v>
      </c>
      <c r="J124" s="766" t="s">
        <v>188</v>
      </c>
      <c r="K124" s="766"/>
      <c r="L124" s="766"/>
      <c r="M124" s="766"/>
      <c r="N124" s="769" t="s">
        <v>519</v>
      </c>
      <c r="O124" s="769" t="s">
        <v>520</v>
      </c>
      <c r="P124" s="769" t="s">
        <v>187</v>
      </c>
      <c r="Q124" s="789" t="s">
        <v>190</v>
      </c>
      <c r="R124" s="789" t="s">
        <v>191</v>
      </c>
      <c r="S124" s="767" t="s">
        <v>53</v>
      </c>
      <c r="T124" s="942"/>
      <c r="U124" s="942"/>
      <c r="V124" s="942"/>
      <c r="W124" s="942"/>
      <c r="X124" s="942"/>
      <c r="Y124" s="768"/>
      <c r="Z124" s="789" t="s">
        <v>415</v>
      </c>
      <c r="AA124" s="789" t="s">
        <v>107</v>
      </c>
    </row>
    <row r="125" spans="3:27" x14ac:dyDescent="0.25">
      <c r="C125" s="789"/>
      <c r="D125" s="789"/>
      <c r="E125" s="766"/>
      <c r="F125" s="956"/>
      <c r="G125" s="789"/>
      <c r="H125" s="789"/>
      <c r="I125" s="789"/>
      <c r="J125" s="766"/>
      <c r="K125" s="766"/>
      <c r="L125" s="766"/>
      <c r="M125" s="766"/>
      <c r="N125" s="956"/>
      <c r="O125" s="956"/>
      <c r="P125" s="956"/>
      <c r="Q125" s="789"/>
      <c r="R125" s="789"/>
      <c r="S125" s="940" t="s">
        <v>54</v>
      </c>
      <c r="T125" s="944"/>
      <c r="U125" s="941"/>
      <c r="V125" s="998" t="s">
        <v>55</v>
      </c>
      <c r="W125" s="998"/>
      <c r="X125" s="998" t="s">
        <v>58</v>
      </c>
      <c r="Y125" s="998"/>
      <c r="Z125" s="789"/>
      <c r="AA125" s="789"/>
    </row>
    <row r="126" spans="3:27" ht="49.5" customHeight="1" x14ac:dyDescent="0.25">
      <c r="C126" s="789"/>
      <c r="D126" s="789"/>
      <c r="E126" s="766"/>
      <c r="F126" s="770"/>
      <c r="G126" s="789"/>
      <c r="H126" s="789"/>
      <c r="I126" s="789"/>
      <c r="J126" s="259" t="s">
        <v>37</v>
      </c>
      <c r="K126" s="259" t="s">
        <v>38</v>
      </c>
      <c r="L126" s="259" t="s">
        <v>39</v>
      </c>
      <c r="M126" s="259" t="s">
        <v>40</v>
      </c>
      <c r="N126" s="770"/>
      <c r="O126" s="770"/>
      <c r="P126" s="770"/>
      <c r="Q126" s="789"/>
      <c r="R126" s="789"/>
      <c r="S126" s="260" t="s">
        <v>62</v>
      </c>
      <c r="T126" s="260" t="s">
        <v>63</v>
      </c>
      <c r="U126" s="260" t="s">
        <v>282</v>
      </c>
      <c r="V126" s="260" t="s">
        <v>56</v>
      </c>
      <c r="W126" s="260" t="s">
        <v>57</v>
      </c>
      <c r="X126" s="260" t="s">
        <v>56</v>
      </c>
      <c r="Y126" s="260" t="s">
        <v>57</v>
      </c>
      <c r="Z126" s="789"/>
      <c r="AA126" s="789"/>
    </row>
    <row r="127" spans="3:27" ht="40.5" customHeight="1" x14ac:dyDescent="0.25">
      <c r="C127" s="1029" t="s">
        <v>598</v>
      </c>
      <c r="D127" s="1030"/>
      <c r="E127" s="1030"/>
      <c r="F127" s="1030"/>
      <c r="G127" s="1030"/>
      <c r="H127" s="1030"/>
      <c r="I127" s="1031"/>
      <c r="J127" s="264"/>
      <c r="K127" s="264"/>
      <c r="L127" s="264"/>
      <c r="M127" s="264"/>
      <c r="N127" s="264"/>
      <c r="O127" s="264"/>
      <c r="P127" s="264"/>
      <c r="Q127" s="264"/>
      <c r="R127" s="264"/>
      <c r="S127" s="264"/>
      <c r="T127" s="264"/>
      <c r="U127" s="264"/>
      <c r="V127" s="264"/>
      <c r="W127" s="264"/>
      <c r="X127" s="264"/>
      <c r="Y127" s="264"/>
      <c r="Z127" s="264"/>
      <c r="AA127" s="264"/>
    </row>
    <row r="128" spans="3:27" ht="17.25" hidden="1" x14ac:dyDescent="0.3">
      <c r="C128" s="151" t="s">
        <v>283</v>
      </c>
      <c r="D128" s="189" t="s">
        <v>536</v>
      </c>
      <c r="E128" s="151"/>
      <c r="F128" s="151"/>
      <c r="G128" s="151"/>
      <c r="H128" s="151"/>
      <c r="I128" s="151"/>
      <c r="J128" s="151"/>
      <c r="K128" s="151"/>
      <c r="L128" s="151"/>
      <c r="M128" s="151"/>
      <c r="N128" s="151"/>
      <c r="O128" s="151"/>
      <c r="P128" s="156">
        <v>0</v>
      </c>
      <c r="Q128" s="212">
        <f>E128*P128</f>
        <v>0</v>
      </c>
      <c r="R128" s="68"/>
      <c r="S128" s="156">
        <v>0</v>
      </c>
      <c r="T128" s="156">
        <v>0</v>
      </c>
      <c r="U128" s="156">
        <v>0</v>
      </c>
      <c r="V128" s="151"/>
      <c r="W128" s="156">
        <v>0</v>
      </c>
      <c r="X128" s="151"/>
      <c r="Y128" s="156">
        <v>0</v>
      </c>
      <c r="Z128" s="212">
        <f>Q128-SUM(S128:U128, W128,Y128)</f>
        <v>0</v>
      </c>
      <c r="AA128" s="151"/>
    </row>
    <row r="129" spans="3:27" ht="17.25" hidden="1" x14ac:dyDescent="0.3">
      <c r="C129" s="151" t="s">
        <v>284</v>
      </c>
      <c r="D129" s="151"/>
      <c r="E129" s="151"/>
      <c r="F129" s="151"/>
      <c r="G129" s="151"/>
      <c r="H129" s="151"/>
      <c r="I129" s="151"/>
      <c r="J129" s="151"/>
      <c r="K129" s="151"/>
      <c r="L129" s="151"/>
      <c r="M129" s="151"/>
      <c r="N129" s="151"/>
      <c r="O129" s="151"/>
      <c r="P129" s="156">
        <v>0</v>
      </c>
      <c r="Q129" s="212">
        <f t="shared" ref="Q129:Q157" si="8">E129*P129</f>
        <v>0</v>
      </c>
      <c r="R129" s="68"/>
      <c r="S129" s="156">
        <v>0</v>
      </c>
      <c r="T129" s="156">
        <v>0</v>
      </c>
      <c r="U129" s="156">
        <v>0</v>
      </c>
      <c r="V129" s="151"/>
      <c r="W129" s="156">
        <v>0</v>
      </c>
      <c r="X129" s="151"/>
      <c r="Y129" s="156">
        <v>0</v>
      </c>
      <c r="Z129" s="212">
        <f t="shared" ref="Z129:Z157" si="9">Q129-SUM(S129:U129, W129,Y129)</f>
        <v>0</v>
      </c>
      <c r="AA129" s="151"/>
    </row>
    <row r="130" spans="3:27" ht="17.25" hidden="1" x14ac:dyDescent="0.3">
      <c r="C130" s="151" t="s">
        <v>285</v>
      </c>
      <c r="D130" s="151"/>
      <c r="E130" s="151"/>
      <c r="F130" s="151"/>
      <c r="G130" s="151"/>
      <c r="H130" s="151"/>
      <c r="I130" s="151"/>
      <c r="J130" s="151"/>
      <c r="K130" s="151"/>
      <c r="L130" s="151"/>
      <c r="M130" s="151"/>
      <c r="N130" s="151"/>
      <c r="O130" s="151"/>
      <c r="P130" s="156">
        <v>0</v>
      </c>
      <c r="Q130" s="212">
        <f t="shared" si="8"/>
        <v>0</v>
      </c>
      <c r="R130" s="68"/>
      <c r="S130" s="156">
        <v>0</v>
      </c>
      <c r="T130" s="156">
        <v>0</v>
      </c>
      <c r="U130" s="156">
        <v>0</v>
      </c>
      <c r="V130" s="151"/>
      <c r="W130" s="156">
        <v>0</v>
      </c>
      <c r="X130" s="151"/>
      <c r="Y130" s="156">
        <v>0</v>
      </c>
      <c r="Z130" s="212">
        <f t="shared" si="9"/>
        <v>0</v>
      </c>
      <c r="AA130" s="151"/>
    </row>
    <row r="131" spans="3:27" ht="17.25" hidden="1" x14ac:dyDescent="0.3">
      <c r="C131" s="151" t="s">
        <v>286</v>
      </c>
      <c r="D131" s="151"/>
      <c r="E131" s="151"/>
      <c r="F131" s="151"/>
      <c r="G131" s="151"/>
      <c r="H131" s="151"/>
      <c r="I131" s="151"/>
      <c r="J131" s="151"/>
      <c r="K131" s="151"/>
      <c r="L131" s="151"/>
      <c r="M131" s="151"/>
      <c r="N131" s="151"/>
      <c r="O131" s="151"/>
      <c r="P131" s="156">
        <v>0</v>
      </c>
      <c r="Q131" s="212">
        <f t="shared" si="8"/>
        <v>0</v>
      </c>
      <c r="R131" s="68"/>
      <c r="S131" s="156">
        <v>0</v>
      </c>
      <c r="T131" s="156">
        <v>0</v>
      </c>
      <c r="U131" s="156">
        <v>0</v>
      </c>
      <c r="V131" s="151"/>
      <c r="W131" s="156">
        <v>0</v>
      </c>
      <c r="X131" s="151"/>
      <c r="Y131" s="156">
        <v>0</v>
      </c>
      <c r="Z131" s="212">
        <f>Q131-SUM(S131:U131, W131,Y131)</f>
        <v>0</v>
      </c>
      <c r="AA131" s="151"/>
    </row>
    <row r="132" spans="3:27" ht="17.25" hidden="1" x14ac:dyDescent="0.3">
      <c r="C132" s="151" t="s">
        <v>287</v>
      </c>
      <c r="D132" s="151"/>
      <c r="E132" s="151"/>
      <c r="F132" s="151"/>
      <c r="G132" s="151"/>
      <c r="H132" s="151"/>
      <c r="I132" s="151"/>
      <c r="J132" s="151"/>
      <c r="K132" s="151"/>
      <c r="L132" s="151"/>
      <c r="M132" s="151"/>
      <c r="N132" s="151"/>
      <c r="O132" s="151"/>
      <c r="P132" s="156">
        <v>0</v>
      </c>
      <c r="Q132" s="212">
        <f t="shared" si="8"/>
        <v>0</v>
      </c>
      <c r="R132" s="68"/>
      <c r="S132" s="156">
        <v>0</v>
      </c>
      <c r="T132" s="156">
        <v>0</v>
      </c>
      <c r="U132" s="156">
        <v>0</v>
      </c>
      <c r="V132" s="151"/>
      <c r="W132" s="156">
        <v>0</v>
      </c>
      <c r="X132" s="151"/>
      <c r="Y132" s="156">
        <v>0</v>
      </c>
      <c r="Z132" s="212">
        <f t="shared" si="9"/>
        <v>0</v>
      </c>
      <c r="AA132" s="151"/>
    </row>
    <row r="133" spans="3:27" ht="17.25" hidden="1" x14ac:dyDescent="0.3">
      <c r="C133" s="151" t="s">
        <v>288</v>
      </c>
      <c r="D133" s="151"/>
      <c r="E133" s="151"/>
      <c r="F133" s="151"/>
      <c r="G133" s="151"/>
      <c r="H133" s="151"/>
      <c r="I133" s="151"/>
      <c r="J133" s="151"/>
      <c r="K133" s="151"/>
      <c r="L133" s="151"/>
      <c r="M133" s="151"/>
      <c r="N133" s="151"/>
      <c r="O133" s="151"/>
      <c r="P133" s="156">
        <v>0</v>
      </c>
      <c r="Q133" s="212">
        <f t="shared" si="8"/>
        <v>0</v>
      </c>
      <c r="R133" s="68"/>
      <c r="S133" s="156">
        <v>0</v>
      </c>
      <c r="T133" s="156">
        <v>0</v>
      </c>
      <c r="U133" s="156">
        <v>0</v>
      </c>
      <c r="V133" s="151"/>
      <c r="W133" s="156">
        <v>0</v>
      </c>
      <c r="X133" s="151"/>
      <c r="Y133" s="156">
        <v>0</v>
      </c>
      <c r="Z133" s="212">
        <f t="shared" si="9"/>
        <v>0</v>
      </c>
      <c r="AA133" s="151"/>
    </row>
    <row r="134" spans="3:27" ht="17.25" hidden="1" x14ac:dyDescent="0.3">
      <c r="C134" s="151" t="s">
        <v>289</v>
      </c>
      <c r="D134" s="151"/>
      <c r="E134" s="151"/>
      <c r="F134" s="151"/>
      <c r="G134" s="151"/>
      <c r="H134" s="151"/>
      <c r="I134" s="151"/>
      <c r="J134" s="151"/>
      <c r="K134" s="151"/>
      <c r="L134" s="151"/>
      <c r="M134" s="151"/>
      <c r="N134" s="151"/>
      <c r="O134" s="151"/>
      <c r="P134" s="156">
        <v>0</v>
      </c>
      <c r="Q134" s="212">
        <f t="shared" si="8"/>
        <v>0</v>
      </c>
      <c r="R134" s="68"/>
      <c r="S134" s="156">
        <v>0</v>
      </c>
      <c r="T134" s="156">
        <v>0</v>
      </c>
      <c r="U134" s="156">
        <v>0</v>
      </c>
      <c r="V134" s="151"/>
      <c r="W134" s="156">
        <v>0</v>
      </c>
      <c r="X134" s="151"/>
      <c r="Y134" s="156">
        <v>0</v>
      </c>
      <c r="Z134" s="212">
        <f t="shared" si="9"/>
        <v>0</v>
      </c>
      <c r="AA134" s="151"/>
    </row>
    <row r="135" spans="3:27" ht="17.25" hidden="1" x14ac:dyDescent="0.3">
      <c r="C135" s="151" t="s">
        <v>290</v>
      </c>
      <c r="D135" s="151"/>
      <c r="E135" s="151"/>
      <c r="F135" s="151"/>
      <c r="G135" s="151"/>
      <c r="H135" s="151"/>
      <c r="I135" s="151"/>
      <c r="J135" s="151"/>
      <c r="K135" s="151"/>
      <c r="L135" s="151"/>
      <c r="M135" s="151"/>
      <c r="N135" s="151"/>
      <c r="O135" s="151"/>
      <c r="P135" s="156">
        <v>0</v>
      </c>
      <c r="Q135" s="212">
        <f t="shared" si="8"/>
        <v>0</v>
      </c>
      <c r="R135" s="68"/>
      <c r="S135" s="156">
        <v>0</v>
      </c>
      <c r="T135" s="156">
        <v>0</v>
      </c>
      <c r="U135" s="156">
        <v>0</v>
      </c>
      <c r="V135" s="151"/>
      <c r="W135" s="156">
        <v>0</v>
      </c>
      <c r="X135" s="151"/>
      <c r="Y135" s="156">
        <v>0</v>
      </c>
      <c r="Z135" s="212">
        <f t="shared" si="9"/>
        <v>0</v>
      </c>
      <c r="AA135" s="151"/>
    </row>
    <row r="136" spans="3:27" ht="17.25" hidden="1" x14ac:dyDescent="0.3">
      <c r="C136" s="151" t="s">
        <v>291</v>
      </c>
      <c r="D136" s="151"/>
      <c r="E136" s="151"/>
      <c r="F136" s="151"/>
      <c r="G136" s="151"/>
      <c r="H136" s="151"/>
      <c r="I136" s="151"/>
      <c r="J136" s="151"/>
      <c r="K136" s="151"/>
      <c r="L136" s="151"/>
      <c r="M136" s="151"/>
      <c r="N136" s="151"/>
      <c r="O136" s="151"/>
      <c r="P136" s="156">
        <v>0</v>
      </c>
      <c r="Q136" s="212">
        <f t="shared" si="8"/>
        <v>0</v>
      </c>
      <c r="R136" s="68"/>
      <c r="S136" s="156">
        <v>0</v>
      </c>
      <c r="T136" s="156">
        <v>0</v>
      </c>
      <c r="U136" s="156">
        <v>0</v>
      </c>
      <c r="V136" s="151"/>
      <c r="W136" s="156">
        <v>0</v>
      </c>
      <c r="X136" s="151"/>
      <c r="Y136" s="156">
        <v>0</v>
      </c>
      <c r="Z136" s="212">
        <f t="shared" si="9"/>
        <v>0</v>
      </c>
      <c r="AA136" s="151"/>
    </row>
    <row r="137" spans="3:27" ht="17.25" hidden="1" x14ac:dyDescent="0.3">
      <c r="C137" s="151" t="s">
        <v>292</v>
      </c>
      <c r="D137" s="151"/>
      <c r="E137" s="151"/>
      <c r="F137" s="151"/>
      <c r="G137" s="151"/>
      <c r="H137" s="151"/>
      <c r="I137" s="151"/>
      <c r="J137" s="151"/>
      <c r="K137" s="151"/>
      <c r="L137" s="151"/>
      <c r="M137" s="151"/>
      <c r="N137" s="151"/>
      <c r="O137" s="151"/>
      <c r="P137" s="156">
        <v>0</v>
      </c>
      <c r="Q137" s="212">
        <f t="shared" si="8"/>
        <v>0</v>
      </c>
      <c r="R137" s="68"/>
      <c r="S137" s="156">
        <v>0</v>
      </c>
      <c r="T137" s="156">
        <v>0</v>
      </c>
      <c r="U137" s="156">
        <v>0</v>
      </c>
      <c r="V137" s="151"/>
      <c r="W137" s="156">
        <v>0</v>
      </c>
      <c r="X137" s="151"/>
      <c r="Y137" s="156">
        <v>0</v>
      </c>
      <c r="Z137" s="212">
        <f t="shared" si="9"/>
        <v>0</v>
      </c>
      <c r="AA137" s="151"/>
    </row>
    <row r="138" spans="3:27" ht="17.25" hidden="1" x14ac:dyDescent="0.3">
      <c r="C138" s="151" t="s">
        <v>293</v>
      </c>
      <c r="D138" s="151"/>
      <c r="E138" s="151"/>
      <c r="F138" s="151"/>
      <c r="G138" s="151"/>
      <c r="H138" s="151"/>
      <c r="I138" s="151"/>
      <c r="J138" s="151"/>
      <c r="K138" s="151"/>
      <c r="L138" s="151"/>
      <c r="M138" s="151"/>
      <c r="N138" s="151"/>
      <c r="O138" s="151"/>
      <c r="P138" s="156">
        <v>0</v>
      </c>
      <c r="Q138" s="212">
        <f t="shared" si="8"/>
        <v>0</v>
      </c>
      <c r="R138" s="68"/>
      <c r="S138" s="156">
        <v>0</v>
      </c>
      <c r="T138" s="156">
        <v>0</v>
      </c>
      <c r="U138" s="156">
        <v>0</v>
      </c>
      <c r="V138" s="151"/>
      <c r="W138" s="156">
        <v>0</v>
      </c>
      <c r="X138" s="151"/>
      <c r="Y138" s="156">
        <v>0</v>
      </c>
      <c r="Z138" s="212">
        <f t="shared" si="9"/>
        <v>0</v>
      </c>
      <c r="AA138" s="151"/>
    </row>
    <row r="139" spans="3:27" ht="17.25" hidden="1" x14ac:dyDescent="0.3">
      <c r="C139" s="151" t="s">
        <v>294</v>
      </c>
      <c r="D139" s="151"/>
      <c r="E139" s="151"/>
      <c r="F139" s="151"/>
      <c r="G139" s="151"/>
      <c r="H139" s="151"/>
      <c r="I139" s="151"/>
      <c r="J139" s="151"/>
      <c r="K139" s="151"/>
      <c r="L139" s="151"/>
      <c r="M139" s="151"/>
      <c r="N139" s="151"/>
      <c r="O139" s="151"/>
      <c r="P139" s="156">
        <v>0</v>
      </c>
      <c r="Q139" s="212">
        <f t="shared" si="8"/>
        <v>0</v>
      </c>
      <c r="R139" s="68"/>
      <c r="S139" s="156">
        <v>0</v>
      </c>
      <c r="T139" s="156">
        <v>0</v>
      </c>
      <c r="U139" s="156">
        <v>0</v>
      </c>
      <c r="V139" s="151"/>
      <c r="W139" s="156">
        <v>0</v>
      </c>
      <c r="X139" s="151"/>
      <c r="Y139" s="156">
        <v>0</v>
      </c>
      <c r="Z139" s="212">
        <f t="shared" si="9"/>
        <v>0</v>
      </c>
      <c r="AA139" s="151"/>
    </row>
    <row r="140" spans="3:27" ht="17.25" hidden="1" x14ac:dyDescent="0.3">
      <c r="C140" s="151" t="s">
        <v>295</v>
      </c>
      <c r="D140" s="151"/>
      <c r="E140" s="151"/>
      <c r="F140" s="151"/>
      <c r="G140" s="151"/>
      <c r="H140" s="151"/>
      <c r="I140" s="151"/>
      <c r="J140" s="151"/>
      <c r="K140" s="151"/>
      <c r="L140" s="151"/>
      <c r="M140" s="151"/>
      <c r="N140" s="151"/>
      <c r="O140" s="151"/>
      <c r="P140" s="156">
        <v>0</v>
      </c>
      <c r="Q140" s="212">
        <f t="shared" si="8"/>
        <v>0</v>
      </c>
      <c r="R140" s="68"/>
      <c r="S140" s="156">
        <v>0</v>
      </c>
      <c r="T140" s="156">
        <v>0</v>
      </c>
      <c r="U140" s="156">
        <v>0</v>
      </c>
      <c r="V140" s="151"/>
      <c r="W140" s="156">
        <v>0</v>
      </c>
      <c r="X140" s="151"/>
      <c r="Y140" s="156">
        <v>0</v>
      </c>
      <c r="Z140" s="212">
        <f t="shared" si="9"/>
        <v>0</v>
      </c>
      <c r="AA140" s="151"/>
    </row>
    <row r="141" spans="3:27" ht="17.25" hidden="1" x14ac:dyDescent="0.3">
      <c r="C141" s="151" t="s">
        <v>296</v>
      </c>
      <c r="D141" s="151"/>
      <c r="E141" s="151"/>
      <c r="F141" s="151"/>
      <c r="G141" s="151"/>
      <c r="H141" s="151"/>
      <c r="I141" s="151"/>
      <c r="J141" s="151"/>
      <c r="K141" s="151"/>
      <c r="L141" s="151"/>
      <c r="M141" s="151"/>
      <c r="N141" s="151"/>
      <c r="O141" s="151"/>
      <c r="P141" s="156">
        <v>0</v>
      </c>
      <c r="Q141" s="212">
        <f t="shared" si="8"/>
        <v>0</v>
      </c>
      <c r="R141" s="68"/>
      <c r="S141" s="156">
        <v>0</v>
      </c>
      <c r="T141" s="156">
        <v>0</v>
      </c>
      <c r="U141" s="156">
        <v>0</v>
      </c>
      <c r="V141" s="151"/>
      <c r="W141" s="156">
        <v>0</v>
      </c>
      <c r="X141" s="151"/>
      <c r="Y141" s="156">
        <v>0</v>
      </c>
      <c r="Z141" s="212">
        <f t="shared" si="9"/>
        <v>0</v>
      </c>
      <c r="AA141" s="151"/>
    </row>
    <row r="142" spans="3:27" ht="17.25" hidden="1" x14ac:dyDescent="0.3">
      <c r="C142" s="151" t="s">
        <v>297</v>
      </c>
      <c r="D142" s="151"/>
      <c r="E142" s="151"/>
      <c r="F142" s="151"/>
      <c r="G142" s="151"/>
      <c r="H142" s="151"/>
      <c r="I142" s="151"/>
      <c r="J142" s="151"/>
      <c r="K142" s="151"/>
      <c r="L142" s="151"/>
      <c r="M142" s="151"/>
      <c r="N142" s="151"/>
      <c r="O142" s="151"/>
      <c r="P142" s="156">
        <v>0</v>
      </c>
      <c r="Q142" s="212">
        <f t="shared" si="8"/>
        <v>0</v>
      </c>
      <c r="R142" s="68"/>
      <c r="S142" s="156">
        <v>0</v>
      </c>
      <c r="T142" s="156">
        <v>0</v>
      </c>
      <c r="U142" s="156">
        <v>0</v>
      </c>
      <c r="V142" s="151"/>
      <c r="W142" s="156">
        <v>0</v>
      </c>
      <c r="X142" s="151"/>
      <c r="Y142" s="156">
        <v>0</v>
      </c>
      <c r="Z142" s="212">
        <f t="shared" si="9"/>
        <v>0</v>
      </c>
      <c r="AA142" s="151"/>
    </row>
    <row r="143" spans="3:27" ht="17.25" hidden="1" x14ac:dyDescent="0.3">
      <c r="C143" s="151" t="s">
        <v>298</v>
      </c>
      <c r="D143" s="151"/>
      <c r="E143" s="151"/>
      <c r="F143" s="151"/>
      <c r="G143" s="151"/>
      <c r="H143" s="151"/>
      <c r="I143" s="151"/>
      <c r="J143" s="151"/>
      <c r="K143" s="151"/>
      <c r="L143" s="151"/>
      <c r="M143" s="151"/>
      <c r="N143" s="151"/>
      <c r="O143" s="151"/>
      <c r="P143" s="156">
        <v>0</v>
      </c>
      <c r="Q143" s="212">
        <f t="shared" si="8"/>
        <v>0</v>
      </c>
      <c r="R143" s="68"/>
      <c r="S143" s="156">
        <v>0</v>
      </c>
      <c r="T143" s="156">
        <v>0</v>
      </c>
      <c r="U143" s="156">
        <v>0</v>
      </c>
      <c r="V143" s="151"/>
      <c r="W143" s="156">
        <v>0</v>
      </c>
      <c r="X143" s="151"/>
      <c r="Y143" s="156">
        <v>0</v>
      </c>
      <c r="Z143" s="212">
        <f t="shared" si="9"/>
        <v>0</v>
      </c>
      <c r="AA143" s="151"/>
    </row>
    <row r="144" spans="3:27" ht="17.25" hidden="1" x14ac:dyDescent="0.3">
      <c r="C144" s="151" t="s">
        <v>299</v>
      </c>
      <c r="D144" s="151"/>
      <c r="E144" s="151"/>
      <c r="F144" s="151"/>
      <c r="G144" s="151"/>
      <c r="H144" s="151"/>
      <c r="I144" s="151"/>
      <c r="J144" s="151"/>
      <c r="K144" s="151"/>
      <c r="L144" s="151"/>
      <c r="M144" s="151"/>
      <c r="N144" s="151"/>
      <c r="O144" s="151"/>
      <c r="P144" s="156">
        <v>0</v>
      </c>
      <c r="Q144" s="212">
        <f t="shared" si="8"/>
        <v>0</v>
      </c>
      <c r="R144" s="68"/>
      <c r="S144" s="156">
        <v>0</v>
      </c>
      <c r="T144" s="156">
        <v>0</v>
      </c>
      <c r="U144" s="156">
        <v>0</v>
      </c>
      <c r="V144" s="151"/>
      <c r="W144" s="156">
        <v>0</v>
      </c>
      <c r="X144" s="151"/>
      <c r="Y144" s="156">
        <v>0</v>
      </c>
      <c r="Z144" s="212">
        <f t="shared" si="9"/>
        <v>0</v>
      </c>
      <c r="AA144" s="151"/>
    </row>
    <row r="145" spans="3:27" ht="17.25" hidden="1" x14ac:dyDescent="0.3">
      <c r="C145" s="151" t="s">
        <v>300</v>
      </c>
      <c r="D145" s="151"/>
      <c r="E145" s="151"/>
      <c r="F145" s="151"/>
      <c r="G145" s="151"/>
      <c r="H145" s="151"/>
      <c r="I145" s="151"/>
      <c r="J145" s="151"/>
      <c r="K145" s="151"/>
      <c r="L145" s="151"/>
      <c r="M145" s="151"/>
      <c r="N145" s="151"/>
      <c r="O145" s="151"/>
      <c r="P145" s="156">
        <v>0</v>
      </c>
      <c r="Q145" s="212">
        <f t="shared" si="8"/>
        <v>0</v>
      </c>
      <c r="R145" s="68"/>
      <c r="S145" s="156">
        <v>0</v>
      </c>
      <c r="T145" s="156">
        <v>0</v>
      </c>
      <c r="U145" s="156">
        <v>0</v>
      </c>
      <c r="V145" s="151"/>
      <c r="W145" s="156">
        <v>0</v>
      </c>
      <c r="X145" s="151"/>
      <c r="Y145" s="156">
        <v>0</v>
      </c>
      <c r="Z145" s="212">
        <f t="shared" si="9"/>
        <v>0</v>
      </c>
      <c r="AA145" s="151"/>
    </row>
    <row r="146" spans="3:27" ht="17.25" hidden="1" x14ac:dyDescent="0.3">
      <c r="C146" s="151" t="s">
        <v>301</v>
      </c>
      <c r="D146" s="151"/>
      <c r="E146" s="151"/>
      <c r="F146" s="151"/>
      <c r="G146" s="151"/>
      <c r="H146" s="151"/>
      <c r="I146" s="151"/>
      <c r="J146" s="151"/>
      <c r="K146" s="151"/>
      <c r="L146" s="151"/>
      <c r="M146" s="151"/>
      <c r="N146" s="151"/>
      <c r="O146" s="151"/>
      <c r="P146" s="156">
        <v>0</v>
      </c>
      <c r="Q146" s="212">
        <f t="shared" si="8"/>
        <v>0</v>
      </c>
      <c r="R146" s="68"/>
      <c r="S146" s="156">
        <v>0</v>
      </c>
      <c r="T146" s="156">
        <v>0</v>
      </c>
      <c r="U146" s="156">
        <v>0</v>
      </c>
      <c r="V146" s="151"/>
      <c r="W146" s="156">
        <v>0</v>
      </c>
      <c r="X146" s="151"/>
      <c r="Y146" s="156">
        <v>0</v>
      </c>
      <c r="Z146" s="212">
        <f t="shared" si="9"/>
        <v>0</v>
      </c>
      <c r="AA146" s="151"/>
    </row>
    <row r="147" spans="3:27" ht="17.25" hidden="1" x14ac:dyDescent="0.3">
      <c r="C147" s="151" t="s">
        <v>302</v>
      </c>
      <c r="D147" s="151"/>
      <c r="E147" s="151"/>
      <c r="F147" s="151"/>
      <c r="G147" s="151"/>
      <c r="H147" s="151"/>
      <c r="I147" s="151"/>
      <c r="J147" s="151"/>
      <c r="K147" s="151"/>
      <c r="L147" s="151"/>
      <c r="M147" s="151"/>
      <c r="N147" s="151"/>
      <c r="O147" s="151"/>
      <c r="P147" s="156">
        <v>0</v>
      </c>
      <c r="Q147" s="212">
        <f t="shared" si="8"/>
        <v>0</v>
      </c>
      <c r="R147" s="68"/>
      <c r="S147" s="156">
        <v>0</v>
      </c>
      <c r="T147" s="156">
        <v>0</v>
      </c>
      <c r="U147" s="156">
        <v>0</v>
      </c>
      <c r="V147" s="151"/>
      <c r="W147" s="156">
        <v>0</v>
      </c>
      <c r="X147" s="151"/>
      <c r="Y147" s="156">
        <v>0</v>
      </c>
      <c r="Z147" s="212">
        <f t="shared" si="9"/>
        <v>0</v>
      </c>
      <c r="AA147" s="151"/>
    </row>
    <row r="148" spans="3:27" ht="17.25" hidden="1" x14ac:dyDescent="0.3">
      <c r="C148" s="151" t="s">
        <v>303</v>
      </c>
      <c r="D148" s="151"/>
      <c r="E148" s="151"/>
      <c r="F148" s="151"/>
      <c r="G148" s="151"/>
      <c r="H148" s="151"/>
      <c r="I148" s="151"/>
      <c r="J148" s="151"/>
      <c r="K148" s="151"/>
      <c r="L148" s="151"/>
      <c r="M148" s="151"/>
      <c r="N148" s="151"/>
      <c r="O148" s="151"/>
      <c r="P148" s="156">
        <v>0</v>
      </c>
      <c r="Q148" s="212">
        <f t="shared" si="8"/>
        <v>0</v>
      </c>
      <c r="R148" s="68"/>
      <c r="S148" s="156">
        <v>0</v>
      </c>
      <c r="T148" s="156">
        <v>0</v>
      </c>
      <c r="U148" s="156">
        <v>0</v>
      </c>
      <c r="V148" s="151"/>
      <c r="W148" s="156">
        <v>0</v>
      </c>
      <c r="X148" s="151"/>
      <c r="Y148" s="156">
        <v>0</v>
      </c>
      <c r="Z148" s="212">
        <f t="shared" si="9"/>
        <v>0</v>
      </c>
      <c r="AA148" s="151"/>
    </row>
    <row r="149" spans="3:27" ht="17.25" hidden="1" x14ac:dyDescent="0.3">
      <c r="C149" s="151" t="s">
        <v>304</v>
      </c>
      <c r="D149" s="151"/>
      <c r="E149" s="151"/>
      <c r="F149" s="151"/>
      <c r="G149" s="151"/>
      <c r="H149" s="151"/>
      <c r="I149" s="151"/>
      <c r="J149" s="151"/>
      <c r="K149" s="151"/>
      <c r="L149" s="151"/>
      <c r="M149" s="151"/>
      <c r="N149" s="151"/>
      <c r="O149" s="151"/>
      <c r="P149" s="156">
        <v>0</v>
      </c>
      <c r="Q149" s="212">
        <f t="shared" si="8"/>
        <v>0</v>
      </c>
      <c r="R149" s="68"/>
      <c r="S149" s="156">
        <v>0</v>
      </c>
      <c r="T149" s="156">
        <v>0</v>
      </c>
      <c r="U149" s="156">
        <v>0</v>
      </c>
      <c r="V149" s="151"/>
      <c r="W149" s="156">
        <v>0</v>
      </c>
      <c r="X149" s="151"/>
      <c r="Y149" s="156">
        <v>0</v>
      </c>
      <c r="Z149" s="212">
        <f t="shared" si="9"/>
        <v>0</v>
      </c>
      <c r="AA149" s="151"/>
    </row>
    <row r="150" spans="3:27" ht="17.25" hidden="1" x14ac:dyDescent="0.3">
      <c r="C150" s="151" t="s">
        <v>305</v>
      </c>
      <c r="D150" s="151"/>
      <c r="E150" s="151"/>
      <c r="F150" s="151"/>
      <c r="G150" s="151"/>
      <c r="H150" s="151"/>
      <c r="I150" s="151"/>
      <c r="J150" s="151"/>
      <c r="K150" s="151"/>
      <c r="L150" s="151"/>
      <c r="M150" s="151"/>
      <c r="N150" s="151"/>
      <c r="O150" s="151"/>
      <c r="P150" s="156">
        <v>0</v>
      </c>
      <c r="Q150" s="212">
        <f t="shared" si="8"/>
        <v>0</v>
      </c>
      <c r="R150" s="68"/>
      <c r="S150" s="156">
        <v>0</v>
      </c>
      <c r="T150" s="156">
        <v>0</v>
      </c>
      <c r="U150" s="156">
        <v>0</v>
      </c>
      <c r="V150" s="151"/>
      <c r="W150" s="156">
        <v>0</v>
      </c>
      <c r="X150" s="151"/>
      <c r="Y150" s="156">
        <v>0</v>
      </c>
      <c r="Z150" s="212">
        <f t="shared" si="9"/>
        <v>0</v>
      </c>
      <c r="AA150" s="151"/>
    </row>
    <row r="151" spans="3:27" ht="17.25" hidden="1" x14ac:dyDescent="0.3">
      <c r="C151" s="151" t="s">
        <v>306</v>
      </c>
      <c r="D151" s="151"/>
      <c r="E151" s="151"/>
      <c r="F151" s="151"/>
      <c r="G151" s="151"/>
      <c r="H151" s="151"/>
      <c r="I151" s="151"/>
      <c r="J151" s="151"/>
      <c r="K151" s="151"/>
      <c r="L151" s="151"/>
      <c r="M151" s="151"/>
      <c r="N151" s="151"/>
      <c r="O151" s="151"/>
      <c r="P151" s="156">
        <v>0</v>
      </c>
      <c r="Q151" s="212">
        <f t="shared" si="8"/>
        <v>0</v>
      </c>
      <c r="R151" s="68"/>
      <c r="S151" s="156">
        <v>0</v>
      </c>
      <c r="T151" s="156">
        <v>0</v>
      </c>
      <c r="U151" s="156">
        <v>0</v>
      </c>
      <c r="V151" s="151"/>
      <c r="W151" s="156">
        <v>0</v>
      </c>
      <c r="X151" s="151"/>
      <c r="Y151" s="156">
        <v>0</v>
      </c>
      <c r="Z151" s="212">
        <f>Q151-SUM(S151:U151, W151,Y151)</f>
        <v>0</v>
      </c>
      <c r="AA151" s="151"/>
    </row>
    <row r="152" spans="3:27" ht="17.25" hidden="1" x14ac:dyDescent="0.3">
      <c r="C152" s="151" t="s">
        <v>307</v>
      </c>
      <c r="D152" s="151"/>
      <c r="E152" s="151"/>
      <c r="F152" s="151"/>
      <c r="G152" s="151"/>
      <c r="H152" s="151"/>
      <c r="I152" s="151"/>
      <c r="J152" s="151"/>
      <c r="K152" s="151"/>
      <c r="L152" s="151"/>
      <c r="M152" s="151"/>
      <c r="N152" s="151"/>
      <c r="O152" s="151"/>
      <c r="P152" s="156">
        <v>0</v>
      </c>
      <c r="Q152" s="212">
        <f t="shared" si="8"/>
        <v>0</v>
      </c>
      <c r="R152" s="68"/>
      <c r="S152" s="156">
        <v>0</v>
      </c>
      <c r="T152" s="156">
        <v>0</v>
      </c>
      <c r="U152" s="156">
        <v>0</v>
      </c>
      <c r="V152" s="151"/>
      <c r="W152" s="156">
        <v>0</v>
      </c>
      <c r="X152" s="151"/>
      <c r="Y152" s="156">
        <v>0</v>
      </c>
      <c r="Z152" s="212">
        <f t="shared" si="9"/>
        <v>0</v>
      </c>
      <c r="AA152" s="151"/>
    </row>
    <row r="153" spans="3:27" ht="17.25" hidden="1" x14ac:dyDescent="0.3">
      <c r="C153" s="151" t="s">
        <v>308</v>
      </c>
      <c r="D153" s="151"/>
      <c r="E153" s="151"/>
      <c r="F153" s="151"/>
      <c r="G153" s="151"/>
      <c r="H153" s="151"/>
      <c r="I153" s="151"/>
      <c r="J153" s="151"/>
      <c r="K153" s="151"/>
      <c r="L153" s="151"/>
      <c r="M153" s="151"/>
      <c r="N153" s="151"/>
      <c r="O153" s="151"/>
      <c r="P153" s="156">
        <v>0</v>
      </c>
      <c r="Q153" s="212">
        <f t="shared" si="8"/>
        <v>0</v>
      </c>
      <c r="R153" s="68"/>
      <c r="S153" s="156">
        <v>0</v>
      </c>
      <c r="T153" s="156">
        <v>0</v>
      </c>
      <c r="U153" s="156">
        <v>0</v>
      </c>
      <c r="V153" s="151"/>
      <c r="W153" s="156">
        <v>0</v>
      </c>
      <c r="X153" s="151"/>
      <c r="Y153" s="156">
        <v>0</v>
      </c>
      <c r="Z153" s="212">
        <f t="shared" si="9"/>
        <v>0</v>
      </c>
      <c r="AA153" s="151"/>
    </row>
    <row r="154" spans="3:27" ht="17.25" hidden="1" x14ac:dyDescent="0.3">
      <c r="C154" s="151" t="s">
        <v>309</v>
      </c>
      <c r="D154" s="151"/>
      <c r="E154" s="151"/>
      <c r="F154" s="151"/>
      <c r="G154" s="151"/>
      <c r="H154" s="151"/>
      <c r="I154" s="151"/>
      <c r="J154" s="151"/>
      <c r="K154" s="151"/>
      <c r="L154" s="151"/>
      <c r="M154" s="151"/>
      <c r="N154" s="151"/>
      <c r="O154" s="151"/>
      <c r="P154" s="156">
        <v>0</v>
      </c>
      <c r="Q154" s="212">
        <f t="shared" si="8"/>
        <v>0</v>
      </c>
      <c r="R154" s="68"/>
      <c r="S154" s="156">
        <v>0</v>
      </c>
      <c r="T154" s="156">
        <v>0</v>
      </c>
      <c r="U154" s="156">
        <v>0</v>
      </c>
      <c r="V154" s="151"/>
      <c r="W154" s="156">
        <v>0</v>
      </c>
      <c r="X154" s="151"/>
      <c r="Y154" s="156">
        <v>0</v>
      </c>
      <c r="Z154" s="212">
        <f t="shared" si="9"/>
        <v>0</v>
      </c>
      <c r="AA154" s="151"/>
    </row>
    <row r="155" spans="3:27" ht="17.25" hidden="1" x14ac:dyDescent="0.3">
      <c r="C155" s="151" t="s">
        <v>310</v>
      </c>
      <c r="D155" s="151"/>
      <c r="E155" s="151"/>
      <c r="F155" s="151"/>
      <c r="G155" s="151"/>
      <c r="H155" s="151"/>
      <c r="I155" s="151"/>
      <c r="J155" s="151"/>
      <c r="K155" s="151"/>
      <c r="L155" s="151"/>
      <c r="M155" s="151"/>
      <c r="N155" s="151"/>
      <c r="O155" s="151"/>
      <c r="P155" s="156">
        <v>0</v>
      </c>
      <c r="Q155" s="212">
        <f t="shared" si="8"/>
        <v>0</v>
      </c>
      <c r="R155" s="68"/>
      <c r="S155" s="156">
        <v>0</v>
      </c>
      <c r="T155" s="156">
        <v>0</v>
      </c>
      <c r="U155" s="156">
        <v>0</v>
      </c>
      <c r="V155" s="151"/>
      <c r="W155" s="156">
        <v>0</v>
      </c>
      <c r="X155" s="151"/>
      <c r="Y155" s="156">
        <v>0</v>
      </c>
      <c r="Z155" s="212">
        <f t="shared" si="9"/>
        <v>0</v>
      </c>
      <c r="AA155" s="151"/>
    </row>
    <row r="156" spans="3:27" ht="17.25" hidden="1" x14ac:dyDescent="0.3">
      <c r="C156" s="151" t="s">
        <v>311</v>
      </c>
      <c r="D156" s="151"/>
      <c r="E156" s="151"/>
      <c r="F156" s="151"/>
      <c r="G156" s="151"/>
      <c r="H156" s="151"/>
      <c r="I156" s="151"/>
      <c r="J156" s="151"/>
      <c r="K156" s="151"/>
      <c r="L156" s="151"/>
      <c r="M156" s="151"/>
      <c r="N156" s="151"/>
      <c r="O156" s="151"/>
      <c r="P156" s="156">
        <v>0</v>
      </c>
      <c r="Q156" s="212">
        <f t="shared" si="8"/>
        <v>0</v>
      </c>
      <c r="R156" s="68"/>
      <c r="S156" s="156">
        <v>0</v>
      </c>
      <c r="T156" s="156">
        <v>0</v>
      </c>
      <c r="U156" s="156">
        <v>0</v>
      </c>
      <c r="V156" s="151"/>
      <c r="W156" s="156">
        <v>0</v>
      </c>
      <c r="X156" s="151"/>
      <c r="Y156" s="156">
        <v>0</v>
      </c>
      <c r="Z156" s="212">
        <f t="shared" si="9"/>
        <v>0</v>
      </c>
      <c r="AA156" s="151"/>
    </row>
    <row r="157" spans="3:27" ht="17.25" hidden="1" x14ac:dyDescent="0.3">
      <c r="C157" s="151" t="s">
        <v>312</v>
      </c>
      <c r="D157" s="151"/>
      <c r="E157" s="151"/>
      <c r="F157" s="151"/>
      <c r="G157" s="151"/>
      <c r="H157" s="151"/>
      <c r="I157" s="151"/>
      <c r="J157" s="151"/>
      <c r="K157" s="151"/>
      <c r="L157" s="151"/>
      <c r="M157" s="151"/>
      <c r="N157" s="151"/>
      <c r="O157" s="151"/>
      <c r="P157" s="156">
        <v>0</v>
      </c>
      <c r="Q157" s="212">
        <f t="shared" si="8"/>
        <v>0</v>
      </c>
      <c r="R157" s="68"/>
      <c r="S157" s="156">
        <v>0</v>
      </c>
      <c r="T157" s="156">
        <v>0</v>
      </c>
      <c r="U157" s="156">
        <v>0</v>
      </c>
      <c r="V157" s="151"/>
      <c r="W157" s="156">
        <v>0</v>
      </c>
      <c r="X157" s="151"/>
      <c r="Y157" s="156">
        <v>0</v>
      </c>
      <c r="Z157" s="212">
        <f t="shared" si="9"/>
        <v>0</v>
      </c>
      <c r="AA157" s="151"/>
    </row>
    <row r="158" spans="3:27" x14ac:dyDescent="0.25">
      <c r="C158" s="855" t="s">
        <v>133</v>
      </c>
      <c r="D158" s="982"/>
      <c r="E158" s="253"/>
      <c r="F158" s="159"/>
      <c r="G158" s="159"/>
      <c r="H158" s="159"/>
      <c r="I158" s="159"/>
      <c r="J158" s="159"/>
      <c r="K158" s="159"/>
      <c r="L158" s="159"/>
      <c r="M158" s="159"/>
      <c r="N158" s="159"/>
      <c r="O158" s="159"/>
      <c r="P158" s="159"/>
      <c r="Q158" s="214">
        <f>SUM(Q128:Q157)</f>
        <v>0</v>
      </c>
      <c r="R158" s="158"/>
      <c r="S158" s="214">
        <f>SUM(S128:S157)</f>
        <v>0</v>
      </c>
      <c r="T158" s="214">
        <f>SUM(T128:T157)</f>
        <v>0</v>
      </c>
      <c r="U158" s="214">
        <f>SUM(U128:U157)</f>
        <v>0</v>
      </c>
      <c r="V158" s="834">
        <f>SUM(W128:W157,Y128:Y157)</f>
        <v>0</v>
      </c>
      <c r="W158" s="835"/>
      <c r="X158" s="835"/>
      <c r="Y158" s="836"/>
      <c r="Z158" s="214">
        <f>SUM(Z128:Z157)</f>
        <v>0</v>
      </c>
      <c r="AA158" s="151"/>
    </row>
    <row r="160" spans="3:27" ht="16.5" customHeight="1" x14ac:dyDescent="0.25">
      <c r="C160" s="789" t="s">
        <v>35</v>
      </c>
      <c r="D160" s="789" t="s">
        <v>34</v>
      </c>
      <c r="E160" s="766" t="s">
        <v>315</v>
      </c>
      <c r="F160" s="769" t="s">
        <v>110</v>
      </c>
      <c r="G160" s="789" t="s">
        <v>96</v>
      </c>
      <c r="H160" s="789" t="s">
        <v>99</v>
      </c>
      <c r="I160" s="789" t="s">
        <v>189</v>
      </c>
      <c r="J160" s="766" t="s">
        <v>188</v>
      </c>
      <c r="K160" s="766"/>
      <c r="L160" s="766"/>
      <c r="M160" s="766"/>
      <c r="N160" s="769" t="s">
        <v>519</v>
      </c>
      <c r="O160" s="769" t="s">
        <v>520</v>
      </c>
      <c r="P160" s="769" t="s">
        <v>187</v>
      </c>
      <c r="Q160" s="789" t="s">
        <v>190</v>
      </c>
      <c r="R160" s="789" t="s">
        <v>191</v>
      </c>
      <c r="S160" s="767" t="s">
        <v>53</v>
      </c>
      <c r="T160" s="942"/>
      <c r="U160" s="942"/>
      <c r="V160" s="942"/>
      <c r="W160" s="942"/>
      <c r="X160" s="942"/>
      <c r="Y160" s="768"/>
      <c r="Z160" s="789" t="s">
        <v>415</v>
      </c>
      <c r="AA160" s="789" t="s">
        <v>107</v>
      </c>
    </row>
    <row r="161" spans="3:27" x14ac:dyDescent="0.25">
      <c r="C161" s="789"/>
      <c r="D161" s="789"/>
      <c r="E161" s="766"/>
      <c r="F161" s="956"/>
      <c r="G161" s="789"/>
      <c r="H161" s="789"/>
      <c r="I161" s="789"/>
      <c r="J161" s="766"/>
      <c r="K161" s="766"/>
      <c r="L161" s="766"/>
      <c r="M161" s="766"/>
      <c r="N161" s="956"/>
      <c r="O161" s="956"/>
      <c r="P161" s="956"/>
      <c r="Q161" s="789"/>
      <c r="R161" s="789"/>
      <c r="S161" s="940" t="s">
        <v>54</v>
      </c>
      <c r="T161" s="944"/>
      <c r="U161" s="941"/>
      <c r="V161" s="998" t="s">
        <v>55</v>
      </c>
      <c r="W161" s="998"/>
      <c r="X161" s="998" t="s">
        <v>58</v>
      </c>
      <c r="Y161" s="998"/>
      <c r="Z161" s="789"/>
      <c r="AA161" s="789"/>
    </row>
    <row r="162" spans="3:27" ht="49.5" customHeight="1" x14ac:dyDescent="0.25">
      <c r="C162" s="789"/>
      <c r="D162" s="789"/>
      <c r="E162" s="766"/>
      <c r="F162" s="770"/>
      <c r="G162" s="789"/>
      <c r="H162" s="789"/>
      <c r="I162" s="789"/>
      <c r="J162" s="259" t="s">
        <v>37</v>
      </c>
      <c r="K162" s="259" t="s">
        <v>38</v>
      </c>
      <c r="L162" s="259" t="s">
        <v>39</v>
      </c>
      <c r="M162" s="259" t="s">
        <v>40</v>
      </c>
      <c r="N162" s="770"/>
      <c r="O162" s="770"/>
      <c r="P162" s="770"/>
      <c r="Q162" s="789"/>
      <c r="R162" s="789"/>
      <c r="S162" s="260" t="s">
        <v>62</v>
      </c>
      <c r="T162" s="260" t="s">
        <v>63</v>
      </c>
      <c r="U162" s="260" t="s">
        <v>282</v>
      </c>
      <c r="V162" s="260" t="s">
        <v>56</v>
      </c>
      <c r="W162" s="260" t="s">
        <v>57</v>
      </c>
      <c r="X162" s="260" t="s">
        <v>56</v>
      </c>
      <c r="Y162" s="260" t="s">
        <v>57</v>
      </c>
      <c r="Z162" s="789"/>
      <c r="AA162" s="789"/>
    </row>
    <row r="163" spans="3:27" ht="16.5" customHeight="1" x14ac:dyDescent="0.25">
      <c r="C163" s="958" t="s">
        <v>615</v>
      </c>
      <c r="D163" s="959"/>
      <c r="E163" s="959"/>
      <c r="F163" s="959"/>
      <c r="G163" s="959"/>
      <c r="H163" s="959"/>
      <c r="I163" s="1009"/>
      <c r="J163" s="264"/>
      <c r="K163" s="264"/>
      <c r="L163" s="264"/>
      <c r="M163" s="264"/>
      <c r="N163" s="264"/>
      <c r="O163" s="264"/>
      <c r="P163" s="264"/>
      <c r="Q163" s="264"/>
      <c r="R163" s="264"/>
      <c r="S163" s="264"/>
      <c r="T163" s="264"/>
      <c r="U163" s="264"/>
      <c r="V163" s="264"/>
      <c r="W163" s="264"/>
      <c r="X163" s="264"/>
      <c r="Y163" s="264"/>
      <c r="Z163" s="264"/>
      <c r="AA163" s="264"/>
    </row>
    <row r="164" spans="3:27" ht="166.5" customHeight="1" x14ac:dyDescent="0.3">
      <c r="C164" s="151">
        <v>1</v>
      </c>
      <c r="D164" s="473" t="s">
        <v>1171</v>
      </c>
      <c r="E164" s="473">
        <v>30</v>
      </c>
      <c r="F164" s="473" t="s">
        <v>1172</v>
      </c>
      <c r="G164" s="473" t="s">
        <v>1173</v>
      </c>
      <c r="H164" s="473" t="s">
        <v>868</v>
      </c>
      <c r="I164" s="473" t="s">
        <v>940</v>
      </c>
      <c r="J164" s="473"/>
      <c r="K164" s="473"/>
      <c r="L164" s="473"/>
      <c r="M164" s="704"/>
      <c r="N164" s="510">
        <v>45931</v>
      </c>
      <c r="O164" s="510">
        <v>46053</v>
      </c>
      <c r="P164" s="474">
        <v>102000</v>
      </c>
      <c r="Q164" s="212">
        <f>E164*P164</f>
        <v>3060000</v>
      </c>
      <c r="R164" s="68" t="s">
        <v>736</v>
      </c>
      <c r="S164" s="156">
        <v>0</v>
      </c>
      <c r="T164" s="156">
        <v>3060000</v>
      </c>
      <c r="U164" s="156">
        <v>0</v>
      </c>
      <c r="V164" s="151"/>
      <c r="W164" s="156">
        <v>0</v>
      </c>
      <c r="X164" s="151"/>
      <c r="Y164" s="156">
        <v>0</v>
      </c>
      <c r="Z164" s="212">
        <f>Q164-SUM(S164:U164, W164,Y164)</f>
        <v>0</v>
      </c>
      <c r="AA164" s="151"/>
    </row>
    <row r="165" spans="3:27" ht="204.75" customHeight="1" x14ac:dyDescent="0.3">
      <c r="C165" s="151">
        <v>2</v>
      </c>
      <c r="D165" s="473" t="s">
        <v>1557</v>
      </c>
      <c r="E165" s="473">
        <v>1</v>
      </c>
      <c r="F165" s="473" t="s">
        <v>1174</v>
      </c>
      <c r="G165" s="473" t="s">
        <v>1175</v>
      </c>
      <c r="H165" s="473" t="s">
        <v>1250</v>
      </c>
      <c r="I165" s="473" t="s">
        <v>940</v>
      </c>
      <c r="J165" s="473"/>
      <c r="K165" s="473"/>
      <c r="L165" s="473"/>
      <c r="M165" s="704"/>
      <c r="N165" s="510">
        <v>45931</v>
      </c>
      <c r="O165" s="510">
        <v>46053</v>
      </c>
      <c r="P165" s="474">
        <v>115075703.38</v>
      </c>
      <c r="Q165" s="212">
        <f t="shared" ref="Q165:Q193" si="10">E165*P165</f>
        <v>115075703.38</v>
      </c>
      <c r="R165" s="68" t="s">
        <v>736</v>
      </c>
      <c r="S165" s="156">
        <v>0</v>
      </c>
      <c r="T165" s="156">
        <v>115075703</v>
      </c>
      <c r="U165" s="156">
        <v>0</v>
      </c>
      <c r="V165" s="151"/>
      <c r="W165" s="156">
        <v>0</v>
      </c>
      <c r="X165" s="151"/>
      <c r="Y165" s="156">
        <v>0</v>
      </c>
      <c r="Z165" s="212">
        <f>Q165-SUM(S165:U165, W165,Y165)</f>
        <v>0.37999999523162842</v>
      </c>
      <c r="AA165" s="151"/>
    </row>
    <row r="166" spans="3:27" ht="49.5" x14ac:dyDescent="0.3">
      <c r="C166" s="151">
        <v>3</v>
      </c>
      <c r="D166" s="706" t="s">
        <v>1787</v>
      </c>
      <c r="E166" s="473">
        <v>33</v>
      </c>
      <c r="F166" s="473" t="s">
        <v>1176</v>
      </c>
      <c r="G166" s="473" t="s">
        <v>1177</v>
      </c>
      <c r="H166" s="473" t="s">
        <v>868</v>
      </c>
      <c r="I166" s="473" t="s">
        <v>940</v>
      </c>
      <c r="J166" s="473"/>
      <c r="K166" s="473"/>
      <c r="L166" s="473"/>
      <c r="M166" s="704"/>
      <c r="N166" s="510">
        <v>45931</v>
      </c>
      <c r="O166" s="510">
        <v>46053</v>
      </c>
      <c r="P166" s="474">
        <v>650000</v>
      </c>
      <c r="Q166" s="212">
        <f t="shared" si="10"/>
        <v>21450000</v>
      </c>
      <c r="R166" s="68" t="s">
        <v>728</v>
      </c>
      <c r="S166" s="156">
        <v>0</v>
      </c>
      <c r="T166" s="156">
        <v>21450000</v>
      </c>
      <c r="U166" s="156">
        <v>0</v>
      </c>
      <c r="V166" s="151"/>
      <c r="W166" s="156">
        <v>0</v>
      </c>
      <c r="X166" s="151"/>
      <c r="Y166" s="156">
        <v>0</v>
      </c>
      <c r="Z166" s="212">
        <f t="shared" ref="Z166:Z193" si="11">Q166-SUM(S166:U166, W166,Y166)</f>
        <v>0</v>
      </c>
      <c r="AA166" s="176" t="s">
        <v>1833</v>
      </c>
    </row>
    <row r="167" spans="3:27" ht="33" x14ac:dyDescent="0.3">
      <c r="C167" s="151">
        <v>4</v>
      </c>
      <c r="D167" s="552" t="s">
        <v>1178</v>
      </c>
      <c r="E167" s="473">
        <v>1</v>
      </c>
      <c r="F167" s="473" t="s">
        <v>1179</v>
      </c>
      <c r="G167" s="473" t="s">
        <v>1180</v>
      </c>
      <c r="H167" s="473" t="s">
        <v>868</v>
      </c>
      <c r="I167" s="473" t="s">
        <v>940</v>
      </c>
      <c r="J167" s="473"/>
      <c r="K167" s="473"/>
      <c r="L167" s="473"/>
      <c r="M167" s="704"/>
      <c r="N167" s="510">
        <v>45931</v>
      </c>
      <c r="O167" s="510">
        <v>46053</v>
      </c>
      <c r="P167" s="474">
        <v>2600000</v>
      </c>
      <c r="Q167" s="212">
        <f t="shared" si="10"/>
        <v>2600000</v>
      </c>
      <c r="R167" s="68" t="s">
        <v>736</v>
      </c>
      <c r="S167" s="156">
        <v>0</v>
      </c>
      <c r="T167" s="156">
        <v>2600000</v>
      </c>
      <c r="U167" s="156">
        <v>0</v>
      </c>
      <c r="V167" s="151"/>
      <c r="W167" s="156">
        <v>0</v>
      </c>
      <c r="X167" s="151"/>
      <c r="Y167" s="156">
        <v>0</v>
      </c>
      <c r="Z167" s="212">
        <f t="shared" si="11"/>
        <v>0</v>
      </c>
      <c r="AA167" s="151"/>
    </row>
    <row r="168" spans="3:27" ht="15.95" hidden="1" customHeight="1" x14ac:dyDescent="0.3">
      <c r="C168" s="151">
        <v>5</v>
      </c>
      <c r="D168" s="151"/>
      <c r="E168" s="151"/>
      <c r="F168" s="151"/>
      <c r="G168" s="151"/>
      <c r="H168" s="151"/>
      <c r="I168" s="151"/>
      <c r="J168" s="151"/>
      <c r="K168" s="151"/>
      <c r="L168" s="151"/>
      <c r="M168" s="151"/>
      <c r="N168" s="151"/>
      <c r="O168" s="151"/>
      <c r="P168" s="156">
        <v>0</v>
      </c>
      <c r="Q168" s="212">
        <f t="shared" si="10"/>
        <v>0</v>
      </c>
      <c r="R168" s="68"/>
      <c r="S168" s="156">
        <v>0</v>
      </c>
      <c r="T168" s="156">
        <v>0</v>
      </c>
      <c r="U168" s="156">
        <v>0</v>
      </c>
      <c r="V168" s="151"/>
      <c r="W168" s="156">
        <v>0</v>
      </c>
      <c r="X168" s="151"/>
      <c r="Y168" s="156">
        <v>0</v>
      </c>
      <c r="Z168" s="212">
        <f t="shared" si="11"/>
        <v>0</v>
      </c>
      <c r="AA168" s="151"/>
    </row>
    <row r="169" spans="3:27" ht="17.45" hidden="1" customHeight="1" x14ac:dyDescent="0.3">
      <c r="C169" s="151">
        <v>6</v>
      </c>
      <c r="D169" s="151"/>
      <c r="E169" s="151"/>
      <c r="F169" s="151"/>
      <c r="G169" s="151"/>
      <c r="H169" s="151"/>
      <c r="I169" s="151"/>
      <c r="J169" s="151"/>
      <c r="K169" s="151"/>
      <c r="L169" s="151"/>
      <c r="M169" s="151"/>
      <c r="N169" s="151"/>
      <c r="O169" s="151"/>
      <c r="P169" s="156">
        <v>0</v>
      </c>
      <c r="Q169" s="212">
        <f t="shared" si="10"/>
        <v>0</v>
      </c>
      <c r="R169" s="68"/>
      <c r="S169" s="156">
        <v>0</v>
      </c>
      <c r="T169" s="156">
        <v>0</v>
      </c>
      <c r="U169" s="156">
        <v>0</v>
      </c>
      <c r="V169" s="151"/>
      <c r="W169" s="156">
        <v>0</v>
      </c>
      <c r="X169" s="151"/>
      <c r="Y169" s="156">
        <v>0</v>
      </c>
      <c r="Z169" s="212">
        <f t="shared" si="11"/>
        <v>0</v>
      </c>
      <c r="AA169" s="151"/>
    </row>
    <row r="170" spans="3:27" ht="17.25" hidden="1" x14ac:dyDescent="0.3">
      <c r="C170" s="151">
        <v>7</v>
      </c>
      <c r="D170" s="151"/>
      <c r="E170" s="151"/>
      <c r="F170" s="151"/>
      <c r="G170" s="151"/>
      <c r="H170" s="151"/>
      <c r="I170" s="151"/>
      <c r="J170" s="151"/>
      <c r="K170" s="151"/>
      <c r="L170" s="151"/>
      <c r="M170" s="151"/>
      <c r="N170" s="151"/>
      <c r="O170" s="151"/>
      <c r="P170" s="156">
        <v>0</v>
      </c>
      <c r="Q170" s="212">
        <f t="shared" si="10"/>
        <v>0</v>
      </c>
      <c r="R170" s="68"/>
      <c r="S170" s="156">
        <v>0</v>
      </c>
      <c r="T170" s="156">
        <v>0</v>
      </c>
      <c r="U170" s="156">
        <v>0</v>
      </c>
      <c r="V170" s="151"/>
      <c r="W170" s="156">
        <v>0</v>
      </c>
      <c r="X170" s="151"/>
      <c r="Y170" s="156">
        <v>0</v>
      </c>
      <c r="Z170" s="212">
        <f t="shared" si="11"/>
        <v>0</v>
      </c>
      <c r="AA170" s="151"/>
    </row>
    <row r="171" spans="3:27" ht="17.25" hidden="1" x14ac:dyDescent="0.3">
      <c r="C171" s="151">
        <v>8</v>
      </c>
      <c r="D171" s="151"/>
      <c r="E171" s="151"/>
      <c r="F171" s="151"/>
      <c r="G171" s="151"/>
      <c r="H171" s="151"/>
      <c r="I171" s="151"/>
      <c r="J171" s="151"/>
      <c r="K171" s="151"/>
      <c r="L171" s="151"/>
      <c r="M171" s="151"/>
      <c r="N171" s="151"/>
      <c r="O171" s="151"/>
      <c r="P171" s="156">
        <v>0</v>
      </c>
      <c r="Q171" s="212">
        <f t="shared" si="10"/>
        <v>0</v>
      </c>
      <c r="R171" s="68"/>
      <c r="S171" s="156">
        <v>0</v>
      </c>
      <c r="T171" s="156">
        <v>0</v>
      </c>
      <c r="U171" s="156">
        <v>0</v>
      </c>
      <c r="V171" s="151"/>
      <c r="W171" s="156">
        <v>0</v>
      </c>
      <c r="X171" s="151"/>
      <c r="Y171" s="156">
        <v>0</v>
      </c>
      <c r="Z171" s="212">
        <f t="shared" si="11"/>
        <v>0</v>
      </c>
      <c r="AA171" s="151"/>
    </row>
    <row r="172" spans="3:27" ht="17.25" hidden="1" x14ac:dyDescent="0.3">
      <c r="C172" s="151">
        <v>9</v>
      </c>
      <c r="D172" s="151"/>
      <c r="E172" s="151"/>
      <c r="F172" s="151"/>
      <c r="G172" s="151"/>
      <c r="H172" s="151"/>
      <c r="I172" s="151"/>
      <c r="J172" s="151"/>
      <c r="K172" s="151"/>
      <c r="L172" s="151"/>
      <c r="M172" s="151"/>
      <c r="N172" s="151"/>
      <c r="O172" s="151"/>
      <c r="P172" s="156">
        <v>0</v>
      </c>
      <c r="Q172" s="212">
        <f t="shared" si="10"/>
        <v>0</v>
      </c>
      <c r="R172" s="68"/>
      <c r="S172" s="156">
        <v>0</v>
      </c>
      <c r="T172" s="156">
        <v>0</v>
      </c>
      <c r="U172" s="156">
        <v>0</v>
      </c>
      <c r="V172" s="151"/>
      <c r="W172" s="156">
        <v>0</v>
      </c>
      <c r="X172" s="151"/>
      <c r="Y172" s="156">
        <v>0</v>
      </c>
      <c r="Z172" s="212">
        <f t="shared" si="11"/>
        <v>0</v>
      </c>
      <c r="AA172" s="151"/>
    </row>
    <row r="173" spans="3:27" ht="17.25" hidden="1" x14ac:dyDescent="0.3">
      <c r="C173" s="151">
        <v>10</v>
      </c>
      <c r="D173" s="151"/>
      <c r="E173" s="151"/>
      <c r="F173" s="151"/>
      <c r="G173" s="151"/>
      <c r="H173" s="151"/>
      <c r="I173" s="151"/>
      <c r="J173" s="151"/>
      <c r="K173" s="151"/>
      <c r="L173" s="151"/>
      <c r="M173" s="151"/>
      <c r="N173" s="151"/>
      <c r="O173" s="151"/>
      <c r="P173" s="156">
        <v>0</v>
      </c>
      <c r="Q173" s="212">
        <f t="shared" si="10"/>
        <v>0</v>
      </c>
      <c r="R173" s="68"/>
      <c r="S173" s="156">
        <v>0</v>
      </c>
      <c r="T173" s="156">
        <v>0</v>
      </c>
      <c r="U173" s="156">
        <v>0</v>
      </c>
      <c r="V173" s="151"/>
      <c r="W173" s="156">
        <v>0</v>
      </c>
      <c r="X173" s="151"/>
      <c r="Y173" s="156">
        <v>0</v>
      </c>
      <c r="Z173" s="212">
        <f t="shared" si="11"/>
        <v>0</v>
      </c>
      <c r="AA173" s="151"/>
    </row>
    <row r="174" spans="3:27" ht="17.25" hidden="1" x14ac:dyDescent="0.3">
      <c r="C174" s="151">
        <v>11</v>
      </c>
      <c r="D174" s="151"/>
      <c r="E174" s="151"/>
      <c r="F174" s="151"/>
      <c r="G174" s="151"/>
      <c r="H174" s="151"/>
      <c r="I174" s="151"/>
      <c r="J174" s="151"/>
      <c r="K174" s="151"/>
      <c r="L174" s="151"/>
      <c r="M174" s="151"/>
      <c r="N174" s="151"/>
      <c r="O174" s="151"/>
      <c r="P174" s="156">
        <v>0</v>
      </c>
      <c r="Q174" s="212">
        <f t="shared" si="10"/>
        <v>0</v>
      </c>
      <c r="R174" s="68"/>
      <c r="S174" s="156">
        <v>0</v>
      </c>
      <c r="T174" s="156">
        <v>0</v>
      </c>
      <c r="U174" s="156">
        <v>0</v>
      </c>
      <c r="V174" s="151"/>
      <c r="W174" s="156">
        <v>0</v>
      </c>
      <c r="X174" s="151"/>
      <c r="Y174" s="156">
        <v>0</v>
      </c>
      <c r="Z174" s="212">
        <f t="shared" si="11"/>
        <v>0</v>
      </c>
      <c r="AA174" s="151"/>
    </row>
    <row r="175" spans="3:27" ht="17.25" hidden="1" x14ac:dyDescent="0.3">
      <c r="C175" s="151">
        <v>12</v>
      </c>
      <c r="D175" s="151"/>
      <c r="E175" s="151"/>
      <c r="F175" s="151"/>
      <c r="G175" s="151"/>
      <c r="H175" s="151"/>
      <c r="I175" s="151"/>
      <c r="J175" s="151"/>
      <c r="K175" s="151"/>
      <c r="L175" s="151"/>
      <c r="M175" s="151"/>
      <c r="N175" s="151"/>
      <c r="O175" s="151"/>
      <c r="P175" s="156">
        <v>0</v>
      </c>
      <c r="Q175" s="212">
        <f t="shared" si="10"/>
        <v>0</v>
      </c>
      <c r="R175" s="68"/>
      <c r="S175" s="156">
        <v>0</v>
      </c>
      <c r="T175" s="156">
        <v>0</v>
      </c>
      <c r="U175" s="156">
        <v>0</v>
      </c>
      <c r="V175" s="151"/>
      <c r="W175" s="156">
        <v>0</v>
      </c>
      <c r="X175" s="151"/>
      <c r="Y175" s="156">
        <v>0</v>
      </c>
      <c r="Z175" s="212">
        <f t="shared" si="11"/>
        <v>0</v>
      </c>
      <c r="AA175" s="151"/>
    </row>
    <row r="176" spans="3:27" ht="17.25" hidden="1" x14ac:dyDescent="0.3">
      <c r="C176" s="151">
        <v>13</v>
      </c>
      <c r="D176" s="151"/>
      <c r="E176" s="151"/>
      <c r="F176" s="151"/>
      <c r="G176" s="151"/>
      <c r="H176" s="151"/>
      <c r="I176" s="151"/>
      <c r="J176" s="151"/>
      <c r="K176" s="151"/>
      <c r="L176" s="151"/>
      <c r="M176" s="151"/>
      <c r="N176" s="151"/>
      <c r="O176" s="151"/>
      <c r="P176" s="156">
        <v>0</v>
      </c>
      <c r="Q176" s="212">
        <f t="shared" si="10"/>
        <v>0</v>
      </c>
      <c r="R176" s="68"/>
      <c r="S176" s="156">
        <v>0</v>
      </c>
      <c r="T176" s="156">
        <v>0</v>
      </c>
      <c r="U176" s="156">
        <v>0</v>
      </c>
      <c r="V176" s="151"/>
      <c r="W176" s="156">
        <v>0</v>
      </c>
      <c r="X176" s="151"/>
      <c r="Y176" s="156">
        <v>0</v>
      </c>
      <c r="Z176" s="212">
        <f t="shared" si="11"/>
        <v>0</v>
      </c>
      <c r="AA176" s="151"/>
    </row>
    <row r="177" spans="3:27" ht="17.25" hidden="1" x14ac:dyDescent="0.3">
      <c r="C177" s="151">
        <v>14</v>
      </c>
      <c r="D177" s="151"/>
      <c r="E177" s="151"/>
      <c r="F177" s="151"/>
      <c r="G177" s="151"/>
      <c r="H177" s="151"/>
      <c r="I177" s="151"/>
      <c r="J177" s="151"/>
      <c r="K177" s="151"/>
      <c r="L177" s="151"/>
      <c r="M177" s="151"/>
      <c r="N177" s="151"/>
      <c r="O177" s="151"/>
      <c r="P177" s="156">
        <v>0</v>
      </c>
      <c r="Q177" s="212">
        <f t="shared" si="10"/>
        <v>0</v>
      </c>
      <c r="R177" s="68"/>
      <c r="S177" s="156">
        <v>0</v>
      </c>
      <c r="T177" s="156">
        <v>0</v>
      </c>
      <c r="U177" s="156">
        <v>0</v>
      </c>
      <c r="V177" s="151"/>
      <c r="W177" s="156">
        <v>0</v>
      </c>
      <c r="X177" s="151"/>
      <c r="Y177" s="156">
        <v>0</v>
      </c>
      <c r="Z177" s="212">
        <f t="shared" si="11"/>
        <v>0</v>
      </c>
      <c r="AA177" s="151"/>
    </row>
    <row r="178" spans="3:27" ht="17.25" hidden="1" x14ac:dyDescent="0.3">
      <c r="C178" s="151">
        <v>15</v>
      </c>
      <c r="D178" s="151"/>
      <c r="E178" s="151"/>
      <c r="F178" s="151"/>
      <c r="G178" s="151"/>
      <c r="H178" s="151"/>
      <c r="I178" s="151"/>
      <c r="J178" s="151"/>
      <c r="K178" s="151"/>
      <c r="L178" s="151"/>
      <c r="M178" s="151"/>
      <c r="N178" s="151"/>
      <c r="O178" s="151"/>
      <c r="P178" s="156">
        <v>0</v>
      </c>
      <c r="Q178" s="212">
        <f t="shared" si="10"/>
        <v>0</v>
      </c>
      <c r="R178" s="68"/>
      <c r="S178" s="156">
        <v>0</v>
      </c>
      <c r="T178" s="156">
        <v>0</v>
      </c>
      <c r="U178" s="156">
        <v>0</v>
      </c>
      <c r="V178" s="151"/>
      <c r="W178" s="156">
        <v>0</v>
      </c>
      <c r="X178" s="151"/>
      <c r="Y178" s="156">
        <v>0</v>
      </c>
      <c r="Z178" s="212">
        <f t="shared" si="11"/>
        <v>0</v>
      </c>
      <c r="AA178" s="151"/>
    </row>
    <row r="179" spans="3:27" ht="17.25" hidden="1" x14ac:dyDescent="0.3">
      <c r="C179" s="151">
        <v>16</v>
      </c>
      <c r="D179" s="151"/>
      <c r="E179" s="151"/>
      <c r="F179" s="151"/>
      <c r="G179" s="151"/>
      <c r="H179" s="151"/>
      <c r="I179" s="151"/>
      <c r="J179" s="151"/>
      <c r="K179" s="151"/>
      <c r="L179" s="151"/>
      <c r="M179" s="151"/>
      <c r="N179" s="151"/>
      <c r="O179" s="151"/>
      <c r="P179" s="156">
        <v>0</v>
      </c>
      <c r="Q179" s="212">
        <f t="shared" si="10"/>
        <v>0</v>
      </c>
      <c r="R179" s="68"/>
      <c r="S179" s="156">
        <v>0</v>
      </c>
      <c r="T179" s="156">
        <v>0</v>
      </c>
      <c r="U179" s="156">
        <v>0</v>
      </c>
      <c r="V179" s="151"/>
      <c r="W179" s="156">
        <v>0</v>
      </c>
      <c r="X179" s="151"/>
      <c r="Y179" s="156">
        <v>0</v>
      </c>
      <c r="Z179" s="212">
        <f t="shared" si="11"/>
        <v>0</v>
      </c>
      <c r="AA179" s="151"/>
    </row>
    <row r="180" spans="3:27" ht="17.25" hidden="1" x14ac:dyDescent="0.3">
      <c r="C180" s="151">
        <v>17</v>
      </c>
      <c r="D180" s="151"/>
      <c r="E180" s="151"/>
      <c r="F180" s="151"/>
      <c r="G180" s="151"/>
      <c r="H180" s="151"/>
      <c r="I180" s="151"/>
      <c r="J180" s="151"/>
      <c r="K180" s="151"/>
      <c r="L180" s="151"/>
      <c r="M180" s="151"/>
      <c r="N180" s="151"/>
      <c r="O180" s="151"/>
      <c r="P180" s="156">
        <v>0</v>
      </c>
      <c r="Q180" s="212">
        <f t="shared" si="10"/>
        <v>0</v>
      </c>
      <c r="R180" s="68"/>
      <c r="S180" s="156">
        <v>0</v>
      </c>
      <c r="T180" s="156">
        <v>0</v>
      </c>
      <c r="U180" s="156">
        <v>0</v>
      </c>
      <c r="V180" s="151"/>
      <c r="W180" s="156">
        <v>0</v>
      </c>
      <c r="X180" s="151"/>
      <c r="Y180" s="156">
        <v>0</v>
      </c>
      <c r="Z180" s="212">
        <f t="shared" si="11"/>
        <v>0</v>
      </c>
      <c r="AA180" s="151"/>
    </row>
    <row r="181" spans="3:27" ht="17.25" hidden="1" x14ac:dyDescent="0.3">
      <c r="C181" s="151">
        <v>18</v>
      </c>
      <c r="D181" s="151"/>
      <c r="E181" s="151"/>
      <c r="F181" s="151"/>
      <c r="G181" s="151"/>
      <c r="H181" s="151"/>
      <c r="I181" s="151"/>
      <c r="J181" s="151"/>
      <c r="K181" s="151"/>
      <c r="L181" s="151"/>
      <c r="M181" s="151"/>
      <c r="N181" s="151"/>
      <c r="O181" s="151"/>
      <c r="P181" s="156">
        <v>0</v>
      </c>
      <c r="Q181" s="212">
        <f t="shared" si="10"/>
        <v>0</v>
      </c>
      <c r="R181" s="68"/>
      <c r="S181" s="156">
        <v>0</v>
      </c>
      <c r="T181" s="156">
        <v>0</v>
      </c>
      <c r="U181" s="156">
        <v>0</v>
      </c>
      <c r="V181" s="151"/>
      <c r="W181" s="156">
        <v>0</v>
      </c>
      <c r="X181" s="151"/>
      <c r="Y181" s="156">
        <v>0</v>
      </c>
      <c r="Z181" s="212">
        <f t="shared" si="11"/>
        <v>0</v>
      </c>
      <c r="AA181" s="151"/>
    </row>
    <row r="182" spans="3:27" ht="17.25" hidden="1" x14ac:dyDescent="0.3">
      <c r="C182" s="151">
        <v>19</v>
      </c>
      <c r="D182" s="151"/>
      <c r="E182" s="151"/>
      <c r="F182" s="151"/>
      <c r="G182" s="151"/>
      <c r="H182" s="151"/>
      <c r="I182" s="151"/>
      <c r="J182" s="151"/>
      <c r="K182" s="151"/>
      <c r="L182" s="151"/>
      <c r="M182" s="151"/>
      <c r="N182" s="151"/>
      <c r="O182" s="151"/>
      <c r="P182" s="156">
        <v>0</v>
      </c>
      <c r="Q182" s="212">
        <f t="shared" si="10"/>
        <v>0</v>
      </c>
      <c r="R182" s="68"/>
      <c r="S182" s="156">
        <v>0</v>
      </c>
      <c r="T182" s="156">
        <v>0</v>
      </c>
      <c r="U182" s="156">
        <v>0</v>
      </c>
      <c r="V182" s="151"/>
      <c r="W182" s="156">
        <v>0</v>
      </c>
      <c r="X182" s="151"/>
      <c r="Y182" s="156">
        <v>0</v>
      </c>
      <c r="Z182" s="212">
        <f t="shared" si="11"/>
        <v>0</v>
      </c>
      <c r="AA182" s="151"/>
    </row>
    <row r="183" spans="3:27" ht="17.25" hidden="1" x14ac:dyDescent="0.3">
      <c r="C183" s="151">
        <v>20</v>
      </c>
      <c r="D183" s="151"/>
      <c r="E183" s="151"/>
      <c r="F183" s="151"/>
      <c r="G183" s="151"/>
      <c r="H183" s="151"/>
      <c r="I183" s="151"/>
      <c r="J183" s="151"/>
      <c r="K183" s="151"/>
      <c r="L183" s="151"/>
      <c r="M183" s="151"/>
      <c r="N183" s="151"/>
      <c r="O183" s="151"/>
      <c r="P183" s="156">
        <v>0</v>
      </c>
      <c r="Q183" s="212">
        <f t="shared" si="10"/>
        <v>0</v>
      </c>
      <c r="R183" s="68"/>
      <c r="S183" s="156">
        <v>0</v>
      </c>
      <c r="T183" s="156">
        <v>0</v>
      </c>
      <c r="U183" s="156">
        <v>0</v>
      </c>
      <c r="V183" s="151"/>
      <c r="W183" s="156">
        <v>0</v>
      </c>
      <c r="X183" s="151"/>
      <c r="Y183" s="156">
        <v>0</v>
      </c>
      <c r="Z183" s="212">
        <f t="shared" si="11"/>
        <v>0</v>
      </c>
      <c r="AA183" s="151"/>
    </row>
    <row r="184" spans="3:27" ht="17.25" hidden="1" x14ac:dyDescent="0.3">
      <c r="C184" s="151">
        <v>21</v>
      </c>
      <c r="D184" s="151"/>
      <c r="E184" s="151"/>
      <c r="F184" s="151"/>
      <c r="G184" s="151"/>
      <c r="H184" s="151"/>
      <c r="I184" s="151"/>
      <c r="J184" s="151"/>
      <c r="K184" s="151"/>
      <c r="L184" s="151"/>
      <c r="M184" s="151"/>
      <c r="N184" s="151"/>
      <c r="O184" s="151"/>
      <c r="P184" s="156">
        <v>0</v>
      </c>
      <c r="Q184" s="212">
        <f t="shared" si="10"/>
        <v>0</v>
      </c>
      <c r="R184" s="68"/>
      <c r="S184" s="156">
        <v>0</v>
      </c>
      <c r="T184" s="156">
        <v>0</v>
      </c>
      <c r="U184" s="156">
        <v>0</v>
      </c>
      <c r="V184" s="151"/>
      <c r="W184" s="156">
        <v>0</v>
      </c>
      <c r="X184" s="151"/>
      <c r="Y184" s="156">
        <v>0</v>
      </c>
      <c r="Z184" s="212">
        <f t="shared" si="11"/>
        <v>0</v>
      </c>
      <c r="AA184" s="151"/>
    </row>
    <row r="185" spans="3:27" ht="17.25" hidden="1" x14ac:dyDescent="0.3">
      <c r="C185" s="151">
        <v>22</v>
      </c>
      <c r="D185" s="151"/>
      <c r="E185" s="151"/>
      <c r="F185" s="151"/>
      <c r="G185" s="151"/>
      <c r="H185" s="151"/>
      <c r="I185" s="151"/>
      <c r="J185" s="151"/>
      <c r="K185" s="151"/>
      <c r="L185" s="151"/>
      <c r="M185" s="151"/>
      <c r="N185" s="151"/>
      <c r="O185" s="151"/>
      <c r="P185" s="156">
        <v>0</v>
      </c>
      <c r="Q185" s="212">
        <f t="shared" si="10"/>
        <v>0</v>
      </c>
      <c r="R185" s="68"/>
      <c r="S185" s="156">
        <v>0</v>
      </c>
      <c r="T185" s="156">
        <v>0</v>
      </c>
      <c r="U185" s="156">
        <v>0</v>
      </c>
      <c r="V185" s="151"/>
      <c r="W185" s="156">
        <v>0</v>
      </c>
      <c r="X185" s="151"/>
      <c r="Y185" s="156">
        <v>0</v>
      </c>
      <c r="Z185" s="212">
        <f t="shared" si="11"/>
        <v>0</v>
      </c>
      <c r="AA185" s="151"/>
    </row>
    <row r="186" spans="3:27" ht="17.25" hidden="1" x14ac:dyDescent="0.3">
      <c r="C186" s="151">
        <v>23</v>
      </c>
      <c r="D186" s="151"/>
      <c r="E186" s="151"/>
      <c r="F186" s="151"/>
      <c r="G186" s="151"/>
      <c r="H186" s="151"/>
      <c r="I186" s="151"/>
      <c r="J186" s="151"/>
      <c r="K186" s="151"/>
      <c r="L186" s="151"/>
      <c r="M186" s="151"/>
      <c r="N186" s="151"/>
      <c r="O186" s="151"/>
      <c r="P186" s="156">
        <v>0</v>
      </c>
      <c r="Q186" s="212">
        <f t="shared" si="10"/>
        <v>0</v>
      </c>
      <c r="R186" s="68"/>
      <c r="S186" s="156">
        <v>0</v>
      </c>
      <c r="T186" s="156">
        <v>0</v>
      </c>
      <c r="U186" s="156">
        <v>0</v>
      </c>
      <c r="V186" s="151"/>
      <c r="W186" s="156">
        <v>0</v>
      </c>
      <c r="X186" s="151"/>
      <c r="Y186" s="156">
        <v>0</v>
      </c>
      <c r="Z186" s="212">
        <f t="shared" si="11"/>
        <v>0</v>
      </c>
      <c r="AA186" s="151"/>
    </row>
    <row r="187" spans="3:27" ht="17.25" hidden="1" x14ac:dyDescent="0.3">
      <c r="C187" s="151">
        <v>24</v>
      </c>
      <c r="D187" s="151"/>
      <c r="E187" s="151"/>
      <c r="F187" s="151"/>
      <c r="G187" s="151"/>
      <c r="H187" s="151"/>
      <c r="I187" s="151"/>
      <c r="J187" s="151"/>
      <c r="K187" s="151"/>
      <c r="L187" s="151"/>
      <c r="M187" s="151"/>
      <c r="N187" s="151"/>
      <c r="O187" s="151"/>
      <c r="P187" s="156">
        <v>0</v>
      </c>
      <c r="Q187" s="212">
        <f t="shared" si="10"/>
        <v>0</v>
      </c>
      <c r="R187" s="68"/>
      <c r="S187" s="156">
        <v>0</v>
      </c>
      <c r="T187" s="156">
        <v>0</v>
      </c>
      <c r="U187" s="156">
        <v>0</v>
      </c>
      <c r="V187" s="151"/>
      <c r="W187" s="156">
        <v>0</v>
      </c>
      <c r="X187" s="151"/>
      <c r="Y187" s="156">
        <v>0</v>
      </c>
      <c r="Z187" s="212">
        <f t="shared" si="11"/>
        <v>0</v>
      </c>
      <c r="AA187" s="151"/>
    </row>
    <row r="188" spans="3:27" ht="17.25" hidden="1" x14ac:dyDescent="0.3">
      <c r="C188" s="151">
        <v>25</v>
      </c>
      <c r="D188" s="151"/>
      <c r="E188" s="151"/>
      <c r="F188" s="151"/>
      <c r="G188" s="151"/>
      <c r="H188" s="151"/>
      <c r="I188" s="151"/>
      <c r="J188" s="151"/>
      <c r="K188" s="151"/>
      <c r="L188" s="151"/>
      <c r="M188" s="151"/>
      <c r="N188" s="151"/>
      <c r="O188" s="151"/>
      <c r="P188" s="156">
        <v>0</v>
      </c>
      <c r="Q188" s="212">
        <f t="shared" si="10"/>
        <v>0</v>
      </c>
      <c r="R188" s="68"/>
      <c r="S188" s="156">
        <v>0</v>
      </c>
      <c r="T188" s="156">
        <v>0</v>
      </c>
      <c r="U188" s="156">
        <v>0</v>
      </c>
      <c r="V188" s="151"/>
      <c r="W188" s="156">
        <v>0</v>
      </c>
      <c r="X188" s="151"/>
      <c r="Y188" s="156">
        <v>0</v>
      </c>
      <c r="Z188" s="212">
        <f t="shared" si="11"/>
        <v>0</v>
      </c>
      <c r="AA188" s="151"/>
    </row>
    <row r="189" spans="3:27" ht="17.25" hidden="1" x14ac:dyDescent="0.3">
      <c r="C189" s="151">
        <v>26</v>
      </c>
      <c r="D189" s="151"/>
      <c r="E189" s="151"/>
      <c r="F189" s="151"/>
      <c r="G189" s="151"/>
      <c r="H189" s="151"/>
      <c r="I189" s="151"/>
      <c r="J189" s="151"/>
      <c r="K189" s="151"/>
      <c r="L189" s="151"/>
      <c r="M189" s="151"/>
      <c r="N189" s="151"/>
      <c r="O189" s="151"/>
      <c r="P189" s="156">
        <v>0</v>
      </c>
      <c r="Q189" s="212">
        <f t="shared" si="10"/>
        <v>0</v>
      </c>
      <c r="R189" s="68"/>
      <c r="S189" s="156">
        <v>0</v>
      </c>
      <c r="T189" s="156">
        <v>0</v>
      </c>
      <c r="U189" s="156">
        <v>0</v>
      </c>
      <c r="V189" s="151"/>
      <c r="W189" s="156">
        <v>0</v>
      </c>
      <c r="X189" s="151"/>
      <c r="Y189" s="156">
        <v>0</v>
      </c>
      <c r="Z189" s="212">
        <f t="shared" si="11"/>
        <v>0</v>
      </c>
      <c r="AA189" s="151"/>
    </row>
    <row r="190" spans="3:27" ht="17.25" hidden="1" x14ac:dyDescent="0.3">
      <c r="C190" s="151">
        <v>27</v>
      </c>
      <c r="D190" s="151"/>
      <c r="E190" s="151"/>
      <c r="F190" s="151"/>
      <c r="G190" s="151"/>
      <c r="H190" s="151"/>
      <c r="I190" s="151"/>
      <c r="J190" s="151"/>
      <c r="K190" s="151"/>
      <c r="L190" s="151"/>
      <c r="M190" s="151"/>
      <c r="N190" s="151"/>
      <c r="O190" s="151"/>
      <c r="P190" s="156">
        <v>0</v>
      </c>
      <c r="Q190" s="212">
        <f t="shared" si="10"/>
        <v>0</v>
      </c>
      <c r="R190" s="68"/>
      <c r="S190" s="156">
        <v>0</v>
      </c>
      <c r="T190" s="156">
        <v>0</v>
      </c>
      <c r="U190" s="156">
        <v>0</v>
      </c>
      <c r="V190" s="151"/>
      <c r="W190" s="156">
        <v>0</v>
      </c>
      <c r="X190" s="151"/>
      <c r="Y190" s="156">
        <v>0</v>
      </c>
      <c r="Z190" s="212">
        <f t="shared" si="11"/>
        <v>0</v>
      </c>
      <c r="AA190" s="151"/>
    </row>
    <row r="191" spans="3:27" ht="17.25" hidden="1" x14ac:dyDescent="0.3">
      <c r="C191" s="151">
        <v>28</v>
      </c>
      <c r="D191" s="151"/>
      <c r="E191" s="151"/>
      <c r="F191" s="151"/>
      <c r="G191" s="151"/>
      <c r="H191" s="151"/>
      <c r="I191" s="151"/>
      <c r="J191" s="151"/>
      <c r="K191" s="151"/>
      <c r="L191" s="151"/>
      <c r="M191" s="151"/>
      <c r="N191" s="151"/>
      <c r="O191" s="151"/>
      <c r="P191" s="156">
        <v>0</v>
      </c>
      <c r="Q191" s="212">
        <f t="shared" si="10"/>
        <v>0</v>
      </c>
      <c r="R191" s="68"/>
      <c r="S191" s="156">
        <v>0</v>
      </c>
      <c r="T191" s="156">
        <v>0</v>
      </c>
      <c r="U191" s="156">
        <v>0</v>
      </c>
      <c r="V191" s="151"/>
      <c r="W191" s="156">
        <v>0</v>
      </c>
      <c r="X191" s="151"/>
      <c r="Y191" s="156">
        <v>0</v>
      </c>
      <c r="Z191" s="212">
        <f t="shared" si="11"/>
        <v>0</v>
      </c>
      <c r="AA191" s="151"/>
    </row>
    <row r="192" spans="3:27" ht="17.25" hidden="1" x14ac:dyDescent="0.3">
      <c r="C192" s="151">
        <v>29</v>
      </c>
      <c r="D192" s="151"/>
      <c r="E192" s="151"/>
      <c r="F192" s="151"/>
      <c r="G192" s="151"/>
      <c r="H192" s="151"/>
      <c r="I192" s="151"/>
      <c r="J192" s="151"/>
      <c r="K192" s="151"/>
      <c r="L192" s="151"/>
      <c r="M192" s="151"/>
      <c r="N192" s="151"/>
      <c r="O192" s="151"/>
      <c r="P192" s="156">
        <v>0</v>
      </c>
      <c r="Q192" s="212">
        <f t="shared" si="10"/>
        <v>0</v>
      </c>
      <c r="R192" s="68"/>
      <c r="S192" s="156">
        <v>0</v>
      </c>
      <c r="T192" s="156">
        <v>0</v>
      </c>
      <c r="U192" s="156">
        <v>0</v>
      </c>
      <c r="V192" s="151"/>
      <c r="W192" s="156">
        <v>0</v>
      </c>
      <c r="X192" s="151"/>
      <c r="Y192" s="156">
        <v>0</v>
      </c>
      <c r="Z192" s="212">
        <f t="shared" si="11"/>
        <v>0</v>
      </c>
      <c r="AA192" s="151"/>
    </row>
    <row r="193" spans="3:27" ht="17.25" hidden="1" x14ac:dyDescent="0.3">
      <c r="C193" s="151">
        <v>30</v>
      </c>
      <c r="D193" s="151"/>
      <c r="E193" s="151"/>
      <c r="F193" s="151"/>
      <c r="G193" s="151"/>
      <c r="H193" s="151"/>
      <c r="I193" s="151"/>
      <c r="J193" s="151"/>
      <c r="K193" s="151"/>
      <c r="L193" s="151"/>
      <c r="M193" s="151"/>
      <c r="N193" s="151"/>
      <c r="O193" s="151"/>
      <c r="P193" s="156">
        <v>0</v>
      </c>
      <c r="Q193" s="212">
        <f t="shared" si="10"/>
        <v>0</v>
      </c>
      <c r="R193" s="68"/>
      <c r="S193" s="156">
        <v>0</v>
      </c>
      <c r="T193" s="156">
        <v>0</v>
      </c>
      <c r="U193" s="156">
        <v>0</v>
      </c>
      <c r="V193" s="151"/>
      <c r="W193" s="156">
        <v>0</v>
      </c>
      <c r="X193" s="151"/>
      <c r="Y193" s="156">
        <v>0</v>
      </c>
      <c r="Z193" s="212">
        <f t="shared" si="11"/>
        <v>0</v>
      </c>
      <c r="AA193" s="151"/>
    </row>
    <row r="194" spans="3:27" x14ac:dyDescent="0.25">
      <c r="C194" s="859" t="s">
        <v>133</v>
      </c>
      <c r="D194" s="859"/>
      <c r="E194" s="177"/>
      <c r="F194" s="159"/>
      <c r="G194" s="159"/>
      <c r="H194" s="159"/>
      <c r="I194" s="159"/>
      <c r="J194" s="159"/>
      <c r="K194" s="159"/>
      <c r="L194" s="159"/>
      <c r="M194" s="159"/>
      <c r="N194" s="159"/>
      <c r="O194" s="159"/>
      <c r="P194" s="159"/>
      <c r="Q194" s="214">
        <f>SUM(Q164:Q193)</f>
        <v>142185703.38</v>
      </c>
      <c r="R194" s="158"/>
      <c r="S194" s="214">
        <f>SUM(S164:S193)</f>
        <v>0</v>
      </c>
      <c r="T194" s="214">
        <f>SUM(T164:T193)</f>
        <v>142185703</v>
      </c>
      <c r="U194" s="214">
        <f>SUM(U164:U193)</f>
        <v>0</v>
      </c>
      <c r="V194" s="834">
        <f>SUM(W164:W193,Y164:Y193)</f>
        <v>0</v>
      </c>
      <c r="W194" s="835"/>
      <c r="X194" s="835"/>
      <c r="Y194" s="836"/>
      <c r="Z194" s="214">
        <f>SUM(Z164:Z193)</f>
        <v>0.37999999523162842</v>
      </c>
      <c r="AA194" s="249"/>
    </row>
    <row r="195" spans="3:27" x14ac:dyDescent="0.25">
      <c r="C195" s="178"/>
      <c r="D195" s="178"/>
      <c r="E195" s="178"/>
      <c r="Q195" s="179"/>
      <c r="R195" s="179"/>
    </row>
    <row r="196" spans="3:27" ht="16.5" customHeight="1" x14ac:dyDescent="0.25">
      <c r="C196" s="789" t="s">
        <v>35</v>
      </c>
      <c r="D196" s="789" t="s">
        <v>34</v>
      </c>
      <c r="E196" s="766" t="s">
        <v>315</v>
      </c>
      <c r="F196" s="766" t="s">
        <v>110</v>
      </c>
      <c r="G196" s="766" t="s">
        <v>314</v>
      </c>
      <c r="H196" s="789" t="s">
        <v>99</v>
      </c>
      <c r="I196" s="766" t="s">
        <v>189</v>
      </c>
      <c r="J196" s="766" t="s">
        <v>188</v>
      </c>
      <c r="K196" s="766"/>
      <c r="L196" s="766"/>
      <c r="M196" s="766"/>
      <c r="N196" s="766" t="s">
        <v>168</v>
      </c>
      <c r="O196" s="766" t="s">
        <v>51</v>
      </c>
      <c r="P196" s="789" t="s">
        <v>190</v>
      </c>
      <c r="Q196" s="789" t="s">
        <v>191</v>
      </c>
      <c r="R196" s="766" t="s">
        <v>53</v>
      </c>
      <c r="S196" s="766"/>
      <c r="T196" s="766"/>
      <c r="U196" s="766"/>
      <c r="V196" s="766"/>
      <c r="W196" s="766"/>
      <c r="X196" s="766"/>
      <c r="Y196" s="789" t="s">
        <v>415</v>
      </c>
      <c r="Z196" s="789" t="s">
        <v>107</v>
      </c>
    </row>
    <row r="197" spans="3:27" x14ac:dyDescent="0.25">
      <c r="C197" s="789"/>
      <c r="D197" s="789"/>
      <c r="E197" s="766"/>
      <c r="F197" s="766"/>
      <c r="G197" s="766"/>
      <c r="H197" s="789"/>
      <c r="I197" s="766"/>
      <c r="J197" s="766"/>
      <c r="K197" s="766"/>
      <c r="L197" s="766"/>
      <c r="M197" s="766"/>
      <c r="N197" s="766"/>
      <c r="O197" s="766"/>
      <c r="P197" s="789"/>
      <c r="Q197" s="789"/>
      <c r="R197" s="998" t="s">
        <v>54</v>
      </c>
      <c r="S197" s="998"/>
      <c r="T197" s="998"/>
      <c r="U197" s="998" t="s">
        <v>55</v>
      </c>
      <c r="V197" s="998"/>
      <c r="W197" s="998" t="s">
        <v>58</v>
      </c>
      <c r="X197" s="998"/>
      <c r="Y197" s="789"/>
      <c r="Z197" s="789"/>
    </row>
    <row r="198" spans="3:27" ht="49.5" x14ac:dyDescent="0.25">
      <c r="C198" s="789"/>
      <c r="D198" s="789"/>
      <c r="E198" s="766"/>
      <c r="F198" s="766"/>
      <c r="G198" s="766"/>
      <c r="H198" s="789"/>
      <c r="I198" s="766"/>
      <c r="J198" s="259" t="s">
        <v>37</v>
      </c>
      <c r="K198" s="259" t="s">
        <v>38</v>
      </c>
      <c r="L198" s="259" t="s">
        <v>39</v>
      </c>
      <c r="M198" s="259" t="s">
        <v>40</v>
      </c>
      <c r="N198" s="766"/>
      <c r="O198" s="766"/>
      <c r="P198" s="789"/>
      <c r="Q198" s="789"/>
      <c r="R198" s="260" t="s">
        <v>62</v>
      </c>
      <c r="S198" s="260" t="s">
        <v>63</v>
      </c>
      <c r="T198" s="260" t="s">
        <v>282</v>
      </c>
      <c r="U198" s="260" t="s">
        <v>56</v>
      </c>
      <c r="V198" s="260" t="s">
        <v>57</v>
      </c>
      <c r="W198" s="260" t="s">
        <v>56</v>
      </c>
      <c r="X198" s="260" t="s">
        <v>57</v>
      </c>
      <c r="Y198" s="789"/>
      <c r="Z198" s="789"/>
    </row>
    <row r="199" spans="3:27" ht="16.5" customHeight="1" x14ac:dyDescent="0.25">
      <c r="C199" s="988" t="s">
        <v>109</v>
      </c>
      <c r="D199" s="989"/>
      <c r="E199" s="989"/>
      <c r="F199" s="989"/>
      <c r="G199" s="989"/>
      <c r="H199" s="989"/>
      <c r="I199" s="990"/>
      <c r="J199" s="264"/>
      <c r="K199" s="264"/>
      <c r="L199" s="264"/>
      <c r="M199" s="264"/>
      <c r="N199" s="264"/>
      <c r="O199" s="264"/>
      <c r="P199" s="264"/>
      <c r="Q199" s="264"/>
      <c r="R199" s="264"/>
      <c r="S199" s="264"/>
      <c r="T199" s="264"/>
      <c r="U199" s="264"/>
      <c r="V199" s="264"/>
      <c r="W199" s="264"/>
      <c r="X199" s="264"/>
      <c r="Y199" s="264"/>
      <c r="Z199" s="264"/>
    </row>
    <row r="200" spans="3:27" ht="33" x14ac:dyDescent="0.3">
      <c r="C200" s="151">
        <v>1</v>
      </c>
      <c r="D200" s="473" t="s">
        <v>1795</v>
      </c>
      <c r="E200" s="473">
        <v>30</v>
      </c>
      <c r="F200" s="473" t="s">
        <v>950</v>
      </c>
      <c r="G200" s="473" t="s">
        <v>951</v>
      </c>
      <c r="H200" s="471" t="s">
        <v>952</v>
      </c>
      <c r="I200" s="471" t="s">
        <v>940</v>
      </c>
      <c r="J200" s="473"/>
      <c r="K200" s="473"/>
      <c r="L200" s="473"/>
      <c r="M200" s="712"/>
      <c r="N200" s="533" t="s">
        <v>953</v>
      </c>
      <c r="O200" s="476">
        <v>2837500</v>
      </c>
      <c r="P200" s="212">
        <f>O200*E200</f>
        <v>85125000</v>
      </c>
      <c r="Q200" s="68" t="s">
        <v>734</v>
      </c>
      <c r="R200" s="156">
        <v>0</v>
      </c>
      <c r="S200" s="156">
        <v>85125000</v>
      </c>
      <c r="T200" s="156">
        <v>0</v>
      </c>
      <c r="U200" s="151"/>
      <c r="V200" s="156">
        <v>0</v>
      </c>
      <c r="W200" s="151"/>
      <c r="X200" s="156">
        <v>0</v>
      </c>
      <c r="Y200" s="212">
        <f>P200-(SUM(R200:T200,V200,X200))</f>
        <v>0</v>
      </c>
      <c r="Z200" s="151"/>
    </row>
    <row r="201" spans="3:27" ht="33" x14ac:dyDescent="0.3">
      <c r="C201" s="151">
        <v>2</v>
      </c>
      <c r="D201" s="437" t="s">
        <v>1789</v>
      </c>
      <c r="E201" s="531">
        <v>1</v>
      </c>
      <c r="F201" s="531" t="s">
        <v>944</v>
      </c>
      <c r="G201" s="473" t="s">
        <v>943</v>
      </c>
      <c r="H201" s="471" t="s">
        <v>978</v>
      </c>
      <c r="I201" s="473" t="s">
        <v>940</v>
      </c>
      <c r="J201" s="473"/>
      <c r="K201" s="473"/>
      <c r="L201" s="473"/>
      <c r="M201" s="704"/>
      <c r="N201" s="471" t="s">
        <v>978</v>
      </c>
      <c r="O201" s="474">
        <v>3972500</v>
      </c>
      <c r="P201" s="212">
        <f t="shared" ref="P201:P229" si="12">O201*E201</f>
        <v>3972500</v>
      </c>
      <c r="Q201" s="68" t="s">
        <v>728</v>
      </c>
      <c r="R201" s="156">
        <v>0</v>
      </c>
      <c r="S201" s="156">
        <v>3972500</v>
      </c>
      <c r="T201" s="156">
        <v>0</v>
      </c>
      <c r="U201" s="151"/>
      <c r="V201" s="156">
        <v>0</v>
      </c>
      <c r="W201" s="151"/>
      <c r="X201" s="156">
        <v>0</v>
      </c>
      <c r="Y201" s="212">
        <f t="shared" ref="Y201:Y229" si="13">P201-(SUM(R201:T201,V201,X201))</f>
        <v>0</v>
      </c>
      <c r="Z201" s="176" t="s">
        <v>1833</v>
      </c>
    </row>
    <row r="202" spans="3:27" ht="33" x14ac:dyDescent="0.3">
      <c r="C202" s="151">
        <v>3</v>
      </c>
      <c r="D202" s="482" t="s">
        <v>1786</v>
      </c>
      <c r="E202" s="473">
        <v>2</v>
      </c>
      <c r="F202" s="473" t="s">
        <v>945</v>
      </c>
      <c r="G202" s="473" t="s">
        <v>943</v>
      </c>
      <c r="H202" s="471" t="s">
        <v>979</v>
      </c>
      <c r="I202" s="473" t="s">
        <v>940</v>
      </c>
      <c r="J202" s="473"/>
      <c r="K202" s="473"/>
      <c r="L202" s="473"/>
      <c r="M202" s="704"/>
      <c r="N202" s="471" t="s">
        <v>983</v>
      </c>
      <c r="O202" s="474">
        <v>3564996.1834769999</v>
      </c>
      <c r="P202" s="212">
        <f t="shared" si="12"/>
        <v>7129992.3669539997</v>
      </c>
      <c r="Q202" s="68" t="s">
        <v>728</v>
      </c>
      <c r="R202" s="156">
        <v>0</v>
      </c>
      <c r="S202" s="156">
        <v>7129992.3700000001</v>
      </c>
      <c r="T202" s="156">
        <v>0</v>
      </c>
      <c r="U202" s="151"/>
      <c r="V202" s="156">
        <v>0</v>
      </c>
      <c r="W202" s="151"/>
      <c r="X202" s="156">
        <v>0</v>
      </c>
      <c r="Y202" s="212">
        <f t="shared" si="13"/>
        <v>-3.0460003763437271E-3</v>
      </c>
      <c r="Z202" s="176" t="s">
        <v>1833</v>
      </c>
    </row>
    <row r="203" spans="3:27" ht="33" x14ac:dyDescent="0.3">
      <c r="C203" s="151">
        <v>4</v>
      </c>
      <c r="D203" s="473" t="s">
        <v>946</v>
      </c>
      <c r="E203" s="473">
        <v>5</v>
      </c>
      <c r="F203" s="473" t="s">
        <v>947</v>
      </c>
      <c r="G203" s="473" t="s">
        <v>943</v>
      </c>
      <c r="H203" s="471" t="s">
        <v>980</v>
      </c>
      <c r="I203" s="473" t="s">
        <v>940</v>
      </c>
      <c r="J203" s="473"/>
      <c r="K203" s="473"/>
      <c r="L203" s="473"/>
      <c r="M203" s="704"/>
      <c r="N203" s="471" t="s">
        <v>980</v>
      </c>
      <c r="O203" s="474">
        <v>100000</v>
      </c>
      <c r="P203" s="212">
        <f t="shared" si="12"/>
        <v>500000</v>
      </c>
      <c r="Q203" s="68" t="s">
        <v>736</v>
      </c>
      <c r="R203" s="156">
        <v>0</v>
      </c>
      <c r="S203" s="156">
        <v>500000</v>
      </c>
      <c r="T203" s="156">
        <v>0</v>
      </c>
      <c r="U203" s="151"/>
      <c r="V203" s="156">
        <v>0</v>
      </c>
      <c r="W203" s="151"/>
      <c r="X203" s="156">
        <v>0</v>
      </c>
      <c r="Y203" s="212">
        <f t="shared" si="13"/>
        <v>0</v>
      </c>
      <c r="Z203" s="151"/>
    </row>
    <row r="204" spans="3:27" ht="33" x14ac:dyDescent="0.3">
      <c r="C204" s="151">
        <v>5</v>
      </c>
      <c r="D204" s="530" t="s">
        <v>869</v>
      </c>
      <c r="E204" s="473">
        <v>1</v>
      </c>
      <c r="F204" s="473" t="s">
        <v>954</v>
      </c>
      <c r="G204" s="473" t="s">
        <v>943</v>
      </c>
      <c r="H204" s="471" t="s">
        <v>955</v>
      </c>
      <c r="I204" s="473" t="s">
        <v>940</v>
      </c>
      <c r="J204" s="473"/>
      <c r="K204" s="473"/>
      <c r="L204" s="473"/>
      <c r="M204" s="704"/>
      <c r="N204" s="473" t="s">
        <v>871</v>
      </c>
      <c r="O204" s="474">
        <v>149779220.47</v>
      </c>
      <c r="P204" s="212">
        <f t="shared" si="12"/>
        <v>149779220.47</v>
      </c>
      <c r="Q204" s="68" t="s">
        <v>734</v>
      </c>
      <c r="R204" s="156">
        <v>0</v>
      </c>
      <c r="S204" s="156">
        <v>174278498.69999999</v>
      </c>
      <c r="T204" s="156">
        <v>0</v>
      </c>
      <c r="U204" s="151"/>
      <c r="V204" s="156">
        <v>0</v>
      </c>
      <c r="W204" s="151"/>
      <c r="X204" s="156">
        <v>0</v>
      </c>
      <c r="Y204" s="212">
        <f t="shared" si="13"/>
        <v>-24499278.229999989</v>
      </c>
      <c r="Z204" s="176" t="s">
        <v>1834</v>
      </c>
    </row>
    <row r="205" spans="3:27" ht="17.25" hidden="1" x14ac:dyDescent="0.3">
      <c r="C205" s="151">
        <v>6</v>
      </c>
      <c r="D205" s="151"/>
      <c r="E205" s="151"/>
      <c r="F205" s="151"/>
      <c r="G205" s="151"/>
      <c r="H205" s="160"/>
      <c r="I205" s="151"/>
      <c r="J205" s="151"/>
      <c r="K205" s="151"/>
      <c r="L205" s="151"/>
      <c r="M205" s="151"/>
      <c r="N205" s="151"/>
      <c r="O205" s="156">
        <v>0</v>
      </c>
      <c r="P205" s="212">
        <f t="shared" si="12"/>
        <v>0</v>
      </c>
      <c r="Q205" s="68"/>
      <c r="R205" s="156">
        <v>0</v>
      </c>
      <c r="S205" s="156">
        <v>0</v>
      </c>
      <c r="T205" s="156">
        <v>0</v>
      </c>
      <c r="U205" s="151"/>
      <c r="V205" s="156">
        <v>0</v>
      </c>
      <c r="W205" s="151"/>
      <c r="X205" s="156">
        <v>0</v>
      </c>
      <c r="Y205" s="212">
        <f t="shared" si="13"/>
        <v>0</v>
      </c>
      <c r="Z205" s="151"/>
    </row>
    <row r="206" spans="3:27" ht="17.25" hidden="1" x14ac:dyDescent="0.3">
      <c r="C206" s="151">
        <v>7</v>
      </c>
      <c r="D206" s="151"/>
      <c r="E206" s="151"/>
      <c r="F206" s="151"/>
      <c r="G206" s="151"/>
      <c r="H206" s="160"/>
      <c r="I206" s="151"/>
      <c r="J206" s="151"/>
      <c r="K206" s="151"/>
      <c r="L206" s="151"/>
      <c r="M206" s="151"/>
      <c r="N206" s="151"/>
      <c r="O206" s="156">
        <v>0</v>
      </c>
      <c r="P206" s="212">
        <f t="shared" si="12"/>
        <v>0</v>
      </c>
      <c r="Q206" s="68"/>
      <c r="R206" s="156">
        <v>0</v>
      </c>
      <c r="S206" s="156">
        <v>0</v>
      </c>
      <c r="T206" s="156">
        <v>0</v>
      </c>
      <c r="U206" s="151"/>
      <c r="V206" s="156">
        <v>0</v>
      </c>
      <c r="W206" s="151"/>
      <c r="X206" s="156">
        <v>0</v>
      </c>
      <c r="Y206" s="212">
        <f t="shared" si="13"/>
        <v>0</v>
      </c>
      <c r="Z206" s="151"/>
    </row>
    <row r="207" spans="3:27" ht="17.25" hidden="1" x14ac:dyDescent="0.3">
      <c r="C207" s="151">
        <v>8</v>
      </c>
      <c r="D207" s="151"/>
      <c r="E207" s="151"/>
      <c r="F207" s="151"/>
      <c r="G207" s="151"/>
      <c r="H207" s="160"/>
      <c r="I207" s="151"/>
      <c r="J207" s="151"/>
      <c r="K207" s="151"/>
      <c r="L207" s="151"/>
      <c r="M207" s="151"/>
      <c r="N207" s="151"/>
      <c r="O207" s="156">
        <v>0</v>
      </c>
      <c r="P207" s="212">
        <f t="shared" si="12"/>
        <v>0</v>
      </c>
      <c r="Q207" s="68"/>
      <c r="R207" s="156">
        <v>0</v>
      </c>
      <c r="S207" s="156">
        <v>0</v>
      </c>
      <c r="T207" s="156">
        <v>0</v>
      </c>
      <c r="U207" s="151"/>
      <c r="V207" s="156">
        <v>0</v>
      </c>
      <c r="W207" s="151"/>
      <c r="X207" s="156">
        <v>0</v>
      </c>
      <c r="Y207" s="212">
        <f t="shared" si="13"/>
        <v>0</v>
      </c>
      <c r="Z207" s="151"/>
    </row>
    <row r="208" spans="3:27" ht="17.25" hidden="1" x14ac:dyDescent="0.3">
      <c r="C208" s="151">
        <v>9</v>
      </c>
      <c r="D208" s="151"/>
      <c r="E208" s="151"/>
      <c r="F208" s="151"/>
      <c r="G208" s="151"/>
      <c r="H208" s="160"/>
      <c r="I208" s="151"/>
      <c r="J208" s="151"/>
      <c r="K208" s="151"/>
      <c r="L208" s="151"/>
      <c r="M208" s="151"/>
      <c r="N208" s="151"/>
      <c r="O208" s="156">
        <v>0</v>
      </c>
      <c r="P208" s="212">
        <f t="shared" si="12"/>
        <v>0</v>
      </c>
      <c r="Q208" s="68"/>
      <c r="R208" s="156">
        <v>0</v>
      </c>
      <c r="S208" s="156">
        <v>0</v>
      </c>
      <c r="T208" s="156">
        <v>0</v>
      </c>
      <c r="U208" s="151"/>
      <c r="V208" s="156">
        <v>0</v>
      </c>
      <c r="W208" s="151"/>
      <c r="X208" s="156">
        <v>0</v>
      </c>
      <c r="Y208" s="212">
        <f t="shared" si="13"/>
        <v>0</v>
      </c>
      <c r="Z208" s="151"/>
    </row>
    <row r="209" spans="3:26" ht="17.25" hidden="1" x14ac:dyDescent="0.3">
      <c r="C209" s="151">
        <v>10</v>
      </c>
      <c r="D209" s="151"/>
      <c r="E209" s="151"/>
      <c r="F209" s="151"/>
      <c r="G209" s="151"/>
      <c r="H209" s="160"/>
      <c r="I209" s="151"/>
      <c r="J209" s="151"/>
      <c r="K209" s="151"/>
      <c r="L209" s="151"/>
      <c r="M209" s="151"/>
      <c r="N209" s="151"/>
      <c r="O209" s="156">
        <v>0</v>
      </c>
      <c r="P209" s="212">
        <f t="shared" si="12"/>
        <v>0</v>
      </c>
      <c r="Q209" s="68"/>
      <c r="R209" s="156">
        <v>0</v>
      </c>
      <c r="S209" s="156">
        <v>0</v>
      </c>
      <c r="T209" s="156">
        <v>0</v>
      </c>
      <c r="U209" s="151"/>
      <c r="V209" s="156">
        <v>0</v>
      </c>
      <c r="W209" s="151"/>
      <c r="X209" s="156">
        <v>0</v>
      </c>
      <c r="Y209" s="212">
        <f t="shared" si="13"/>
        <v>0</v>
      </c>
      <c r="Z209" s="151"/>
    </row>
    <row r="210" spans="3:26" ht="17.25" hidden="1" x14ac:dyDescent="0.3">
      <c r="C210" s="151">
        <v>11</v>
      </c>
      <c r="D210" s="151"/>
      <c r="E210" s="151"/>
      <c r="F210" s="151"/>
      <c r="G210" s="151"/>
      <c r="H210" s="160"/>
      <c r="I210" s="151"/>
      <c r="J210" s="151"/>
      <c r="K210" s="151"/>
      <c r="L210" s="151"/>
      <c r="M210" s="151"/>
      <c r="N210" s="151"/>
      <c r="O210" s="156">
        <v>0</v>
      </c>
      <c r="P210" s="212">
        <f t="shared" si="12"/>
        <v>0</v>
      </c>
      <c r="Q210" s="68"/>
      <c r="R210" s="156">
        <v>0</v>
      </c>
      <c r="S210" s="156">
        <v>0</v>
      </c>
      <c r="T210" s="156">
        <v>0</v>
      </c>
      <c r="U210" s="151"/>
      <c r="V210" s="156">
        <v>0</v>
      </c>
      <c r="W210" s="151"/>
      <c r="X210" s="156">
        <v>0</v>
      </c>
      <c r="Y210" s="212">
        <f t="shared" si="13"/>
        <v>0</v>
      </c>
      <c r="Z210" s="151"/>
    </row>
    <row r="211" spans="3:26" ht="17.25" hidden="1" x14ac:dyDescent="0.3">
      <c r="C211" s="151">
        <v>12</v>
      </c>
      <c r="D211" s="151"/>
      <c r="E211" s="151"/>
      <c r="F211" s="151"/>
      <c r="G211" s="151"/>
      <c r="H211" s="160"/>
      <c r="I211" s="151"/>
      <c r="J211" s="151"/>
      <c r="K211" s="151"/>
      <c r="L211" s="151"/>
      <c r="M211" s="151"/>
      <c r="N211" s="151"/>
      <c r="O211" s="156">
        <v>0</v>
      </c>
      <c r="P211" s="212">
        <f t="shared" si="12"/>
        <v>0</v>
      </c>
      <c r="Q211" s="68"/>
      <c r="R211" s="156">
        <v>0</v>
      </c>
      <c r="S211" s="156">
        <v>0</v>
      </c>
      <c r="T211" s="156">
        <v>0</v>
      </c>
      <c r="U211" s="151"/>
      <c r="V211" s="156">
        <v>0</v>
      </c>
      <c r="W211" s="151"/>
      <c r="X211" s="156">
        <v>0</v>
      </c>
      <c r="Y211" s="212">
        <f t="shared" si="13"/>
        <v>0</v>
      </c>
      <c r="Z211" s="151"/>
    </row>
    <row r="212" spans="3:26" ht="17.25" hidden="1" x14ac:dyDescent="0.3">
      <c r="C212" s="151">
        <v>13</v>
      </c>
      <c r="D212" s="151"/>
      <c r="E212" s="151"/>
      <c r="F212" s="151"/>
      <c r="G212" s="151"/>
      <c r="H212" s="160"/>
      <c r="I212" s="151"/>
      <c r="J212" s="151"/>
      <c r="K212" s="151"/>
      <c r="L212" s="151"/>
      <c r="M212" s="151"/>
      <c r="N212" s="151"/>
      <c r="O212" s="156">
        <v>0</v>
      </c>
      <c r="P212" s="212">
        <f t="shared" si="12"/>
        <v>0</v>
      </c>
      <c r="Q212" s="68"/>
      <c r="R212" s="156">
        <v>0</v>
      </c>
      <c r="S212" s="156">
        <v>0</v>
      </c>
      <c r="T212" s="156">
        <v>0</v>
      </c>
      <c r="U212" s="151"/>
      <c r="V212" s="156">
        <v>0</v>
      </c>
      <c r="W212" s="151"/>
      <c r="X212" s="156">
        <v>0</v>
      </c>
      <c r="Y212" s="212">
        <f t="shared" si="13"/>
        <v>0</v>
      </c>
      <c r="Z212" s="151"/>
    </row>
    <row r="213" spans="3:26" ht="17.25" hidden="1" x14ac:dyDescent="0.3">
      <c r="C213" s="151">
        <v>14</v>
      </c>
      <c r="D213" s="151"/>
      <c r="E213" s="151"/>
      <c r="F213" s="151"/>
      <c r="G213" s="151"/>
      <c r="H213" s="160"/>
      <c r="I213" s="151"/>
      <c r="J213" s="151"/>
      <c r="K213" s="151"/>
      <c r="L213" s="151"/>
      <c r="M213" s="151"/>
      <c r="N213" s="151"/>
      <c r="O213" s="156">
        <v>0</v>
      </c>
      <c r="P213" s="212">
        <f t="shared" si="12"/>
        <v>0</v>
      </c>
      <c r="Q213" s="68"/>
      <c r="R213" s="156">
        <v>0</v>
      </c>
      <c r="S213" s="156">
        <v>0</v>
      </c>
      <c r="T213" s="156">
        <v>0</v>
      </c>
      <c r="U213" s="151"/>
      <c r="V213" s="156">
        <v>0</v>
      </c>
      <c r="W213" s="151"/>
      <c r="X213" s="156">
        <v>0</v>
      </c>
      <c r="Y213" s="212">
        <f t="shared" si="13"/>
        <v>0</v>
      </c>
      <c r="Z213" s="151"/>
    </row>
    <row r="214" spans="3:26" ht="17.25" hidden="1" x14ac:dyDescent="0.3">
      <c r="C214" s="151">
        <v>15</v>
      </c>
      <c r="D214" s="151"/>
      <c r="E214" s="151"/>
      <c r="F214" s="151"/>
      <c r="G214" s="151"/>
      <c r="H214" s="160"/>
      <c r="I214" s="151"/>
      <c r="J214" s="151"/>
      <c r="K214" s="151"/>
      <c r="L214" s="151"/>
      <c r="M214" s="151"/>
      <c r="N214" s="151"/>
      <c r="O214" s="156">
        <v>0</v>
      </c>
      <c r="P214" s="212">
        <f t="shared" si="12"/>
        <v>0</v>
      </c>
      <c r="Q214" s="68"/>
      <c r="R214" s="156">
        <v>0</v>
      </c>
      <c r="S214" s="156">
        <v>0</v>
      </c>
      <c r="T214" s="156">
        <v>0</v>
      </c>
      <c r="U214" s="151"/>
      <c r="V214" s="156">
        <v>0</v>
      </c>
      <c r="W214" s="151"/>
      <c r="X214" s="156">
        <v>0</v>
      </c>
      <c r="Y214" s="212">
        <f t="shared" si="13"/>
        <v>0</v>
      </c>
      <c r="Z214" s="151"/>
    </row>
    <row r="215" spans="3:26" ht="17.25" hidden="1" x14ac:dyDescent="0.3">
      <c r="C215" s="151">
        <v>16</v>
      </c>
      <c r="D215" s="151"/>
      <c r="E215" s="151"/>
      <c r="F215" s="151"/>
      <c r="G215" s="151"/>
      <c r="H215" s="160"/>
      <c r="I215" s="151"/>
      <c r="J215" s="151"/>
      <c r="K215" s="151"/>
      <c r="L215" s="151"/>
      <c r="M215" s="151"/>
      <c r="N215" s="151"/>
      <c r="O215" s="156">
        <v>0</v>
      </c>
      <c r="P215" s="212">
        <f t="shared" si="12"/>
        <v>0</v>
      </c>
      <c r="Q215" s="68"/>
      <c r="R215" s="156">
        <v>0</v>
      </c>
      <c r="S215" s="156">
        <v>0</v>
      </c>
      <c r="T215" s="156">
        <v>0</v>
      </c>
      <c r="U215" s="151"/>
      <c r="V215" s="156">
        <v>0</v>
      </c>
      <c r="W215" s="151"/>
      <c r="X215" s="156">
        <v>0</v>
      </c>
      <c r="Y215" s="212">
        <f t="shared" si="13"/>
        <v>0</v>
      </c>
      <c r="Z215" s="151"/>
    </row>
    <row r="216" spans="3:26" ht="17.25" hidden="1" x14ac:dyDescent="0.3">
      <c r="C216" s="151">
        <v>17</v>
      </c>
      <c r="D216" s="151"/>
      <c r="E216" s="151"/>
      <c r="F216" s="151"/>
      <c r="G216" s="151"/>
      <c r="H216" s="160"/>
      <c r="I216" s="151"/>
      <c r="J216" s="151"/>
      <c r="K216" s="151"/>
      <c r="L216" s="151"/>
      <c r="M216" s="151"/>
      <c r="N216" s="151"/>
      <c r="O216" s="156">
        <v>0</v>
      </c>
      <c r="P216" s="212">
        <f t="shared" si="12"/>
        <v>0</v>
      </c>
      <c r="Q216" s="68"/>
      <c r="R216" s="156">
        <v>0</v>
      </c>
      <c r="S216" s="156">
        <v>0</v>
      </c>
      <c r="T216" s="156">
        <v>0</v>
      </c>
      <c r="U216" s="151"/>
      <c r="V216" s="156">
        <v>0</v>
      </c>
      <c r="W216" s="151"/>
      <c r="X216" s="156">
        <v>0</v>
      </c>
      <c r="Y216" s="212">
        <f t="shared" si="13"/>
        <v>0</v>
      </c>
      <c r="Z216" s="151"/>
    </row>
    <row r="217" spans="3:26" ht="17.25" hidden="1" x14ac:dyDescent="0.3">
      <c r="C217" s="151">
        <v>18</v>
      </c>
      <c r="D217" s="151"/>
      <c r="E217" s="151"/>
      <c r="F217" s="151"/>
      <c r="G217" s="151"/>
      <c r="H217" s="160"/>
      <c r="I217" s="151"/>
      <c r="J217" s="151"/>
      <c r="K217" s="151"/>
      <c r="L217" s="151"/>
      <c r="M217" s="151"/>
      <c r="N217" s="151"/>
      <c r="O217" s="156">
        <v>0</v>
      </c>
      <c r="P217" s="212">
        <f t="shared" si="12"/>
        <v>0</v>
      </c>
      <c r="Q217" s="68"/>
      <c r="R217" s="156">
        <v>0</v>
      </c>
      <c r="S217" s="156">
        <v>0</v>
      </c>
      <c r="T217" s="156">
        <v>0</v>
      </c>
      <c r="U217" s="151"/>
      <c r="V217" s="156">
        <v>0</v>
      </c>
      <c r="W217" s="151"/>
      <c r="X217" s="156">
        <v>0</v>
      </c>
      <c r="Y217" s="212">
        <f t="shared" si="13"/>
        <v>0</v>
      </c>
      <c r="Z217" s="151"/>
    </row>
    <row r="218" spans="3:26" ht="17.25" hidden="1" x14ac:dyDescent="0.3">
      <c r="C218" s="151">
        <v>19</v>
      </c>
      <c r="D218" s="151"/>
      <c r="E218" s="151"/>
      <c r="F218" s="151"/>
      <c r="G218" s="151"/>
      <c r="H218" s="160"/>
      <c r="I218" s="151"/>
      <c r="J218" s="151"/>
      <c r="K218" s="151"/>
      <c r="L218" s="151"/>
      <c r="M218" s="151"/>
      <c r="N218" s="151"/>
      <c r="O218" s="156">
        <v>0</v>
      </c>
      <c r="P218" s="212">
        <f t="shared" si="12"/>
        <v>0</v>
      </c>
      <c r="Q218" s="68"/>
      <c r="R218" s="156">
        <v>0</v>
      </c>
      <c r="S218" s="156">
        <v>0</v>
      </c>
      <c r="T218" s="156">
        <v>0</v>
      </c>
      <c r="U218" s="151"/>
      <c r="V218" s="156">
        <v>0</v>
      </c>
      <c r="W218" s="151"/>
      <c r="X218" s="156">
        <v>0</v>
      </c>
      <c r="Y218" s="212">
        <f t="shared" si="13"/>
        <v>0</v>
      </c>
      <c r="Z218" s="151"/>
    </row>
    <row r="219" spans="3:26" ht="17.25" hidden="1" x14ac:dyDescent="0.3">
      <c r="C219" s="151">
        <v>20</v>
      </c>
      <c r="D219" s="151"/>
      <c r="E219" s="151"/>
      <c r="F219" s="151"/>
      <c r="G219" s="151"/>
      <c r="H219" s="160"/>
      <c r="I219" s="151"/>
      <c r="J219" s="151"/>
      <c r="K219" s="151"/>
      <c r="L219" s="151"/>
      <c r="M219" s="151"/>
      <c r="N219" s="151"/>
      <c r="O219" s="156">
        <v>0</v>
      </c>
      <c r="P219" s="212">
        <f t="shared" si="12"/>
        <v>0</v>
      </c>
      <c r="Q219" s="68"/>
      <c r="R219" s="156">
        <v>0</v>
      </c>
      <c r="S219" s="156">
        <v>0</v>
      </c>
      <c r="T219" s="156">
        <v>0</v>
      </c>
      <c r="U219" s="151"/>
      <c r="V219" s="156">
        <v>0</v>
      </c>
      <c r="W219" s="151"/>
      <c r="X219" s="156">
        <v>0</v>
      </c>
      <c r="Y219" s="212">
        <f t="shared" si="13"/>
        <v>0</v>
      </c>
      <c r="Z219" s="151"/>
    </row>
    <row r="220" spans="3:26" ht="17.25" hidden="1" x14ac:dyDescent="0.3">
      <c r="C220" s="151">
        <v>21</v>
      </c>
      <c r="D220" s="151"/>
      <c r="E220" s="151"/>
      <c r="F220" s="151"/>
      <c r="G220" s="151"/>
      <c r="H220" s="160"/>
      <c r="I220" s="151"/>
      <c r="J220" s="151"/>
      <c r="K220" s="151"/>
      <c r="L220" s="151"/>
      <c r="M220" s="151"/>
      <c r="N220" s="151"/>
      <c r="O220" s="156">
        <v>0</v>
      </c>
      <c r="P220" s="212">
        <f t="shared" si="12"/>
        <v>0</v>
      </c>
      <c r="Q220" s="68"/>
      <c r="R220" s="156">
        <v>0</v>
      </c>
      <c r="S220" s="156">
        <v>0</v>
      </c>
      <c r="T220" s="156">
        <v>0</v>
      </c>
      <c r="U220" s="151"/>
      <c r="V220" s="156">
        <v>0</v>
      </c>
      <c r="W220" s="151"/>
      <c r="X220" s="156">
        <v>0</v>
      </c>
      <c r="Y220" s="212">
        <f t="shared" si="13"/>
        <v>0</v>
      </c>
      <c r="Z220" s="151"/>
    </row>
    <row r="221" spans="3:26" ht="17.25" hidden="1" x14ac:dyDescent="0.3">
      <c r="C221" s="151">
        <v>22</v>
      </c>
      <c r="D221" s="151"/>
      <c r="E221" s="151"/>
      <c r="F221" s="151"/>
      <c r="G221" s="151"/>
      <c r="H221" s="160"/>
      <c r="I221" s="151"/>
      <c r="J221" s="151"/>
      <c r="K221" s="151"/>
      <c r="L221" s="151"/>
      <c r="M221" s="151"/>
      <c r="N221" s="151"/>
      <c r="O221" s="156">
        <v>0</v>
      </c>
      <c r="P221" s="212">
        <f t="shared" si="12"/>
        <v>0</v>
      </c>
      <c r="Q221" s="68"/>
      <c r="R221" s="156">
        <v>0</v>
      </c>
      <c r="S221" s="156">
        <v>0</v>
      </c>
      <c r="T221" s="156">
        <v>0</v>
      </c>
      <c r="U221" s="151"/>
      <c r="V221" s="156">
        <v>0</v>
      </c>
      <c r="W221" s="151"/>
      <c r="X221" s="156">
        <v>0</v>
      </c>
      <c r="Y221" s="212">
        <f t="shared" si="13"/>
        <v>0</v>
      </c>
      <c r="Z221" s="151"/>
    </row>
    <row r="222" spans="3:26" ht="17.25" hidden="1" x14ac:dyDescent="0.3">
      <c r="C222" s="151">
        <v>23</v>
      </c>
      <c r="D222" s="151"/>
      <c r="E222" s="151"/>
      <c r="F222" s="151"/>
      <c r="G222" s="151"/>
      <c r="H222" s="160"/>
      <c r="I222" s="151"/>
      <c r="J222" s="151"/>
      <c r="K222" s="151"/>
      <c r="L222" s="151"/>
      <c r="M222" s="151"/>
      <c r="N222" s="151"/>
      <c r="O222" s="156">
        <v>0</v>
      </c>
      <c r="P222" s="212">
        <f t="shared" si="12"/>
        <v>0</v>
      </c>
      <c r="Q222" s="68"/>
      <c r="R222" s="156">
        <v>0</v>
      </c>
      <c r="S222" s="156">
        <v>0</v>
      </c>
      <c r="T222" s="156">
        <v>0</v>
      </c>
      <c r="U222" s="151"/>
      <c r="V222" s="156">
        <v>0</v>
      </c>
      <c r="W222" s="151"/>
      <c r="X222" s="156">
        <v>0</v>
      </c>
      <c r="Y222" s="212">
        <f t="shared" si="13"/>
        <v>0</v>
      </c>
      <c r="Z222" s="151"/>
    </row>
    <row r="223" spans="3:26" ht="17.25" hidden="1" x14ac:dyDescent="0.3">
      <c r="C223" s="151">
        <v>24</v>
      </c>
      <c r="D223" s="151"/>
      <c r="E223" s="151"/>
      <c r="F223" s="151"/>
      <c r="G223" s="151"/>
      <c r="H223" s="160"/>
      <c r="I223" s="151"/>
      <c r="J223" s="151"/>
      <c r="K223" s="151"/>
      <c r="L223" s="151"/>
      <c r="M223" s="151"/>
      <c r="N223" s="151"/>
      <c r="O223" s="156">
        <v>0</v>
      </c>
      <c r="P223" s="212">
        <f t="shared" si="12"/>
        <v>0</v>
      </c>
      <c r="Q223" s="68"/>
      <c r="R223" s="156">
        <v>0</v>
      </c>
      <c r="S223" s="156">
        <v>0</v>
      </c>
      <c r="T223" s="156">
        <v>0</v>
      </c>
      <c r="U223" s="151"/>
      <c r="V223" s="156">
        <v>0</v>
      </c>
      <c r="W223" s="151"/>
      <c r="X223" s="156">
        <v>0</v>
      </c>
      <c r="Y223" s="212">
        <f t="shared" si="13"/>
        <v>0</v>
      </c>
      <c r="Z223" s="151"/>
    </row>
    <row r="224" spans="3:26" ht="17.25" hidden="1" x14ac:dyDescent="0.3">
      <c r="C224" s="151">
        <v>25</v>
      </c>
      <c r="D224" s="151"/>
      <c r="E224" s="151"/>
      <c r="F224" s="151"/>
      <c r="G224" s="151"/>
      <c r="H224" s="160"/>
      <c r="I224" s="151"/>
      <c r="J224" s="151"/>
      <c r="K224" s="151"/>
      <c r="L224" s="151"/>
      <c r="M224" s="151"/>
      <c r="N224" s="151"/>
      <c r="O224" s="156">
        <v>0</v>
      </c>
      <c r="P224" s="212">
        <f t="shared" si="12"/>
        <v>0</v>
      </c>
      <c r="Q224" s="68"/>
      <c r="R224" s="156">
        <v>0</v>
      </c>
      <c r="S224" s="156">
        <v>0</v>
      </c>
      <c r="T224" s="156">
        <v>0</v>
      </c>
      <c r="U224" s="151"/>
      <c r="V224" s="156">
        <v>0</v>
      </c>
      <c r="W224" s="151"/>
      <c r="X224" s="156">
        <v>0</v>
      </c>
      <c r="Y224" s="212">
        <f t="shared" si="13"/>
        <v>0</v>
      </c>
      <c r="Z224" s="151"/>
    </row>
    <row r="225" spans="3:26" ht="17.25" hidden="1" x14ac:dyDescent="0.3">
      <c r="C225" s="151">
        <v>26</v>
      </c>
      <c r="D225" s="151"/>
      <c r="E225" s="151"/>
      <c r="F225" s="151"/>
      <c r="G225" s="151"/>
      <c r="H225" s="160"/>
      <c r="I225" s="151"/>
      <c r="J225" s="151"/>
      <c r="K225" s="151"/>
      <c r="L225" s="151"/>
      <c r="M225" s="151"/>
      <c r="N225" s="151"/>
      <c r="O225" s="156">
        <v>0</v>
      </c>
      <c r="P225" s="212">
        <f t="shared" si="12"/>
        <v>0</v>
      </c>
      <c r="Q225" s="68"/>
      <c r="R225" s="156">
        <v>0</v>
      </c>
      <c r="S225" s="156">
        <v>0</v>
      </c>
      <c r="T225" s="156">
        <v>0</v>
      </c>
      <c r="U225" s="151"/>
      <c r="V225" s="156">
        <v>0</v>
      </c>
      <c r="W225" s="151"/>
      <c r="X225" s="156">
        <v>0</v>
      </c>
      <c r="Y225" s="212">
        <f t="shared" si="13"/>
        <v>0</v>
      </c>
      <c r="Z225" s="151"/>
    </row>
    <row r="226" spans="3:26" ht="17.25" hidden="1" x14ac:dyDescent="0.3">
      <c r="C226" s="151">
        <v>27</v>
      </c>
      <c r="D226" s="151"/>
      <c r="E226" s="151"/>
      <c r="F226" s="151"/>
      <c r="G226" s="151"/>
      <c r="H226" s="160"/>
      <c r="I226" s="151"/>
      <c r="J226" s="151"/>
      <c r="K226" s="151"/>
      <c r="L226" s="151"/>
      <c r="M226" s="151"/>
      <c r="N226" s="151"/>
      <c r="O226" s="156">
        <v>0</v>
      </c>
      <c r="P226" s="212">
        <f t="shared" si="12"/>
        <v>0</v>
      </c>
      <c r="Q226" s="68"/>
      <c r="R226" s="156">
        <v>0</v>
      </c>
      <c r="S226" s="156">
        <v>0</v>
      </c>
      <c r="T226" s="156">
        <v>0</v>
      </c>
      <c r="U226" s="151"/>
      <c r="V226" s="156">
        <v>0</v>
      </c>
      <c r="W226" s="151"/>
      <c r="X226" s="156">
        <v>0</v>
      </c>
      <c r="Y226" s="212">
        <f t="shared" si="13"/>
        <v>0</v>
      </c>
      <c r="Z226" s="151"/>
    </row>
    <row r="227" spans="3:26" ht="17.25" hidden="1" x14ac:dyDescent="0.3">
      <c r="C227" s="151">
        <v>28</v>
      </c>
      <c r="D227" s="151"/>
      <c r="E227" s="151"/>
      <c r="F227" s="151"/>
      <c r="G227" s="151"/>
      <c r="H227" s="160"/>
      <c r="I227" s="151"/>
      <c r="J227" s="151"/>
      <c r="K227" s="151"/>
      <c r="L227" s="151"/>
      <c r="M227" s="151"/>
      <c r="N227" s="151"/>
      <c r="O227" s="156">
        <v>0</v>
      </c>
      <c r="P227" s="212">
        <f t="shared" si="12"/>
        <v>0</v>
      </c>
      <c r="Q227" s="68"/>
      <c r="R227" s="156">
        <v>0</v>
      </c>
      <c r="S227" s="156">
        <v>0</v>
      </c>
      <c r="T227" s="156">
        <v>0</v>
      </c>
      <c r="U227" s="151"/>
      <c r="V227" s="156">
        <v>0</v>
      </c>
      <c r="W227" s="151"/>
      <c r="X227" s="156">
        <v>0</v>
      </c>
      <c r="Y227" s="212">
        <f t="shared" si="13"/>
        <v>0</v>
      </c>
      <c r="Z227" s="151"/>
    </row>
    <row r="228" spans="3:26" ht="17.25" hidden="1" x14ac:dyDescent="0.3">
      <c r="C228" s="151">
        <v>29</v>
      </c>
      <c r="D228" s="151"/>
      <c r="E228" s="151"/>
      <c r="F228" s="151"/>
      <c r="G228" s="151"/>
      <c r="H228" s="160"/>
      <c r="I228" s="151"/>
      <c r="J228" s="151"/>
      <c r="K228" s="151"/>
      <c r="L228" s="151"/>
      <c r="M228" s="151"/>
      <c r="N228" s="151"/>
      <c r="O228" s="156">
        <v>0</v>
      </c>
      <c r="P228" s="212">
        <f t="shared" si="12"/>
        <v>0</v>
      </c>
      <c r="Q228" s="68"/>
      <c r="R228" s="156">
        <v>0</v>
      </c>
      <c r="S228" s="156">
        <v>0</v>
      </c>
      <c r="T228" s="156">
        <v>0</v>
      </c>
      <c r="U228" s="151"/>
      <c r="V228" s="156">
        <v>0</v>
      </c>
      <c r="W228" s="151"/>
      <c r="X228" s="156">
        <v>0</v>
      </c>
      <c r="Y228" s="212">
        <f t="shared" si="13"/>
        <v>0</v>
      </c>
      <c r="Z228" s="151"/>
    </row>
    <row r="229" spans="3:26" ht="17.25" hidden="1" x14ac:dyDescent="0.3">
      <c r="C229" s="151">
        <v>30</v>
      </c>
      <c r="D229" s="151"/>
      <c r="E229" s="151"/>
      <c r="F229" s="151"/>
      <c r="G229" s="151"/>
      <c r="H229" s="160"/>
      <c r="I229" s="151"/>
      <c r="J229" s="151"/>
      <c r="K229" s="151"/>
      <c r="L229" s="151"/>
      <c r="M229" s="151"/>
      <c r="N229" s="151"/>
      <c r="O229" s="156">
        <v>0</v>
      </c>
      <c r="P229" s="212">
        <f t="shared" si="12"/>
        <v>0</v>
      </c>
      <c r="Q229" s="68"/>
      <c r="R229" s="156">
        <v>0</v>
      </c>
      <c r="S229" s="156">
        <v>0</v>
      </c>
      <c r="T229" s="156">
        <v>0</v>
      </c>
      <c r="U229" s="151"/>
      <c r="V229" s="156">
        <v>0</v>
      </c>
      <c r="W229" s="151"/>
      <c r="X229" s="156">
        <v>0</v>
      </c>
      <c r="Y229" s="212">
        <f t="shared" si="13"/>
        <v>0</v>
      </c>
      <c r="Z229" s="151"/>
    </row>
    <row r="230" spans="3:26" x14ac:dyDescent="0.25">
      <c r="C230" s="855" t="s">
        <v>133</v>
      </c>
      <c r="D230" s="982"/>
      <c r="E230" s="253"/>
      <c r="F230" s="159"/>
      <c r="G230" s="159"/>
      <c r="H230" s="250"/>
      <c r="I230" s="159"/>
      <c r="J230" s="159"/>
      <c r="K230" s="159"/>
      <c r="L230" s="159"/>
      <c r="M230" s="159"/>
      <c r="N230" s="159"/>
      <c r="O230" s="159"/>
      <c r="P230" s="214">
        <f>SUM(P200:P229)</f>
        <v>246506712.836954</v>
      </c>
      <c r="Q230" s="158"/>
      <c r="R230" s="214">
        <f>SUM(R200:R229)</f>
        <v>0</v>
      </c>
      <c r="S230" s="214">
        <f>SUM(S200:S229)</f>
        <v>271005991.06999999</v>
      </c>
      <c r="T230" s="214">
        <f>SUM(T200:T229)</f>
        <v>0</v>
      </c>
      <c r="U230" s="834">
        <f>SUM(V200:V229,X200:X229)</f>
        <v>0</v>
      </c>
      <c r="V230" s="835"/>
      <c r="W230" s="835"/>
      <c r="X230" s="836"/>
      <c r="Y230" s="214">
        <f>SUM(Y200:Y228)</f>
        <v>-24499278.233045988</v>
      </c>
      <c r="Z230" s="151"/>
    </row>
    <row r="231" spans="3:26" ht="33" x14ac:dyDescent="0.25">
      <c r="Q231" s="1010" t="s">
        <v>66</v>
      </c>
      <c r="R231" s="1011"/>
      <c r="S231" s="266" t="s">
        <v>67</v>
      </c>
      <c r="T231" s="266" t="s">
        <v>68</v>
      </c>
      <c r="U231" s="266" t="s">
        <v>316</v>
      </c>
      <c r="V231" s="1010" t="s">
        <v>69</v>
      </c>
      <c r="W231" s="1012"/>
      <c r="X231" s="1012"/>
      <c r="Y231" s="1011"/>
      <c r="Z231" s="266" t="s">
        <v>65</v>
      </c>
    </row>
    <row r="232" spans="3:26" ht="26.1" customHeight="1" x14ac:dyDescent="0.25">
      <c r="L232" s="257"/>
      <c r="M232" s="257"/>
      <c r="N232" s="257"/>
      <c r="O232" s="257"/>
      <c r="P232" s="257"/>
      <c r="Q232" s="823">
        <f>SUM(Q50,Q86,Q122,Q158,Q194,P230)</f>
        <v>388692416.21695399</v>
      </c>
      <c r="R232" s="825"/>
      <c r="S232" s="247">
        <f>SUM(S50,S86,S122,S158,S194,R230)</f>
        <v>0</v>
      </c>
      <c r="T232" s="247">
        <f>SUM(T50,T86,T122,T158,T194,S230)</f>
        <v>413191694.06999999</v>
      </c>
      <c r="U232" s="247">
        <f>SUM(U50,U86,U122,U158,U194,T230)</f>
        <v>0</v>
      </c>
      <c r="V232" s="823">
        <f>SUM(V50,V86,V122,V158,V194,U230)</f>
        <v>0</v>
      </c>
      <c r="W232" s="824"/>
      <c r="X232" s="824"/>
      <c r="Y232" s="825"/>
      <c r="Z232" s="247">
        <f>SUM(Z50,Z86,Z122,Z158,Z194,Y230)</f>
        <v>-24499277.853045993</v>
      </c>
    </row>
  </sheetData>
  <sheetProtection algorithmName="SHA-512" hashValue="oceIKF5iCepcYHrd1qcsjzERt/tmWH7YlVpDQ/aHuv4A5kAQeWUFoTs4goelnOa2L4XqvDbzoiQPLjwzfLvvwA==" saltValue="dyYEKhaa6PogngzBgON5Gg==" spinCount="100000" sheet="1" objects="1" scenarios="1" formatCells="0" formatColumns="0" formatRows="0" insertColumns="0" insertRows="0"/>
  <mergeCells count="144">
    <mergeCell ref="C7:I7"/>
    <mergeCell ref="C127:I127"/>
    <mergeCell ref="C163:I163"/>
    <mergeCell ref="V50:Y50"/>
    <mergeCell ref="V86:Y86"/>
    <mergeCell ref="V122:Y122"/>
    <mergeCell ref="V158:Y158"/>
    <mergeCell ref="V194:Y194"/>
    <mergeCell ref="U230:X230"/>
    <mergeCell ref="C19:I19"/>
    <mergeCell ref="P52:P54"/>
    <mergeCell ref="E52:E54"/>
    <mergeCell ref="C55:I55"/>
    <mergeCell ref="E88:E90"/>
    <mergeCell ref="E124:E126"/>
    <mergeCell ref="E160:E162"/>
    <mergeCell ref="E196:E198"/>
    <mergeCell ref="P88:P90"/>
    <mergeCell ref="Q160:Q162"/>
    <mergeCell ref="C196:C198"/>
    <mergeCell ref="D196:D198"/>
    <mergeCell ref="F196:F198"/>
    <mergeCell ref="G196:G198"/>
    <mergeCell ref="H196:H198"/>
    <mergeCell ref="C194:D194"/>
    <mergeCell ref="C12:I12"/>
    <mergeCell ref="C13:I13"/>
    <mergeCell ref="C230:D230"/>
    <mergeCell ref="C199:I199"/>
    <mergeCell ref="Y196:Y198"/>
    <mergeCell ref="Z196:Z198"/>
    <mergeCell ref="R197:T197"/>
    <mergeCell ref="U197:V197"/>
    <mergeCell ref="W197:X197"/>
    <mergeCell ref="I196:I198"/>
    <mergeCell ref="J196:M197"/>
    <mergeCell ref="N196:N198"/>
    <mergeCell ref="P196:P198"/>
    <mergeCell ref="Q196:Q198"/>
    <mergeCell ref="R196:X196"/>
    <mergeCell ref="O196:O198"/>
    <mergeCell ref="I124:I126"/>
    <mergeCell ref="J124:M125"/>
    <mergeCell ref="C160:C162"/>
    <mergeCell ref="D160:D162"/>
    <mergeCell ref="F160:F162"/>
    <mergeCell ref="G160:G162"/>
    <mergeCell ref="H160:H162"/>
    <mergeCell ref="AA160:AA162"/>
    <mergeCell ref="S161:U161"/>
    <mergeCell ref="V161:W161"/>
    <mergeCell ref="X161:Y161"/>
    <mergeCell ref="S124:Y124"/>
    <mergeCell ref="Z124:Z126"/>
    <mergeCell ref="AA124:AA126"/>
    <mergeCell ref="S125:U125"/>
    <mergeCell ref="V125:W125"/>
    <mergeCell ref="X125:Y125"/>
    <mergeCell ref="S160:Y160"/>
    <mergeCell ref="Z160:Z162"/>
    <mergeCell ref="AA88:AA90"/>
    <mergeCell ref="S89:U89"/>
    <mergeCell ref="V89:W89"/>
    <mergeCell ref="X89:Y89"/>
    <mergeCell ref="I88:I90"/>
    <mergeCell ref="J88:M89"/>
    <mergeCell ref="N88:N90"/>
    <mergeCell ref="O88:O90"/>
    <mergeCell ref="Q88:Q90"/>
    <mergeCell ref="R88:R90"/>
    <mergeCell ref="Z88:Z90"/>
    <mergeCell ref="AA52:AA54"/>
    <mergeCell ref="S53:U53"/>
    <mergeCell ref="V53:W53"/>
    <mergeCell ref="X53:Y53"/>
    <mergeCell ref="J52:M53"/>
    <mergeCell ref="N52:N54"/>
    <mergeCell ref="O52:O54"/>
    <mergeCell ref="Q52:Q54"/>
    <mergeCell ref="S52:Y52"/>
    <mergeCell ref="R52:R54"/>
    <mergeCell ref="Z52:Z54"/>
    <mergeCell ref="P124:P126"/>
    <mergeCell ref="P160:P162"/>
    <mergeCell ref="N124:N126"/>
    <mergeCell ref="O124:O126"/>
    <mergeCell ref="Q124:Q126"/>
    <mergeCell ref="C124:C126"/>
    <mergeCell ref="D124:D126"/>
    <mergeCell ref="F124:F126"/>
    <mergeCell ref="G124:G126"/>
    <mergeCell ref="H124:H126"/>
    <mergeCell ref="I160:I162"/>
    <mergeCell ref="J160:M161"/>
    <mergeCell ref="N160:N162"/>
    <mergeCell ref="O160:O162"/>
    <mergeCell ref="Z15:Z17"/>
    <mergeCell ref="V16:W16"/>
    <mergeCell ref="X16:Y16"/>
    <mergeCell ref="S15:Y15"/>
    <mergeCell ref="B2:H2"/>
    <mergeCell ref="C15:C17"/>
    <mergeCell ref="D15:D17"/>
    <mergeCell ref="G15:G17"/>
    <mergeCell ref="H15:H17"/>
    <mergeCell ref="F15:F17"/>
    <mergeCell ref="B4:AA4"/>
    <mergeCell ref="AA15:AA17"/>
    <mergeCell ref="S16:U16"/>
    <mergeCell ref="I15:I17"/>
    <mergeCell ref="J15:M16"/>
    <mergeCell ref="Q15:Q17"/>
    <mergeCell ref="R15:R17"/>
    <mergeCell ref="E15:E17"/>
    <mergeCell ref="P15:P17"/>
    <mergeCell ref="C8:I8"/>
    <mergeCell ref="C9:I9"/>
    <mergeCell ref="C10:I10"/>
    <mergeCell ref="C11:I11"/>
    <mergeCell ref="O15:O17"/>
    <mergeCell ref="Q231:R231"/>
    <mergeCell ref="V232:Y232"/>
    <mergeCell ref="V231:Y231"/>
    <mergeCell ref="Q232:R232"/>
    <mergeCell ref="N15:N17"/>
    <mergeCell ref="C50:D50"/>
    <mergeCell ref="C86:D86"/>
    <mergeCell ref="C122:D122"/>
    <mergeCell ref="C158:D158"/>
    <mergeCell ref="C52:C54"/>
    <mergeCell ref="D52:D54"/>
    <mergeCell ref="F52:F54"/>
    <mergeCell ref="G52:G54"/>
    <mergeCell ref="H52:H54"/>
    <mergeCell ref="I52:I54"/>
    <mergeCell ref="C88:C90"/>
    <mergeCell ref="D88:D90"/>
    <mergeCell ref="F88:F90"/>
    <mergeCell ref="G88:G90"/>
    <mergeCell ref="H88:H90"/>
    <mergeCell ref="S88:Y88"/>
    <mergeCell ref="R160:R162"/>
    <mergeCell ref="C91:I91"/>
    <mergeCell ref="R124:R126"/>
  </mergeCells>
  <phoneticPr fontId="5" type="noConversion"/>
  <dataValidations count="1">
    <dataValidation type="list" allowBlank="1" showInputMessage="1" showErrorMessage="1" sqref="I231 I128:I159 I20:I51 I56:I87 I92:I123 I200:I229 I164:I195" xr:uid="{00000000-0002-0000-0500-000000000000}">
      <formula1>"National level, State level, LGA level, Community level, Schools"</formula1>
    </dataValidation>
  </dataValidations>
  <hyperlinks>
    <hyperlink ref="B2:G2" location="'Welcome Page'!A1" display="Click to return to welcome page" xr:uid="{00000000-0004-0000-0500-000000000000}"/>
    <hyperlink ref="C8:I8" location="'Pillar 3 - Systems Optimization'!C18" display="Priority initiative 3.1:Optimize organizational structure, guidelines, and personnel capacity to effectively deliver on mandate and impact" xr:uid="{AB82424A-45E2-4647-B5CD-08BFCEBDF593}"/>
    <hyperlink ref="C9:I9" location="'Pillar 3 - Systems Optimization'!C54" display="Priority initiative 3.2: Ensure transparent and effective financial management at state and LGA levels" xr:uid="{46649C95-72DD-44B5-8E1B-614431B371D7}"/>
    <hyperlink ref="C10:I10" location="'Pillar 3 - Systems Optimization'!C90" display="Priority initiative 3.3: Strengthen SUBEB’s brand reputation with stakeholders through strategic engagements, media, and other activities" xr:uid="{A4017549-F84E-405C-BFAC-787ACF8B1ABE}"/>
    <hyperlink ref="C11:I11" location="'Pillar 3 - Systems Optimization'!C126" display="Priority initiative 3.4: Improve coordination and implementation of basic education programs with SMBCs, MoE, LGEAs, UBEC and other stakeholders" xr:uid="{0F8E0576-3DE3-4B30-9F55-8C0CF6B28418}"/>
    <hyperlink ref="C12:I12" location="'Pillar 3 - Systems Optimization'!C162" display="Enabler: Strengthen performance management, and routine monitoring and evaluation of Basic Education Programs" xr:uid="{9B5AC3F4-8236-4595-8F3C-D19BC0521BE0}"/>
    <hyperlink ref="C13:I13" location="'Pillar 3 - Systems Optimization'!C198" display="Enabler: Instituting a framework for quality assurance to improve access to basic education" xr:uid="{A41A9CE5-D4EA-4D98-BB0D-B03253E0BF5E}"/>
  </hyperlinks>
  <pageMargins left="0.19685039370078741" right="0.19685039370078741" top="0.74803149606299213" bottom="0.74803149606299213" header="0.31496062992125984" footer="0.31496062992125984"/>
  <pageSetup paperSize="8" scale="30" orientation="landscape" verticalDpi="4294967295" r:id="rId1"/>
  <extLst>
    <ext xmlns:x14="http://schemas.microsoft.com/office/spreadsheetml/2009/9/main" uri="{CCE6A557-97BC-4b89-ADB6-D9C93CAAB3DF}">
      <x14:dataValidations xmlns:xm="http://schemas.microsoft.com/office/excel/2006/main" count="1">
        <x14:dataValidation type="list" allowBlank="1" showInputMessage="1" showErrorMessage="1" xr:uid="{37E013B3-4936-47AE-A9FC-5812BD6C16C5}">
          <x14:formula1>
            <xm:f>'Total budget summary'!$G$69:$G$80</xm:f>
          </x14:formula1>
          <xm:sqref>R20:R49 R92:R121 R128:R157 R164:R193 Q200:Q229 R56:R85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B1:C144"/>
  <sheetViews>
    <sheetView workbookViewId="0">
      <selection activeCell="C10" sqref="C10"/>
    </sheetView>
  </sheetViews>
  <sheetFormatPr defaultColWidth="8.7109375" defaultRowHeight="16.5" x14ac:dyDescent="0.3"/>
  <cols>
    <col min="1" max="1" width="0.85546875" style="1" customWidth="1"/>
    <col min="2" max="2" width="68.140625" style="1" customWidth="1"/>
    <col min="3" max="3" width="36" style="1" customWidth="1"/>
    <col min="4" max="16384" width="8.7109375" style="1"/>
  </cols>
  <sheetData>
    <row r="1" spans="2:3" ht="2.4500000000000002" customHeight="1" x14ac:dyDescent="0.3"/>
    <row r="2" spans="2:3" ht="57.6" customHeight="1" x14ac:dyDescent="0.3">
      <c r="B2" s="1038" t="s">
        <v>119</v>
      </c>
      <c r="C2" s="1039"/>
    </row>
    <row r="3" spans="2:3" x14ac:dyDescent="0.3">
      <c r="B3" s="1040" t="s">
        <v>120</v>
      </c>
      <c r="C3" s="1040"/>
    </row>
    <row r="4" spans="2:3" x14ac:dyDescent="0.3">
      <c r="B4" s="18" t="s">
        <v>60</v>
      </c>
      <c r="C4" s="19" t="s">
        <v>64</v>
      </c>
    </row>
    <row r="5" spans="2:3" s="14" customFormat="1" x14ac:dyDescent="0.25">
      <c r="B5" s="16" t="s">
        <v>122</v>
      </c>
      <c r="C5" s="20">
        <v>26521567.34</v>
      </c>
    </row>
    <row r="6" spans="2:3" s="14" customFormat="1" x14ac:dyDescent="0.25">
      <c r="B6" s="16"/>
      <c r="C6" s="20"/>
    </row>
    <row r="7" spans="2:3" s="14" customFormat="1" x14ac:dyDescent="0.25">
      <c r="B7" s="15"/>
      <c r="C7" s="20"/>
    </row>
    <row r="8" spans="2:3" s="14" customFormat="1" x14ac:dyDescent="0.25">
      <c r="B8" s="15"/>
      <c r="C8" s="20"/>
    </row>
    <row r="9" spans="2:3" s="14" customFormat="1" x14ac:dyDescent="0.25">
      <c r="B9" s="15"/>
      <c r="C9" s="20"/>
    </row>
    <row r="10" spans="2:3" s="14" customFormat="1" x14ac:dyDescent="0.25">
      <c r="B10" s="15"/>
      <c r="C10" s="20"/>
    </row>
    <row r="11" spans="2:3" s="14" customFormat="1" x14ac:dyDescent="0.25">
      <c r="B11" s="15"/>
      <c r="C11" s="20"/>
    </row>
    <row r="12" spans="2:3" s="14" customFormat="1" x14ac:dyDescent="0.25">
      <c r="B12" s="15"/>
      <c r="C12" s="20"/>
    </row>
    <row r="13" spans="2:3" s="14" customFormat="1" x14ac:dyDescent="0.25">
      <c r="B13" s="15"/>
      <c r="C13" s="20"/>
    </row>
    <row r="14" spans="2:3" s="14" customFormat="1" x14ac:dyDescent="0.25">
      <c r="B14" s="15"/>
      <c r="C14" s="20"/>
    </row>
    <row r="15" spans="2:3" s="14" customFormat="1" x14ac:dyDescent="0.25">
      <c r="B15" s="15"/>
      <c r="C15" s="20"/>
    </row>
    <row r="16" spans="2:3" s="14" customFormat="1" x14ac:dyDescent="0.25">
      <c r="B16" s="15"/>
      <c r="C16" s="20"/>
    </row>
    <row r="17" spans="2:3" s="14" customFormat="1" x14ac:dyDescent="0.25">
      <c r="B17" s="15"/>
      <c r="C17" s="20"/>
    </row>
    <row r="18" spans="2:3" s="14" customFormat="1" x14ac:dyDescent="0.25">
      <c r="B18" s="15"/>
      <c r="C18" s="20"/>
    </row>
    <row r="19" spans="2:3" s="14" customFormat="1" x14ac:dyDescent="0.25">
      <c r="B19" s="15"/>
      <c r="C19" s="20"/>
    </row>
    <row r="20" spans="2:3" s="14" customFormat="1" ht="21" customHeight="1" x14ac:dyDescent="0.25">
      <c r="B20" s="15"/>
      <c r="C20" s="20"/>
    </row>
    <row r="21" spans="2:3" s="14" customFormat="1" x14ac:dyDescent="0.25">
      <c r="B21" s="15"/>
      <c r="C21" s="20"/>
    </row>
    <row r="22" spans="2:3" s="14" customFormat="1" x14ac:dyDescent="0.25">
      <c r="B22" s="15"/>
      <c r="C22" s="20"/>
    </row>
    <row r="23" spans="2:3" s="14" customFormat="1" x14ac:dyDescent="0.25">
      <c r="B23" s="15"/>
      <c r="C23" s="20"/>
    </row>
    <row r="24" spans="2:3" s="14" customFormat="1" x14ac:dyDescent="0.25">
      <c r="B24" s="15"/>
      <c r="C24" s="20"/>
    </row>
    <row r="25" spans="2:3" s="14" customFormat="1" x14ac:dyDescent="0.25">
      <c r="B25" s="16"/>
      <c r="C25" s="20"/>
    </row>
    <row r="26" spans="2:3" s="14" customFormat="1" x14ac:dyDescent="0.25">
      <c r="B26" s="16"/>
      <c r="C26" s="20"/>
    </row>
    <row r="27" spans="2:3" s="14" customFormat="1" x14ac:dyDescent="0.25">
      <c r="B27" s="16"/>
      <c r="C27" s="20"/>
    </row>
    <row r="28" spans="2:3" s="14" customFormat="1" x14ac:dyDescent="0.25">
      <c r="B28" s="16"/>
      <c r="C28" s="20"/>
    </row>
    <row r="29" spans="2:3" s="14" customFormat="1" x14ac:dyDescent="0.25">
      <c r="B29" s="16"/>
      <c r="C29" s="20"/>
    </row>
    <row r="30" spans="2:3" s="14" customFormat="1" x14ac:dyDescent="0.25">
      <c r="B30" s="16" t="s">
        <v>61</v>
      </c>
      <c r="C30" s="20"/>
    </row>
    <row r="31" spans="2:3" s="14" customFormat="1" x14ac:dyDescent="0.25">
      <c r="B31" s="16" t="s">
        <v>61</v>
      </c>
      <c r="C31" s="20"/>
    </row>
    <row r="32" spans="2:3" s="14" customFormat="1" x14ac:dyDescent="0.25">
      <c r="B32" s="16" t="s">
        <v>61</v>
      </c>
      <c r="C32" s="20"/>
    </row>
    <row r="33" spans="2:3" s="14" customFormat="1" x14ac:dyDescent="0.25">
      <c r="B33" s="16" t="s">
        <v>61</v>
      </c>
      <c r="C33" s="20"/>
    </row>
    <row r="34" spans="2:3" s="14" customFormat="1" x14ac:dyDescent="0.25">
      <c r="B34" s="16" t="s">
        <v>61</v>
      </c>
      <c r="C34" s="20"/>
    </row>
    <row r="35" spans="2:3" s="14" customFormat="1" x14ac:dyDescent="0.25">
      <c r="B35" s="16" t="s">
        <v>61</v>
      </c>
      <c r="C35" s="20"/>
    </row>
    <row r="36" spans="2:3" s="14" customFormat="1" x14ac:dyDescent="0.25">
      <c r="B36" s="16" t="s">
        <v>61</v>
      </c>
      <c r="C36" s="20"/>
    </row>
    <row r="37" spans="2:3" s="14" customFormat="1" x14ac:dyDescent="0.25">
      <c r="B37" s="16" t="s">
        <v>61</v>
      </c>
      <c r="C37" s="20"/>
    </row>
    <row r="38" spans="2:3" s="14" customFormat="1" x14ac:dyDescent="0.25">
      <c r="B38" s="16" t="s">
        <v>61</v>
      </c>
      <c r="C38" s="20"/>
    </row>
    <row r="39" spans="2:3" s="14" customFormat="1" x14ac:dyDescent="0.25">
      <c r="B39" s="16" t="s">
        <v>61</v>
      </c>
      <c r="C39" s="20"/>
    </row>
    <row r="40" spans="2:3" s="14" customFormat="1" x14ac:dyDescent="0.25">
      <c r="B40" s="16" t="s">
        <v>61</v>
      </c>
      <c r="C40" s="20"/>
    </row>
    <row r="41" spans="2:3" s="14" customFormat="1" x14ac:dyDescent="0.25">
      <c r="B41" s="16" t="s">
        <v>61</v>
      </c>
      <c r="C41" s="20"/>
    </row>
    <row r="42" spans="2:3" s="14" customFormat="1" x14ac:dyDescent="0.25">
      <c r="B42" s="16" t="s">
        <v>61</v>
      </c>
      <c r="C42" s="20"/>
    </row>
    <row r="43" spans="2:3" s="14" customFormat="1" x14ac:dyDescent="0.25">
      <c r="B43" s="16" t="s">
        <v>61</v>
      </c>
      <c r="C43" s="20"/>
    </row>
    <row r="44" spans="2:3" s="14" customFormat="1" x14ac:dyDescent="0.25">
      <c r="B44" s="16" t="s">
        <v>61</v>
      </c>
      <c r="C44" s="20"/>
    </row>
    <row r="45" spans="2:3" s="14" customFormat="1" x14ac:dyDescent="0.25">
      <c r="B45" s="16" t="s">
        <v>61</v>
      </c>
      <c r="C45" s="20"/>
    </row>
    <row r="46" spans="2:3" s="14" customFormat="1" x14ac:dyDescent="0.25">
      <c r="B46" s="16" t="s">
        <v>61</v>
      </c>
      <c r="C46" s="20"/>
    </row>
    <row r="47" spans="2:3" s="14" customFormat="1" x14ac:dyDescent="0.25">
      <c r="B47" s="16" t="s">
        <v>61</v>
      </c>
      <c r="C47" s="20"/>
    </row>
    <row r="48" spans="2:3" s="14" customFormat="1" x14ac:dyDescent="0.25">
      <c r="B48" s="16" t="s">
        <v>61</v>
      </c>
      <c r="C48" s="20"/>
    </row>
    <row r="49" spans="2:3" s="14" customFormat="1" x14ac:dyDescent="0.25">
      <c r="B49" s="16" t="s">
        <v>61</v>
      </c>
      <c r="C49" s="20"/>
    </row>
    <row r="50" spans="2:3" s="14" customFormat="1" x14ac:dyDescent="0.25">
      <c r="B50" s="16" t="s">
        <v>61</v>
      </c>
      <c r="C50" s="20"/>
    </row>
    <row r="51" spans="2:3" x14ac:dyDescent="0.3">
      <c r="B51" s="17" t="s">
        <v>61</v>
      </c>
      <c r="C51" s="13"/>
    </row>
    <row r="52" spans="2:3" x14ac:dyDescent="0.3">
      <c r="B52" s="17" t="s">
        <v>61</v>
      </c>
      <c r="C52" s="13"/>
    </row>
    <row r="53" spans="2:3" x14ac:dyDescent="0.3">
      <c r="B53" s="17" t="s">
        <v>61</v>
      </c>
      <c r="C53" s="13"/>
    </row>
    <row r="54" spans="2:3" x14ac:dyDescent="0.3">
      <c r="B54" s="17" t="s">
        <v>61</v>
      </c>
      <c r="C54" s="13"/>
    </row>
    <row r="55" spans="2:3" x14ac:dyDescent="0.3">
      <c r="B55" s="17" t="s">
        <v>61</v>
      </c>
      <c r="C55" s="13"/>
    </row>
    <row r="56" spans="2:3" x14ac:dyDescent="0.3">
      <c r="B56" s="17" t="s">
        <v>61</v>
      </c>
      <c r="C56" s="13"/>
    </row>
    <row r="57" spans="2:3" x14ac:dyDescent="0.3">
      <c r="B57" s="17" t="s">
        <v>61</v>
      </c>
      <c r="C57" s="13"/>
    </row>
    <row r="58" spans="2:3" x14ac:dyDescent="0.3">
      <c r="B58" s="17" t="s">
        <v>61</v>
      </c>
      <c r="C58" s="13"/>
    </row>
    <row r="59" spans="2:3" x14ac:dyDescent="0.3">
      <c r="B59" s="17" t="s">
        <v>61</v>
      </c>
      <c r="C59" s="13"/>
    </row>
    <row r="60" spans="2:3" x14ac:dyDescent="0.3">
      <c r="B60" s="17" t="s">
        <v>61</v>
      </c>
      <c r="C60" s="13"/>
    </row>
    <row r="61" spans="2:3" x14ac:dyDescent="0.3">
      <c r="B61" s="17" t="s">
        <v>61</v>
      </c>
      <c r="C61" s="13"/>
    </row>
    <row r="62" spans="2:3" x14ac:dyDescent="0.3">
      <c r="B62" s="17" t="s">
        <v>61</v>
      </c>
      <c r="C62" s="13"/>
    </row>
    <row r="63" spans="2:3" x14ac:dyDescent="0.3">
      <c r="B63" s="17" t="s">
        <v>61</v>
      </c>
      <c r="C63" s="13"/>
    </row>
    <row r="64" spans="2:3" x14ac:dyDescent="0.3">
      <c r="B64" s="17" t="s">
        <v>61</v>
      </c>
      <c r="C64" s="13"/>
    </row>
    <row r="65" spans="2:3" x14ac:dyDescent="0.3">
      <c r="B65" s="17" t="s">
        <v>61</v>
      </c>
      <c r="C65" s="13"/>
    </row>
    <row r="66" spans="2:3" x14ac:dyDescent="0.3">
      <c r="B66" s="17" t="s">
        <v>61</v>
      </c>
      <c r="C66" s="13"/>
    </row>
    <row r="67" spans="2:3" x14ac:dyDescent="0.3">
      <c r="B67" s="17" t="s">
        <v>61</v>
      </c>
      <c r="C67" s="13"/>
    </row>
    <row r="68" spans="2:3" x14ac:dyDescent="0.3">
      <c r="B68" s="17" t="s">
        <v>61</v>
      </c>
      <c r="C68" s="13"/>
    </row>
    <row r="69" spans="2:3" x14ac:dyDescent="0.3">
      <c r="B69" s="17" t="s">
        <v>61</v>
      </c>
      <c r="C69" s="13"/>
    </row>
    <row r="70" spans="2:3" x14ac:dyDescent="0.3">
      <c r="B70" s="17" t="s">
        <v>61</v>
      </c>
      <c r="C70" s="13"/>
    </row>
    <row r="71" spans="2:3" x14ac:dyDescent="0.3">
      <c r="B71" s="17" t="s">
        <v>61</v>
      </c>
      <c r="C71" s="13"/>
    </row>
    <row r="72" spans="2:3" x14ac:dyDescent="0.3">
      <c r="B72" s="17" t="s">
        <v>61</v>
      </c>
      <c r="C72" s="13"/>
    </row>
    <row r="73" spans="2:3" x14ac:dyDescent="0.3">
      <c r="B73" s="17" t="s">
        <v>61</v>
      </c>
      <c r="C73" s="13"/>
    </row>
    <row r="74" spans="2:3" x14ac:dyDescent="0.3">
      <c r="B74" s="17" t="s">
        <v>61</v>
      </c>
      <c r="C74" s="13"/>
    </row>
    <row r="75" spans="2:3" x14ac:dyDescent="0.3">
      <c r="B75" s="17" t="s">
        <v>61</v>
      </c>
      <c r="C75" s="13"/>
    </row>
    <row r="76" spans="2:3" x14ac:dyDescent="0.3">
      <c r="B76" s="17" t="s">
        <v>61</v>
      </c>
      <c r="C76" s="13"/>
    </row>
    <row r="77" spans="2:3" x14ac:dyDescent="0.3">
      <c r="B77" s="17" t="s">
        <v>61</v>
      </c>
      <c r="C77" s="13"/>
    </row>
    <row r="78" spans="2:3" x14ac:dyDescent="0.3">
      <c r="B78" s="17" t="s">
        <v>61</v>
      </c>
      <c r="C78" s="13"/>
    </row>
    <row r="79" spans="2:3" x14ac:dyDescent="0.3">
      <c r="B79" s="17" t="s">
        <v>61</v>
      </c>
      <c r="C79" s="13"/>
    </row>
    <row r="80" spans="2:3" x14ac:dyDescent="0.3">
      <c r="B80" s="17" t="s">
        <v>61</v>
      </c>
      <c r="C80" s="13"/>
    </row>
    <row r="81" spans="2:3" x14ac:dyDescent="0.3">
      <c r="B81" s="17" t="s">
        <v>61</v>
      </c>
      <c r="C81" s="13"/>
    </row>
    <row r="82" spans="2:3" x14ac:dyDescent="0.3">
      <c r="B82" s="17" t="s">
        <v>61</v>
      </c>
      <c r="C82" s="13"/>
    </row>
    <row r="83" spans="2:3" x14ac:dyDescent="0.3">
      <c r="B83" s="17" t="s">
        <v>61</v>
      </c>
      <c r="C83" s="13"/>
    </row>
    <row r="84" spans="2:3" x14ac:dyDescent="0.3">
      <c r="B84" s="17" t="s">
        <v>61</v>
      </c>
      <c r="C84" s="13"/>
    </row>
    <row r="85" spans="2:3" x14ac:dyDescent="0.3">
      <c r="B85" s="17" t="s">
        <v>61</v>
      </c>
      <c r="C85" s="13"/>
    </row>
    <row r="86" spans="2:3" x14ac:dyDescent="0.3">
      <c r="B86" s="17" t="s">
        <v>61</v>
      </c>
      <c r="C86" s="13"/>
    </row>
    <row r="87" spans="2:3" x14ac:dyDescent="0.3">
      <c r="B87" s="17" t="s">
        <v>61</v>
      </c>
      <c r="C87" s="13"/>
    </row>
    <row r="88" spans="2:3" x14ac:dyDescent="0.3">
      <c r="B88" s="17" t="s">
        <v>61</v>
      </c>
      <c r="C88" s="13"/>
    </row>
    <row r="89" spans="2:3" x14ac:dyDescent="0.3">
      <c r="B89" s="17" t="s">
        <v>61</v>
      </c>
      <c r="C89" s="13"/>
    </row>
    <row r="90" spans="2:3" x14ac:dyDescent="0.3">
      <c r="B90" s="17" t="s">
        <v>61</v>
      </c>
      <c r="C90" s="13"/>
    </row>
    <row r="91" spans="2:3" x14ac:dyDescent="0.3">
      <c r="B91" s="17" t="s">
        <v>61</v>
      </c>
      <c r="C91" s="13"/>
    </row>
    <row r="92" spans="2:3" x14ac:dyDescent="0.3">
      <c r="B92" s="17" t="s">
        <v>61</v>
      </c>
      <c r="C92" s="13"/>
    </row>
    <row r="93" spans="2:3" x14ac:dyDescent="0.3">
      <c r="B93" s="17" t="s">
        <v>61</v>
      </c>
      <c r="C93" s="13"/>
    </row>
    <row r="94" spans="2:3" x14ac:dyDescent="0.3">
      <c r="B94" s="17" t="s">
        <v>61</v>
      </c>
      <c r="C94" s="13"/>
    </row>
    <row r="95" spans="2:3" x14ac:dyDescent="0.3">
      <c r="B95" s="17" t="s">
        <v>61</v>
      </c>
      <c r="C95" s="13"/>
    </row>
    <row r="96" spans="2:3" x14ac:dyDescent="0.3">
      <c r="B96" s="17" t="s">
        <v>61</v>
      </c>
      <c r="C96" s="13"/>
    </row>
    <row r="97" spans="2:3" x14ac:dyDescent="0.3">
      <c r="B97" s="17" t="s">
        <v>61</v>
      </c>
      <c r="C97" s="13"/>
    </row>
    <row r="98" spans="2:3" x14ac:dyDescent="0.3">
      <c r="B98" s="17" t="s">
        <v>61</v>
      </c>
      <c r="C98" s="13"/>
    </row>
    <row r="99" spans="2:3" x14ac:dyDescent="0.3">
      <c r="B99" s="17" t="s">
        <v>61</v>
      </c>
      <c r="C99" s="13"/>
    </row>
    <row r="100" spans="2:3" x14ac:dyDescent="0.3">
      <c r="B100" s="17" t="s">
        <v>61</v>
      </c>
      <c r="C100" s="13"/>
    </row>
    <row r="101" spans="2:3" x14ac:dyDescent="0.3">
      <c r="B101" s="17" t="s">
        <v>61</v>
      </c>
      <c r="C101" s="13"/>
    </row>
    <row r="102" spans="2:3" x14ac:dyDescent="0.3">
      <c r="B102" s="17" t="s">
        <v>61</v>
      </c>
      <c r="C102" s="13"/>
    </row>
    <row r="103" spans="2:3" x14ac:dyDescent="0.3">
      <c r="B103" s="17" t="s">
        <v>61</v>
      </c>
      <c r="C103" s="13"/>
    </row>
    <row r="104" spans="2:3" x14ac:dyDescent="0.3">
      <c r="B104" s="17" t="s">
        <v>61</v>
      </c>
      <c r="C104" s="13"/>
    </row>
    <row r="105" spans="2:3" x14ac:dyDescent="0.3">
      <c r="B105" s="17" t="s">
        <v>61</v>
      </c>
      <c r="C105" s="13"/>
    </row>
    <row r="106" spans="2:3" x14ac:dyDescent="0.3">
      <c r="B106" s="17" t="s">
        <v>61</v>
      </c>
      <c r="C106" s="13"/>
    </row>
    <row r="107" spans="2:3" x14ac:dyDescent="0.3">
      <c r="B107" s="17" t="s">
        <v>61</v>
      </c>
      <c r="C107" s="13"/>
    </row>
    <row r="108" spans="2:3" x14ac:dyDescent="0.3">
      <c r="B108" s="17" t="s">
        <v>61</v>
      </c>
      <c r="C108" s="13"/>
    </row>
    <row r="109" spans="2:3" x14ac:dyDescent="0.3">
      <c r="B109" s="17" t="s">
        <v>61</v>
      </c>
      <c r="C109" s="13"/>
    </row>
    <row r="110" spans="2:3" x14ac:dyDescent="0.3">
      <c r="B110" s="17" t="s">
        <v>61</v>
      </c>
      <c r="C110" s="13"/>
    </row>
    <row r="111" spans="2:3" x14ac:dyDescent="0.3">
      <c r="B111" s="17" t="s">
        <v>61</v>
      </c>
      <c r="C111" s="13"/>
    </row>
    <row r="112" spans="2:3" x14ac:dyDescent="0.3">
      <c r="B112" s="17" t="s">
        <v>61</v>
      </c>
      <c r="C112" s="13"/>
    </row>
    <row r="113" spans="2:3" x14ac:dyDescent="0.3">
      <c r="B113" s="17" t="s">
        <v>61</v>
      </c>
      <c r="C113" s="13"/>
    </row>
    <row r="114" spans="2:3" x14ac:dyDescent="0.3">
      <c r="B114" s="17" t="s">
        <v>61</v>
      </c>
      <c r="C114" s="13"/>
    </row>
    <row r="115" spans="2:3" x14ac:dyDescent="0.3">
      <c r="B115" s="17" t="s">
        <v>61</v>
      </c>
      <c r="C115" s="13"/>
    </row>
    <row r="116" spans="2:3" x14ac:dyDescent="0.3">
      <c r="B116" s="17" t="s">
        <v>61</v>
      </c>
      <c r="C116" s="13"/>
    </row>
    <row r="117" spans="2:3" x14ac:dyDescent="0.3">
      <c r="B117" s="17" t="s">
        <v>61</v>
      </c>
      <c r="C117" s="13"/>
    </row>
    <row r="118" spans="2:3" x14ac:dyDescent="0.3">
      <c r="B118" s="17" t="s">
        <v>61</v>
      </c>
      <c r="C118" s="13"/>
    </row>
    <row r="119" spans="2:3" x14ac:dyDescent="0.3">
      <c r="B119" s="17" t="s">
        <v>61</v>
      </c>
      <c r="C119" s="13"/>
    </row>
    <row r="120" spans="2:3" x14ac:dyDescent="0.3">
      <c r="B120" s="17" t="s">
        <v>61</v>
      </c>
      <c r="C120" s="13"/>
    </row>
    <row r="121" spans="2:3" x14ac:dyDescent="0.3">
      <c r="B121" s="17" t="s">
        <v>61</v>
      </c>
      <c r="C121" s="13"/>
    </row>
    <row r="122" spans="2:3" x14ac:dyDescent="0.3">
      <c r="B122" s="17" t="s">
        <v>61</v>
      </c>
      <c r="C122" s="13"/>
    </row>
    <row r="123" spans="2:3" x14ac:dyDescent="0.3">
      <c r="B123" s="17" t="s">
        <v>61</v>
      </c>
      <c r="C123" s="13"/>
    </row>
    <row r="124" spans="2:3" x14ac:dyDescent="0.3">
      <c r="B124" s="17" t="s">
        <v>61</v>
      </c>
      <c r="C124" s="13"/>
    </row>
    <row r="125" spans="2:3" x14ac:dyDescent="0.3">
      <c r="B125" s="17" t="s">
        <v>61</v>
      </c>
      <c r="C125" s="13"/>
    </row>
    <row r="126" spans="2:3" x14ac:dyDescent="0.3">
      <c r="B126" s="17" t="s">
        <v>61</v>
      </c>
      <c r="C126" s="13"/>
    </row>
    <row r="127" spans="2:3" x14ac:dyDescent="0.3">
      <c r="B127" s="17" t="s">
        <v>61</v>
      </c>
      <c r="C127" s="13"/>
    </row>
    <row r="128" spans="2:3" x14ac:dyDescent="0.3">
      <c r="B128" s="17" t="s">
        <v>61</v>
      </c>
      <c r="C128" s="13"/>
    </row>
    <row r="129" spans="2:3" x14ac:dyDescent="0.3">
      <c r="B129" s="17" t="s">
        <v>61</v>
      </c>
      <c r="C129" s="13"/>
    </row>
    <row r="130" spans="2:3" x14ac:dyDescent="0.3">
      <c r="B130" s="17" t="s">
        <v>61</v>
      </c>
      <c r="C130" s="13"/>
    </row>
    <row r="131" spans="2:3" x14ac:dyDescent="0.3">
      <c r="B131" s="17" t="s">
        <v>61</v>
      </c>
      <c r="C131" s="13"/>
    </row>
    <row r="132" spans="2:3" x14ac:dyDescent="0.3">
      <c r="B132" s="17" t="s">
        <v>61</v>
      </c>
      <c r="C132" s="13"/>
    </row>
    <row r="133" spans="2:3" x14ac:dyDescent="0.3">
      <c r="B133" s="17" t="s">
        <v>61</v>
      </c>
      <c r="C133" s="13"/>
    </row>
    <row r="134" spans="2:3" x14ac:dyDescent="0.3">
      <c r="B134" s="17" t="s">
        <v>61</v>
      </c>
      <c r="C134" s="13"/>
    </row>
    <row r="135" spans="2:3" x14ac:dyDescent="0.3">
      <c r="B135" s="17" t="s">
        <v>61</v>
      </c>
      <c r="C135" s="13"/>
    </row>
    <row r="136" spans="2:3" x14ac:dyDescent="0.3">
      <c r="B136" s="17" t="s">
        <v>61</v>
      </c>
      <c r="C136" s="13"/>
    </row>
    <row r="137" spans="2:3" x14ac:dyDescent="0.3">
      <c r="B137" s="17" t="s">
        <v>61</v>
      </c>
      <c r="C137" s="13"/>
    </row>
    <row r="138" spans="2:3" x14ac:dyDescent="0.3">
      <c r="B138" s="17" t="s">
        <v>61</v>
      </c>
      <c r="C138" s="13"/>
    </row>
    <row r="139" spans="2:3" x14ac:dyDescent="0.3">
      <c r="B139" s="17" t="s">
        <v>61</v>
      </c>
      <c r="C139" s="13"/>
    </row>
    <row r="140" spans="2:3" x14ac:dyDescent="0.3">
      <c r="B140" s="17" t="s">
        <v>61</v>
      </c>
      <c r="C140" s="13"/>
    </row>
    <row r="141" spans="2:3" x14ac:dyDescent="0.3">
      <c r="B141" s="17" t="s">
        <v>61</v>
      </c>
      <c r="C141" s="13"/>
    </row>
    <row r="142" spans="2:3" x14ac:dyDescent="0.3">
      <c r="B142" s="17" t="s">
        <v>61</v>
      </c>
      <c r="C142" s="13"/>
    </row>
    <row r="143" spans="2:3" x14ac:dyDescent="0.3">
      <c r="B143" s="17" t="s">
        <v>61</v>
      </c>
      <c r="C143" s="13"/>
    </row>
    <row r="144" spans="2:3" x14ac:dyDescent="0.3">
      <c r="B144" s="17" t="s">
        <v>61</v>
      </c>
      <c r="C144" s="13"/>
    </row>
  </sheetData>
  <mergeCells count="2">
    <mergeCell ref="B2:C2"/>
    <mergeCell ref="B3:C3"/>
  </mergeCells>
  <dataValidations count="1">
    <dataValidation type="decimal" operator="greaterThanOrEqual" allowBlank="1" showInputMessage="1" showErrorMessage="1" errorTitle="Error" error="Input a number only" sqref="C5:C144" xr:uid="{00000000-0002-0000-0600-000000000000}">
      <formula1>0</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tabColor rgb="FFFF0000"/>
  </sheetPr>
  <dimension ref="B1:G172"/>
  <sheetViews>
    <sheetView topLeftCell="A3" zoomScale="66" zoomScaleNormal="100" workbookViewId="0">
      <selection activeCell="J17" sqref="J17"/>
    </sheetView>
  </sheetViews>
  <sheetFormatPr defaultColWidth="8.7109375" defaultRowHeight="16.5" x14ac:dyDescent="0.3"/>
  <cols>
    <col min="1" max="1" width="0.7109375" style="1" customWidth="1"/>
    <col min="2" max="2" width="16.85546875" style="1" customWidth="1"/>
    <col min="3" max="3" width="30.85546875" style="1" customWidth="1"/>
    <col min="4" max="4" width="31.42578125" style="1" customWidth="1"/>
    <col min="5" max="5" width="29.140625" style="1" customWidth="1"/>
    <col min="6" max="6" width="28.28515625" style="1" customWidth="1"/>
    <col min="7" max="7" width="38.42578125" style="1" customWidth="1"/>
    <col min="8" max="16384" width="8.7109375" style="1"/>
  </cols>
  <sheetData>
    <row r="1" spans="2:7" ht="3.95" customHeight="1" x14ac:dyDescent="0.3"/>
    <row r="2" spans="2:7" ht="26.25" x14ac:dyDescent="0.3">
      <c r="B2" s="4" t="s">
        <v>24</v>
      </c>
      <c r="C2" s="1042" t="s">
        <v>25</v>
      </c>
      <c r="D2" s="1042"/>
      <c r="E2" s="1042"/>
      <c r="F2" s="1042"/>
      <c r="G2" s="1042"/>
    </row>
    <row r="3" spans="2:7" ht="26.25" x14ac:dyDescent="0.3">
      <c r="B3" s="4" t="s">
        <v>26</v>
      </c>
      <c r="C3" s="1042" t="s">
        <v>29</v>
      </c>
      <c r="D3" s="1042"/>
      <c r="E3" s="1042"/>
      <c r="F3" s="1042"/>
      <c r="G3" s="1042"/>
    </row>
    <row r="4" spans="2:7" ht="26.25" x14ac:dyDescent="0.3">
      <c r="B4" s="4" t="s">
        <v>27</v>
      </c>
      <c r="C4" s="1042" t="s">
        <v>30</v>
      </c>
      <c r="D4" s="1042"/>
      <c r="E4" s="1042"/>
      <c r="F4" s="1042"/>
      <c r="G4" s="1042"/>
    </row>
    <row r="5" spans="2:7" ht="26.25" x14ac:dyDescent="0.3">
      <c r="B5" s="4" t="s">
        <v>28</v>
      </c>
      <c r="C5" s="1042" t="s">
        <v>31</v>
      </c>
      <c r="D5" s="1042"/>
      <c r="E5" s="1042"/>
      <c r="F5" s="1042"/>
      <c r="G5" s="1042"/>
    </row>
    <row r="6" spans="2:7" ht="26.25" x14ac:dyDescent="0.3">
      <c r="B6" s="1042" t="s">
        <v>32</v>
      </c>
      <c r="C6" s="1042"/>
      <c r="D6" s="1042"/>
      <c r="E6" s="1042"/>
      <c r="F6" s="1042"/>
      <c r="G6" s="1042"/>
    </row>
    <row r="9" spans="2:7" ht="26.25" x14ac:dyDescent="0.3">
      <c r="C9" s="5" t="s">
        <v>24</v>
      </c>
      <c r="D9" s="1043" t="s">
        <v>25</v>
      </c>
      <c r="E9" s="1044"/>
      <c r="F9" s="1044"/>
      <c r="G9" s="1044"/>
    </row>
    <row r="10" spans="2:7" ht="39" customHeight="1" x14ac:dyDescent="0.3">
      <c r="C10" s="7" t="s">
        <v>34</v>
      </c>
      <c r="D10" s="1045" t="s">
        <v>127</v>
      </c>
      <c r="E10" s="1045"/>
      <c r="F10" s="7" t="s">
        <v>47</v>
      </c>
      <c r="G10" s="12"/>
    </row>
    <row r="11" spans="2:7" ht="22.5" customHeight="1" x14ac:dyDescent="0.3">
      <c r="C11" s="8" t="s">
        <v>48</v>
      </c>
      <c r="D11" s="8" t="s">
        <v>49</v>
      </c>
      <c r="E11" s="8" t="s">
        <v>50</v>
      </c>
      <c r="F11" s="8" t="s">
        <v>51</v>
      </c>
      <c r="G11" s="9" t="s">
        <v>52</v>
      </c>
    </row>
    <row r="12" spans="2:7" x14ac:dyDescent="0.3">
      <c r="C12" s="10" t="s">
        <v>126</v>
      </c>
      <c r="D12" s="10">
        <v>50</v>
      </c>
      <c r="E12" s="10">
        <v>1</v>
      </c>
      <c r="F12" s="10"/>
      <c r="G12" s="31">
        <f t="shared" ref="G12:G17" si="0">PRODUCT(D12:F12)</f>
        <v>50</v>
      </c>
    </row>
    <row r="13" spans="2:7" x14ac:dyDescent="0.3">
      <c r="C13" s="10"/>
      <c r="D13" s="10"/>
      <c r="E13" s="10"/>
      <c r="F13" s="10" t="e">
        <f>VLOOKUP(C13,#REF!, 2, FALSE)</f>
        <v>#REF!</v>
      </c>
      <c r="G13" s="10" t="e">
        <f t="shared" si="0"/>
        <v>#REF!</v>
      </c>
    </row>
    <row r="14" spans="2:7" x14ac:dyDescent="0.3">
      <c r="C14" s="10"/>
      <c r="D14" s="10"/>
      <c r="E14" s="10"/>
      <c r="F14" s="10" t="e">
        <f>VLOOKUP(C14,#REF!, 2, FALSE)</f>
        <v>#REF!</v>
      </c>
      <c r="G14" s="10" t="e">
        <f t="shared" si="0"/>
        <v>#REF!</v>
      </c>
    </row>
    <row r="15" spans="2:7" x14ac:dyDescent="0.3">
      <c r="C15" s="10"/>
      <c r="D15" s="10"/>
      <c r="E15" s="10"/>
      <c r="F15" s="10" t="e">
        <f>VLOOKUP(C15,#REF!, 2, FALSE)</f>
        <v>#REF!</v>
      </c>
      <c r="G15" s="10" t="e">
        <f t="shared" si="0"/>
        <v>#REF!</v>
      </c>
    </row>
    <row r="16" spans="2:7" x14ac:dyDescent="0.3">
      <c r="C16" s="10"/>
      <c r="D16" s="10"/>
      <c r="E16" s="10"/>
      <c r="F16" s="10" t="e">
        <f>VLOOKUP(C16,#REF!, 2, FALSE)</f>
        <v>#REF!</v>
      </c>
      <c r="G16" s="10" t="e">
        <f t="shared" si="0"/>
        <v>#REF!</v>
      </c>
    </row>
    <row r="17" spans="3:7" x14ac:dyDescent="0.3">
      <c r="C17" s="10"/>
      <c r="D17" s="10"/>
      <c r="E17" s="10"/>
      <c r="F17" s="10"/>
      <c r="G17" s="10">
        <f t="shared" si="0"/>
        <v>0</v>
      </c>
    </row>
    <row r="18" spans="3:7" x14ac:dyDescent="0.3">
      <c r="C18" s="10"/>
      <c r="D18" s="10"/>
      <c r="E18" s="10"/>
      <c r="F18" s="10"/>
      <c r="G18" s="10"/>
    </row>
    <row r="19" spans="3:7" x14ac:dyDescent="0.3">
      <c r="C19" s="10"/>
      <c r="D19" s="10"/>
      <c r="E19" s="10"/>
      <c r="F19" s="10"/>
      <c r="G19" s="10"/>
    </row>
    <row r="20" spans="3:7" x14ac:dyDescent="0.3">
      <c r="C20" s="10"/>
      <c r="D20" s="10"/>
      <c r="E20" s="10"/>
      <c r="F20" s="10"/>
      <c r="G20" s="10"/>
    </row>
    <row r="22" spans="3:7" x14ac:dyDescent="0.3">
      <c r="C22" s="7" t="s">
        <v>34</v>
      </c>
      <c r="D22" s="1041">
        <f>'Pillar 1 - Access'!E36</f>
        <v>0</v>
      </c>
      <c r="E22" s="1041"/>
      <c r="F22" s="7" t="s">
        <v>47</v>
      </c>
      <c r="G22" s="6" t="e">
        <f>SUM(G24:G32)</f>
        <v>#REF!</v>
      </c>
    </row>
    <row r="23" spans="3:7" x14ac:dyDescent="0.3">
      <c r="C23" s="8" t="s">
        <v>48</v>
      </c>
      <c r="D23" s="8" t="s">
        <v>49</v>
      </c>
      <c r="E23" s="8" t="s">
        <v>50</v>
      </c>
      <c r="F23" s="8" t="s">
        <v>51</v>
      </c>
      <c r="G23" s="9" t="s">
        <v>52</v>
      </c>
    </row>
    <row r="24" spans="3:7" x14ac:dyDescent="0.3">
      <c r="C24" s="10"/>
      <c r="D24" s="10"/>
      <c r="E24" s="10"/>
      <c r="F24" s="10" t="e">
        <f>VLOOKUP(C24,#REF!, 2, FALSE)</f>
        <v>#REF!</v>
      </c>
      <c r="G24" s="10" t="e">
        <f>PRODUCT(D24:F24)</f>
        <v>#REF!</v>
      </c>
    </row>
    <row r="25" spans="3:7" x14ac:dyDescent="0.3">
      <c r="C25" s="10"/>
      <c r="D25" s="10"/>
      <c r="E25" s="10"/>
      <c r="F25" s="10" t="e">
        <f>VLOOKUP(C25,#REF!, 2, FALSE)</f>
        <v>#REF!</v>
      </c>
      <c r="G25" s="10" t="e">
        <f t="shared" ref="G25:G32" si="1">PRODUCT(D25:F25)</f>
        <v>#REF!</v>
      </c>
    </row>
    <row r="26" spans="3:7" x14ac:dyDescent="0.3">
      <c r="C26" s="10"/>
      <c r="D26" s="10"/>
      <c r="E26" s="10"/>
      <c r="F26" s="10" t="e">
        <f>VLOOKUP(C26,#REF!, 2, FALSE)</f>
        <v>#REF!</v>
      </c>
      <c r="G26" s="10" t="e">
        <f t="shared" si="1"/>
        <v>#REF!</v>
      </c>
    </row>
    <row r="27" spans="3:7" x14ac:dyDescent="0.3">
      <c r="C27" s="10"/>
      <c r="D27" s="10"/>
      <c r="E27" s="10"/>
      <c r="F27" s="10" t="e">
        <f>VLOOKUP(C27,#REF!, 2, FALSE)</f>
        <v>#REF!</v>
      </c>
      <c r="G27" s="10" t="e">
        <f t="shared" si="1"/>
        <v>#REF!</v>
      </c>
    </row>
    <row r="28" spans="3:7" x14ac:dyDescent="0.3">
      <c r="C28" s="10"/>
      <c r="D28" s="10"/>
      <c r="E28" s="10"/>
      <c r="F28" s="10" t="e">
        <f>VLOOKUP(C28,#REF!, 2, FALSE)</f>
        <v>#REF!</v>
      </c>
      <c r="G28" s="10" t="e">
        <f t="shared" si="1"/>
        <v>#REF!</v>
      </c>
    </row>
    <row r="29" spans="3:7" x14ac:dyDescent="0.3">
      <c r="C29" s="10"/>
      <c r="D29" s="10"/>
      <c r="E29" s="10"/>
      <c r="F29" s="10" t="e">
        <f>VLOOKUP(C29,#REF!, 2, FALSE)</f>
        <v>#REF!</v>
      </c>
      <c r="G29" s="10" t="e">
        <f t="shared" si="1"/>
        <v>#REF!</v>
      </c>
    </row>
    <row r="30" spans="3:7" x14ac:dyDescent="0.3">
      <c r="C30" s="10"/>
      <c r="D30" s="10"/>
      <c r="E30" s="10"/>
      <c r="F30" s="10" t="e">
        <f>VLOOKUP(C30,#REF!, 2, FALSE)</f>
        <v>#REF!</v>
      </c>
      <c r="G30" s="10" t="e">
        <f t="shared" si="1"/>
        <v>#REF!</v>
      </c>
    </row>
    <row r="31" spans="3:7" x14ac:dyDescent="0.3">
      <c r="C31" s="10"/>
      <c r="D31" s="10"/>
      <c r="E31" s="10"/>
      <c r="F31" s="10" t="e">
        <f>VLOOKUP(C31,#REF!, 2, FALSE)</f>
        <v>#REF!</v>
      </c>
      <c r="G31" s="10" t="e">
        <f t="shared" si="1"/>
        <v>#REF!</v>
      </c>
    </row>
    <row r="32" spans="3:7" x14ac:dyDescent="0.3">
      <c r="C32" s="10"/>
      <c r="D32" s="10"/>
      <c r="E32" s="10"/>
      <c r="F32" s="10" t="e">
        <f>VLOOKUP(C32,#REF!, 2, FALSE)</f>
        <v>#REF!</v>
      </c>
      <c r="G32" s="10" t="e">
        <f t="shared" si="1"/>
        <v>#REF!</v>
      </c>
    </row>
    <row r="34" spans="3:7" x14ac:dyDescent="0.3">
      <c r="C34" s="7" t="s">
        <v>34</v>
      </c>
      <c r="D34" s="1041">
        <v>0</v>
      </c>
      <c r="E34" s="1041"/>
      <c r="F34" s="7" t="s">
        <v>47</v>
      </c>
      <c r="G34" s="6"/>
    </row>
    <row r="35" spans="3:7" x14ac:dyDescent="0.3">
      <c r="C35" s="8" t="s">
        <v>48</v>
      </c>
      <c r="D35" s="8" t="s">
        <v>49</v>
      </c>
      <c r="E35" s="8" t="s">
        <v>50</v>
      </c>
      <c r="F35" s="8" t="s">
        <v>51</v>
      </c>
      <c r="G35" s="9" t="s">
        <v>52</v>
      </c>
    </row>
    <row r="36" spans="3:7" x14ac:dyDescent="0.3">
      <c r="C36" s="10"/>
      <c r="D36" s="10"/>
      <c r="E36" s="10"/>
      <c r="F36" s="10"/>
      <c r="G36" s="10"/>
    </row>
    <row r="37" spans="3:7" x14ac:dyDescent="0.3">
      <c r="C37" s="10"/>
      <c r="D37" s="10"/>
      <c r="E37" s="10"/>
      <c r="F37" s="10"/>
      <c r="G37" s="10"/>
    </row>
    <row r="38" spans="3:7" x14ac:dyDescent="0.3">
      <c r="C38" s="10"/>
      <c r="D38" s="10"/>
      <c r="E38" s="10"/>
      <c r="F38" s="10"/>
      <c r="G38" s="10"/>
    </row>
    <row r="39" spans="3:7" x14ac:dyDescent="0.3">
      <c r="C39" s="10"/>
      <c r="D39" s="10"/>
      <c r="E39" s="10"/>
      <c r="F39" s="10"/>
      <c r="G39" s="10"/>
    </row>
    <row r="40" spans="3:7" x14ac:dyDescent="0.3">
      <c r="C40" s="10"/>
      <c r="D40" s="10"/>
      <c r="E40" s="10"/>
      <c r="F40" s="10"/>
      <c r="G40" s="10"/>
    </row>
    <row r="41" spans="3:7" x14ac:dyDescent="0.3">
      <c r="C41" s="10"/>
      <c r="D41" s="10"/>
      <c r="E41" s="10"/>
      <c r="F41" s="10"/>
      <c r="G41" s="10"/>
    </row>
    <row r="42" spans="3:7" x14ac:dyDescent="0.3">
      <c r="C42" s="10"/>
      <c r="D42" s="10"/>
      <c r="E42" s="10"/>
      <c r="F42" s="10"/>
      <c r="G42" s="10"/>
    </row>
    <row r="43" spans="3:7" x14ac:dyDescent="0.3">
      <c r="C43" s="10"/>
      <c r="D43" s="10"/>
      <c r="E43" s="10"/>
      <c r="F43" s="10"/>
      <c r="G43" s="10"/>
    </row>
    <row r="44" spans="3:7" x14ac:dyDescent="0.3">
      <c r="C44" s="11"/>
      <c r="D44" s="11"/>
      <c r="E44" s="11"/>
      <c r="F44" s="11"/>
      <c r="G44" s="11"/>
    </row>
    <row r="45" spans="3:7" x14ac:dyDescent="0.3">
      <c r="C45" s="7" t="s">
        <v>34</v>
      </c>
      <c r="D45" s="1041">
        <v>0</v>
      </c>
      <c r="E45" s="1041"/>
      <c r="F45" s="7" t="s">
        <v>47</v>
      </c>
      <c r="G45" s="6"/>
    </row>
    <row r="46" spans="3:7" x14ac:dyDescent="0.3">
      <c r="C46" s="8" t="s">
        <v>48</v>
      </c>
      <c r="D46" s="8" t="s">
        <v>49</v>
      </c>
      <c r="E46" s="8" t="s">
        <v>50</v>
      </c>
      <c r="F46" s="8" t="s">
        <v>51</v>
      </c>
      <c r="G46" s="9" t="s">
        <v>52</v>
      </c>
    </row>
    <row r="47" spans="3:7" x14ac:dyDescent="0.3">
      <c r="C47" s="10"/>
      <c r="D47" s="10"/>
      <c r="E47" s="10"/>
      <c r="F47" s="10"/>
      <c r="G47" s="10"/>
    </row>
    <row r="48" spans="3:7" x14ac:dyDescent="0.3">
      <c r="C48" s="10"/>
      <c r="D48" s="10"/>
      <c r="E48" s="10"/>
      <c r="F48" s="10"/>
      <c r="G48" s="10"/>
    </row>
    <row r="49" spans="3:7" x14ac:dyDescent="0.3">
      <c r="C49" s="10"/>
      <c r="D49" s="10"/>
      <c r="E49" s="10"/>
      <c r="F49" s="10"/>
      <c r="G49" s="10"/>
    </row>
    <row r="50" spans="3:7" x14ac:dyDescent="0.3">
      <c r="C50" s="10"/>
      <c r="D50" s="10"/>
      <c r="E50" s="10"/>
      <c r="F50" s="10"/>
      <c r="G50" s="10"/>
    </row>
    <row r="51" spans="3:7" x14ac:dyDescent="0.3">
      <c r="C51" s="10"/>
      <c r="D51" s="10"/>
      <c r="E51" s="10"/>
      <c r="F51" s="10"/>
      <c r="G51" s="10"/>
    </row>
    <row r="52" spans="3:7" x14ac:dyDescent="0.3">
      <c r="C52" s="10"/>
      <c r="D52" s="10"/>
      <c r="E52" s="10"/>
      <c r="F52" s="10"/>
      <c r="G52" s="10"/>
    </row>
    <row r="53" spans="3:7" x14ac:dyDescent="0.3">
      <c r="C53" s="10"/>
      <c r="D53" s="10"/>
      <c r="E53" s="10"/>
      <c r="F53" s="10"/>
      <c r="G53" s="10"/>
    </row>
    <row r="54" spans="3:7" x14ac:dyDescent="0.3">
      <c r="C54" s="10"/>
      <c r="D54" s="10"/>
      <c r="E54" s="10"/>
      <c r="F54" s="10"/>
      <c r="G54" s="10"/>
    </row>
    <row r="55" spans="3:7" x14ac:dyDescent="0.3">
      <c r="C55" s="10"/>
      <c r="D55" s="10"/>
      <c r="E55" s="10"/>
      <c r="F55" s="10"/>
      <c r="G55" s="10"/>
    </row>
    <row r="57" spans="3:7" x14ac:dyDescent="0.3">
      <c r="C57" s="7" t="s">
        <v>34</v>
      </c>
      <c r="D57" s="1041">
        <v>0</v>
      </c>
      <c r="E57" s="1041"/>
      <c r="F57" s="7" t="s">
        <v>47</v>
      </c>
      <c r="G57" s="6"/>
    </row>
    <row r="58" spans="3:7" x14ac:dyDescent="0.3">
      <c r="C58" s="8" t="s">
        <v>48</v>
      </c>
      <c r="D58" s="8" t="s">
        <v>49</v>
      </c>
      <c r="E58" s="8" t="s">
        <v>50</v>
      </c>
      <c r="F58" s="8" t="s">
        <v>51</v>
      </c>
      <c r="G58" s="9" t="s">
        <v>52</v>
      </c>
    </row>
    <row r="59" spans="3:7" x14ac:dyDescent="0.3">
      <c r="C59" s="10"/>
      <c r="D59" s="10"/>
      <c r="E59" s="10"/>
      <c r="F59" s="10"/>
      <c r="G59" s="10"/>
    </row>
    <row r="60" spans="3:7" x14ac:dyDescent="0.3">
      <c r="C60" s="10"/>
      <c r="D60" s="10"/>
      <c r="E60" s="10"/>
      <c r="F60" s="10"/>
      <c r="G60" s="10"/>
    </row>
    <row r="61" spans="3:7" x14ac:dyDescent="0.3">
      <c r="C61" s="10"/>
      <c r="D61" s="10"/>
      <c r="E61" s="10"/>
      <c r="F61" s="10"/>
      <c r="G61" s="10"/>
    </row>
    <row r="62" spans="3:7" x14ac:dyDescent="0.3">
      <c r="C62" s="10"/>
      <c r="D62" s="10"/>
      <c r="E62" s="10"/>
      <c r="F62" s="10"/>
      <c r="G62" s="10"/>
    </row>
    <row r="63" spans="3:7" x14ac:dyDescent="0.3">
      <c r="C63" s="10"/>
      <c r="D63" s="10"/>
      <c r="E63" s="10"/>
      <c r="F63" s="10"/>
      <c r="G63" s="10"/>
    </row>
    <row r="64" spans="3:7" x14ac:dyDescent="0.3">
      <c r="C64" s="10"/>
      <c r="D64" s="10"/>
      <c r="E64" s="10"/>
      <c r="F64" s="10"/>
      <c r="G64" s="10"/>
    </row>
    <row r="65" spans="3:7" x14ac:dyDescent="0.3">
      <c r="C65" s="10"/>
      <c r="D65" s="10"/>
      <c r="E65" s="10"/>
      <c r="F65" s="10"/>
      <c r="G65" s="10"/>
    </row>
    <row r="66" spans="3:7" x14ac:dyDescent="0.3">
      <c r="C66" s="10"/>
      <c r="D66" s="10"/>
      <c r="E66" s="10"/>
      <c r="F66" s="10"/>
      <c r="G66" s="10"/>
    </row>
    <row r="67" spans="3:7" x14ac:dyDescent="0.3">
      <c r="C67" s="10"/>
      <c r="D67" s="10"/>
      <c r="E67" s="10"/>
      <c r="F67" s="10"/>
      <c r="G67" s="10"/>
    </row>
    <row r="69" spans="3:7" x14ac:dyDescent="0.3">
      <c r="C69" s="7" t="s">
        <v>34</v>
      </c>
      <c r="D69" s="1041">
        <v>0</v>
      </c>
      <c r="E69" s="1041"/>
      <c r="F69" s="7" t="s">
        <v>47</v>
      </c>
      <c r="G69" s="6"/>
    </row>
    <row r="70" spans="3:7" x14ac:dyDescent="0.3">
      <c r="C70" s="8" t="s">
        <v>48</v>
      </c>
      <c r="D70" s="8" t="s">
        <v>49</v>
      </c>
      <c r="E70" s="8" t="s">
        <v>50</v>
      </c>
      <c r="F70" s="8" t="s">
        <v>51</v>
      </c>
      <c r="G70" s="9" t="s">
        <v>52</v>
      </c>
    </row>
    <row r="71" spans="3:7" x14ac:dyDescent="0.3">
      <c r="C71" s="10"/>
      <c r="D71" s="10"/>
      <c r="E71" s="10"/>
      <c r="F71" s="10"/>
      <c r="G71" s="10"/>
    </row>
    <row r="72" spans="3:7" x14ac:dyDescent="0.3">
      <c r="C72" s="10"/>
      <c r="D72" s="10"/>
      <c r="E72" s="10"/>
      <c r="F72" s="10"/>
      <c r="G72" s="10"/>
    </row>
    <row r="73" spans="3:7" x14ac:dyDescent="0.3">
      <c r="C73" s="10"/>
      <c r="D73" s="10"/>
      <c r="E73" s="10"/>
      <c r="F73" s="10"/>
      <c r="G73" s="10"/>
    </row>
    <row r="74" spans="3:7" x14ac:dyDescent="0.3">
      <c r="C74" s="10"/>
      <c r="D74" s="10"/>
      <c r="E74" s="10"/>
      <c r="F74" s="10"/>
      <c r="G74" s="10"/>
    </row>
    <row r="75" spans="3:7" x14ac:dyDescent="0.3">
      <c r="C75" s="10"/>
      <c r="D75" s="10"/>
      <c r="E75" s="10"/>
      <c r="F75" s="10"/>
      <c r="G75" s="10"/>
    </row>
    <row r="76" spans="3:7" x14ac:dyDescent="0.3">
      <c r="C76" s="10"/>
      <c r="D76" s="10"/>
      <c r="E76" s="10"/>
      <c r="F76" s="10"/>
      <c r="G76" s="10"/>
    </row>
    <row r="77" spans="3:7" x14ac:dyDescent="0.3">
      <c r="C77" s="10"/>
      <c r="D77" s="10"/>
      <c r="E77" s="10"/>
      <c r="F77" s="10"/>
      <c r="G77" s="10"/>
    </row>
    <row r="78" spans="3:7" x14ac:dyDescent="0.3">
      <c r="C78" s="10"/>
      <c r="D78" s="10"/>
      <c r="E78" s="10"/>
      <c r="F78" s="10"/>
      <c r="G78" s="10"/>
    </row>
    <row r="79" spans="3:7" x14ac:dyDescent="0.3">
      <c r="C79" s="11"/>
      <c r="D79" s="11"/>
      <c r="E79" s="11"/>
      <c r="F79" s="11"/>
      <c r="G79" s="11"/>
    </row>
    <row r="80" spans="3:7" x14ac:dyDescent="0.3">
      <c r="C80" s="7" t="s">
        <v>34</v>
      </c>
      <c r="D80" s="1041">
        <v>0</v>
      </c>
      <c r="E80" s="1041"/>
      <c r="F80" s="7" t="s">
        <v>47</v>
      </c>
      <c r="G80" s="6"/>
    </row>
    <row r="81" spans="3:7" x14ac:dyDescent="0.3">
      <c r="C81" s="8" t="s">
        <v>48</v>
      </c>
      <c r="D81" s="8" t="s">
        <v>49</v>
      </c>
      <c r="E81" s="8" t="s">
        <v>50</v>
      </c>
      <c r="F81" s="8" t="s">
        <v>51</v>
      </c>
      <c r="G81" s="9" t="s">
        <v>52</v>
      </c>
    </row>
    <row r="82" spans="3:7" x14ac:dyDescent="0.3">
      <c r="C82" s="10"/>
      <c r="D82" s="10"/>
      <c r="E82" s="10"/>
      <c r="F82" s="10"/>
      <c r="G82" s="10"/>
    </row>
    <row r="83" spans="3:7" x14ac:dyDescent="0.3">
      <c r="C83" s="10"/>
      <c r="D83" s="10"/>
      <c r="E83" s="10"/>
      <c r="F83" s="10"/>
      <c r="G83" s="10"/>
    </row>
    <row r="84" spans="3:7" x14ac:dyDescent="0.3">
      <c r="C84" s="10"/>
      <c r="D84" s="10"/>
      <c r="E84" s="10"/>
      <c r="F84" s="10"/>
      <c r="G84" s="10"/>
    </row>
    <row r="85" spans="3:7" x14ac:dyDescent="0.3">
      <c r="C85" s="10"/>
      <c r="D85" s="10"/>
      <c r="E85" s="10"/>
      <c r="F85" s="10"/>
      <c r="G85" s="10"/>
    </row>
    <row r="86" spans="3:7" x14ac:dyDescent="0.3">
      <c r="C86" s="10"/>
      <c r="D86" s="10"/>
      <c r="E86" s="10"/>
      <c r="F86" s="10"/>
      <c r="G86" s="10"/>
    </row>
    <row r="87" spans="3:7" x14ac:dyDescent="0.3">
      <c r="C87" s="10"/>
      <c r="D87" s="10"/>
      <c r="E87" s="10"/>
      <c r="F87" s="10"/>
      <c r="G87" s="10"/>
    </row>
    <row r="88" spans="3:7" x14ac:dyDescent="0.3">
      <c r="C88" s="10"/>
      <c r="D88" s="10"/>
      <c r="E88" s="10"/>
      <c r="F88" s="10"/>
      <c r="G88" s="10"/>
    </row>
    <row r="89" spans="3:7" x14ac:dyDescent="0.3">
      <c r="C89" s="10"/>
      <c r="D89" s="10"/>
      <c r="E89" s="10"/>
      <c r="F89" s="10"/>
      <c r="G89" s="10"/>
    </row>
    <row r="90" spans="3:7" x14ac:dyDescent="0.3">
      <c r="C90" s="10"/>
      <c r="D90" s="10"/>
      <c r="E90" s="10"/>
      <c r="F90" s="10"/>
      <c r="G90" s="10"/>
    </row>
    <row r="92" spans="3:7" x14ac:dyDescent="0.3">
      <c r="C92" s="7" t="s">
        <v>34</v>
      </c>
      <c r="D92" s="1041">
        <v>0</v>
      </c>
      <c r="E92" s="1041"/>
      <c r="F92" s="7" t="s">
        <v>47</v>
      </c>
      <c r="G92" s="6"/>
    </row>
    <row r="93" spans="3:7" x14ac:dyDescent="0.3">
      <c r="C93" s="8" t="s">
        <v>48</v>
      </c>
      <c r="D93" s="8" t="s">
        <v>49</v>
      </c>
      <c r="E93" s="8" t="s">
        <v>50</v>
      </c>
      <c r="F93" s="8" t="s">
        <v>51</v>
      </c>
      <c r="G93" s="9" t="s">
        <v>52</v>
      </c>
    </row>
    <row r="94" spans="3:7" x14ac:dyDescent="0.3">
      <c r="C94" s="10"/>
      <c r="D94" s="10"/>
      <c r="E94" s="10"/>
      <c r="F94" s="10"/>
      <c r="G94" s="10"/>
    </row>
    <row r="95" spans="3:7" x14ac:dyDescent="0.3">
      <c r="C95" s="10"/>
      <c r="D95" s="10"/>
      <c r="E95" s="10"/>
      <c r="F95" s="10"/>
      <c r="G95" s="10"/>
    </row>
    <row r="96" spans="3:7" x14ac:dyDescent="0.3">
      <c r="C96" s="10"/>
      <c r="D96" s="10"/>
      <c r="E96" s="10"/>
      <c r="F96" s="10"/>
      <c r="G96" s="10"/>
    </row>
    <row r="97" spans="3:7" x14ac:dyDescent="0.3">
      <c r="C97" s="10"/>
      <c r="D97" s="10"/>
      <c r="E97" s="10"/>
      <c r="F97" s="10"/>
      <c r="G97" s="10"/>
    </row>
    <row r="98" spans="3:7" x14ac:dyDescent="0.3">
      <c r="C98" s="10"/>
      <c r="D98" s="10"/>
      <c r="E98" s="10"/>
      <c r="F98" s="10"/>
      <c r="G98" s="10"/>
    </row>
    <row r="99" spans="3:7" x14ac:dyDescent="0.3">
      <c r="C99" s="10"/>
      <c r="D99" s="10"/>
      <c r="E99" s="10"/>
      <c r="F99" s="10"/>
      <c r="G99" s="10"/>
    </row>
    <row r="100" spans="3:7" x14ac:dyDescent="0.3">
      <c r="C100" s="10"/>
      <c r="D100" s="10"/>
      <c r="E100" s="10"/>
      <c r="F100" s="10"/>
      <c r="G100" s="10"/>
    </row>
    <row r="101" spans="3:7" x14ac:dyDescent="0.3">
      <c r="C101" s="10"/>
      <c r="D101" s="10"/>
      <c r="E101" s="10"/>
      <c r="F101" s="10"/>
      <c r="G101" s="10"/>
    </row>
    <row r="102" spans="3:7" x14ac:dyDescent="0.3">
      <c r="C102" s="10"/>
      <c r="D102" s="10"/>
      <c r="E102" s="10"/>
      <c r="F102" s="10"/>
      <c r="G102" s="10"/>
    </row>
    <row r="104" spans="3:7" x14ac:dyDescent="0.3">
      <c r="C104" s="7" t="s">
        <v>34</v>
      </c>
      <c r="D104" s="1041">
        <v>0</v>
      </c>
      <c r="E104" s="1041"/>
      <c r="F104" s="7" t="s">
        <v>47</v>
      </c>
      <c r="G104" s="6"/>
    </row>
    <row r="105" spans="3:7" x14ac:dyDescent="0.3">
      <c r="C105" s="8" t="s">
        <v>48</v>
      </c>
      <c r="D105" s="8" t="s">
        <v>49</v>
      </c>
      <c r="E105" s="8" t="s">
        <v>50</v>
      </c>
      <c r="F105" s="8" t="s">
        <v>51</v>
      </c>
      <c r="G105" s="9" t="s">
        <v>52</v>
      </c>
    </row>
    <row r="106" spans="3:7" x14ac:dyDescent="0.3">
      <c r="C106" s="10"/>
      <c r="D106" s="10"/>
      <c r="E106" s="10"/>
      <c r="F106" s="10"/>
      <c r="G106" s="10"/>
    </row>
    <row r="107" spans="3:7" x14ac:dyDescent="0.3">
      <c r="C107" s="10"/>
      <c r="D107" s="10"/>
      <c r="E107" s="10"/>
      <c r="F107" s="10"/>
      <c r="G107" s="10"/>
    </row>
    <row r="108" spans="3:7" x14ac:dyDescent="0.3">
      <c r="C108" s="10"/>
      <c r="D108" s="10"/>
      <c r="E108" s="10"/>
      <c r="F108" s="10"/>
      <c r="G108" s="10"/>
    </row>
    <row r="109" spans="3:7" x14ac:dyDescent="0.3">
      <c r="C109" s="10"/>
      <c r="D109" s="10"/>
      <c r="E109" s="10"/>
      <c r="F109" s="10"/>
      <c r="G109" s="10"/>
    </row>
    <row r="110" spans="3:7" x14ac:dyDescent="0.3">
      <c r="C110" s="10"/>
      <c r="D110" s="10"/>
      <c r="E110" s="10"/>
      <c r="F110" s="10"/>
      <c r="G110" s="10"/>
    </row>
    <row r="111" spans="3:7" x14ac:dyDescent="0.3">
      <c r="C111" s="10"/>
      <c r="D111" s="10"/>
      <c r="E111" s="10"/>
      <c r="F111" s="10"/>
      <c r="G111" s="10"/>
    </row>
    <row r="112" spans="3:7" x14ac:dyDescent="0.3">
      <c r="C112" s="10"/>
      <c r="D112" s="10"/>
      <c r="E112" s="10"/>
      <c r="F112" s="10"/>
      <c r="G112" s="10"/>
    </row>
    <row r="113" spans="3:7" x14ac:dyDescent="0.3">
      <c r="C113" s="10"/>
      <c r="D113" s="10"/>
      <c r="E113" s="10"/>
      <c r="F113" s="10"/>
      <c r="G113" s="10"/>
    </row>
    <row r="114" spans="3:7" x14ac:dyDescent="0.3">
      <c r="C114" s="10"/>
      <c r="D114" s="10"/>
      <c r="E114" s="10"/>
      <c r="F114" s="10"/>
      <c r="G114" s="10"/>
    </row>
    <row r="116" spans="3:7" x14ac:dyDescent="0.3">
      <c r="C116" s="7" t="s">
        <v>34</v>
      </c>
      <c r="D116" s="1041" t="s">
        <v>34</v>
      </c>
      <c r="E116" s="1041"/>
      <c r="F116" s="7" t="s">
        <v>47</v>
      </c>
      <c r="G116" s="6"/>
    </row>
    <row r="117" spans="3:7" x14ac:dyDescent="0.3">
      <c r="C117" s="8" t="s">
        <v>48</v>
      </c>
      <c r="D117" s="8" t="s">
        <v>49</v>
      </c>
      <c r="E117" s="8" t="s">
        <v>50</v>
      </c>
      <c r="F117" s="8" t="s">
        <v>51</v>
      </c>
      <c r="G117" s="9" t="s">
        <v>52</v>
      </c>
    </row>
    <row r="118" spans="3:7" x14ac:dyDescent="0.3">
      <c r="C118" s="10"/>
      <c r="D118" s="10"/>
      <c r="E118" s="10"/>
      <c r="F118" s="10"/>
      <c r="G118" s="10"/>
    </row>
    <row r="119" spans="3:7" x14ac:dyDescent="0.3">
      <c r="C119" s="10"/>
      <c r="D119" s="10"/>
      <c r="E119" s="10"/>
      <c r="F119" s="10"/>
      <c r="G119" s="10"/>
    </row>
    <row r="120" spans="3:7" x14ac:dyDescent="0.3">
      <c r="C120" s="10"/>
      <c r="D120" s="10"/>
      <c r="E120" s="10"/>
      <c r="F120" s="10"/>
      <c r="G120" s="10"/>
    </row>
    <row r="121" spans="3:7" x14ac:dyDescent="0.3">
      <c r="C121" s="10"/>
      <c r="D121" s="10"/>
      <c r="E121" s="10"/>
      <c r="F121" s="10"/>
      <c r="G121" s="10"/>
    </row>
    <row r="122" spans="3:7" x14ac:dyDescent="0.3">
      <c r="C122" s="10"/>
      <c r="D122" s="10"/>
      <c r="E122" s="10"/>
      <c r="F122" s="10"/>
      <c r="G122" s="10"/>
    </row>
    <row r="123" spans="3:7" x14ac:dyDescent="0.3">
      <c r="C123" s="10"/>
      <c r="D123" s="10"/>
      <c r="E123" s="10"/>
      <c r="F123" s="10"/>
      <c r="G123" s="10"/>
    </row>
    <row r="124" spans="3:7" x14ac:dyDescent="0.3">
      <c r="C124" s="10"/>
      <c r="D124" s="10"/>
      <c r="E124" s="10"/>
      <c r="F124" s="10"/>
      <c r="G124" s="10"/>
    </row>
    <row r="125" spans="3:7" x14ac:dyDescent="0.3">
      <c r="C125" s="10"/>
      <c r="D125" s="10"/>
      <c r="E125" s="10"/>
      <c r="F125" s="10"/>
      <c r="G125" s="10"/>
    </row>
    <row r="126" spans="3:7" x14ac:dyDescent="0.3">
      <c r="C126" s="11"/>
      <c r="D126" s="11"/>
      <c r="E126" s="11"/>
      <c r="F126" s="11"/>
      <c r="G126" s="11"/>
    </row>
    <row r="127" spans="3:7" x14ac:dyDescent="0.3">
      <c r="C127" s="7" t="s">
        <v>34</v>
      </c>
      <c r="D127" s="1041">
        <v>0</v>
      </c>
      <c r="E127" s="1041"/>
      <c r="F127" s="7" t="s">
        <v>47</v>
      </c>
      <c r="G127" s="6"/>
    </row>
    <row r="128" spans="3:7" x14ac:dyDescent="0.3">
      <c r="C128" s="8" t="s">
        <v>48</v>
      </c>
      <c r="D128" s="8" t="s">
        <v>49</v>
      </c>
      <c r="E128" s="8" t="s">
        <v>50</v>
      </c>
      <c r="F128" s="8" t="s">
        <v>51</v>
      </c>
      <c r="G128" s="9" t="s">
        <v>52</v>
      </c>
    </row>
    <row r="129" spans="3:7" x14ac:dyDescent="0.3">
      <c r="C129" s="10"/>
      <c r="D129" s="10"/>
      <c r="E129" s="10"/>
      <c r="F129" s="10"/>
      <c r="G129" s="10"/>
    </row>
    <row r="130" spans="3:7" x14ac:dyDescent="0.3">
      <c r="C130" s="10"/>
      <c r="D130" s="10"/>
      <c r="E130" s="10"/>
      <c r="F130" s="10"/>
      <c r="G130" s="10"/>
    </row>
    <row r="131" spans="3:7" x14ac:dyDescent="0.3">
      <c r="C131" s="10"/>
      <c r="D131" s="10"/>
      <c r="E131" s="10"/>
      <c r="F131" s="10"/>
      <c r="G131" s="10"/>
    </row>
    <row r="132" spans="3:7" x14ac:dyDescent="0.3">
      <c r="C132" s="10"/>
      <c r="D132" s="10"/>
      <c r="E132" s="10"/>
      <c r="F132" s="10"/>
      <c r="G132" s="10"/>
    </row>
    <row r="133" spans="3:7" x14ac:dyDescent="0.3">
      <c r="C133" s="10"/>
      <c r="D133" s="10"/>
      <c r="E133" s="10"/>
      <c r="F133" s="10"/>
      <c r="G133" s="10"/>
    </row>
    <row r="134" spans="3:7" x14ac:dyDescent="0.3">
      <c r="C134" s="10"/>
      <c r="D134" s="10"/>
      <c r="E134" s="10"/>
      <c r="F134" s="10"/>
      <c r="G134" s="10"/>
    </row>
    <row r="135" spans="3:7" x14ac:dyDescent="0.3">
      <c r="C135" s="10"/>
      <c r="D135" s="10"/>
      <c r="E135" s="10"/>
      <c r="F135" s="10"/>
      <c r="G135" s="10"/>
    </row>
    <row r="136" spans="3:7" x14ac:dyDescent="0.3">
      <c r="C136" s="10"/>
      <c r="D136" s="10"/>
      <c r="E136" s="10"/>
      <c r="F136" s="10"/>
      <c r="G136" s="10"/>
    </row>
    <row r="137" spans="3:7" x14ac:dyDescent="0.3">
      <c r="C137" s="10"/>
      <c r="D137" s="10"/>
      <c r="E137" s="10"/>
      <c r="F137" s="10"/>
      <c r="G137" s="10"/>
    </row>
    <row r="139" spans="3:7" x14ac:dyDescent="0.3">
      <c r="C139" s="7" t="s">
        <v>34</v>
      </c>
      <c r="D139" s="1041">
        <v>0</v>
      </c>
      <c r="E139" s="1041"/>
      <c r="F139" s="7" t="s">
        <v>47</v>
      </c>
      <c r="G139" s="6"/>
    </row>
    <row r="140" spans="3:7" x14ac:dyDescent="0.3">
      <c r="C140" s="8" t="s">
        <v>48</v>
      </c>
      <c r="D140" s="8" t="s">
        <v>49</v>
      </c>
      <c r="E140" s="8" t="s">
        <v>50</v>
      </c>
      <c r="F140" s="8" t="s">
        <v>51</v>
      </c>
      <c r="G140" s="9" t="s">
        <v>52</v>
      </c>
    </row>
    <row r="141" spans="3:7" x14ac:dyDescent="0.3">
      <c r="C141" s="10"/>
      <c r="D141" s="10"/>
      <c r="E141" s="10"/>
      <c r="F141" s="10"/>
      <c r="G141" s="10"/>
    </row>
    <row r="142" spans="3:7" x14ac:dyDescent="0.3">
      <c r="C142" s="10"/>
      <c r="D142" s="10"/>
      <c r="E142" s="10"/>
      <c r="F142" s="10"/>
      <c r="G142" s="10"/>
    </row>
    <row r="143" spans="3:7" x14ac:dyDescent="0.3">
      <c r="C143" s="10"/>
      <c r="D143" s="10"/>
      <c r="E143" s="10"/>
      <c r="F143" s="10"/>
      <c r="G143" s="10"/>
    </row>
    <row r="144" spans="3:7" x14ac:dyDescent="0.3">
      <c r="C144" s="10"/>
      <c r="D144" s="10"/>
      <c r="E144" s="10"/>
      <c r="F144" s="10"/>
      <c r="G144" s="10"/>
    </row>
    <row r="145" spans="3:7" x14ac:dyDescent="0.3">
      <c r="C145" s="10"/>
      <c r="D145" s="10"/>
      <c r="E145" s="10"/>
      <c r="F145" s="10"/>
      <c r="G145" s="10"/>
    </row>
    <row r="146" spans="3:7" x14ac:dyDescent="0.3">
      <c r="C146" s="10"/>
      <c r="D146" s="10"/>
      <c r="E146" s="10"/>
      <c r="F146" s="10"/>
      <c r="G146" s="10"/>
    </row>
    <row r="147" spans="3:7" x14ac:dyDescent="0.3">
      <c r="C147" s="10"/>
      <c r="D147" s="10"/>
      <c r="E147" s="10"/>
      <c r="F147" s="10"/>
      <c r="G147" s="10"/>
    </row>
    <row r="148" spans="3:7" x14ac:dyDescent="0.3">
      <c r="C148" s="10"/>
      <c r="D148" s="10"/>
      <c r="E148" s="10"/>
      <c r="F148" s="10"/>
      <c r="G148" s="10"/>
    </row>
    <row r="149" spans="3:7" x14ac:dyDescent="0.3">
      <c r="C149" s="10"/>
      <c r="D149" s="10"/>
      <c r="E149" s="10"/>
      <c r="F149" s="10"/>
      <c r="G149" s="10"/>
    </row>
    <row r="151" spans="3:7" x14ac:dyDescent="0.3">
      <c r="C151" s="7" t="s">
        <v>34</v>
      </c>
      <c r="D151" s="1041">
        <v>0</v>
      </c>
      <c r="E151" s="1041"/>
      <c r="F151" s="7" t="s">
        <v>47</v>
      </c>
      <c r="G151" s="6"/>
    </row>
    <row r="152" spans="3:7" x14ac:dyDescent="0.3">
      <c r="C152" s="8" t="s">
        <v>48</v>
      </c>
      <c r="D152" s="8" t="s">
        <v>49</v>
      </c>
      <c r="E152" s="8" t="s">
        <v>50</v>
      </c>
      <c r="F152" s="8" t="s">
        <v>51</v>
      </c>
      <c r="G152" s="9" t="s">
        <v>52</v>
      </c>
    </row>
    <row r="153" spans="3:7" x14ac:dyDescent="0.3">
      <c r="C153" s="10"/>
      <c r="D153" s="10"/>
      <c r="E153" s="10"/>
      <c r="F153" s="10"/>
      <c r="G153" s="10"/>
    </row>
    <row r="154" spans="3:7" x14ac:dyDescent="0.3">
      <c r="C154" s="10"/>
      <c r="D154" s="10"/>
      <c r="E154" s="10"/>
      <c r="F154" s="10"/>
      <c r="G154" s="10"/>
    </row>
    <row r="155" spans="3:7" x14ac:dyDescent="0.3">
      <c r="C155" s="10"/>
      <c r="D155" s="10"/>
      <c r="E155" s="10"/>
      <c r="F155" s="10"/>
      <c r="G155" s="10"/>
    </row>
    <row r="156" spans="3:7" x14ac:dyDescent="0.3">
      <c r="C156" s="10"/>
      <c r="D156" s="10"/>
      <c r="E156" s="10"/>
      <c r="F156" s="10"/>
      <c r="G156" s="10"/>
    </row>
    <row r="157" spans="3:7" x14ac:dyDescent="0.3">
      <c r="C157" s="10"/>
      <c r="D157" s="10"/>
      <c r="E157" s="10"/>
      <c r="F157" s="10"/>
      <c r="G157" s="10"/>
    </row>
    <row r="158" spans="3:7" x14ac:dyDescent="0.3">
      <c r="C158" s="10"/>
      <c r="D158" s="10"/>
      <c r="E158" s="10"/>
      <c r="F158" s="10"/>
      <c r="G158" s="10"/>
    </row>
    <row r="159" spans="3:7" x14ac:dyDescent="0.3">
      <c r="C159" s="10"/>
      <c r="D159" s="10"/>
      <c r="E159" s="10"/>
      <c r="F159" s="10"/>
      <c r="G159" s="10"/>
    </row>
    <row r="160" spans="3:7" x14ac:dyDescent="0.3">
      <c r="C160" s="10"/>
      <c r="D160" s="10"/>
      <c r="E160" s="10"/>
      <c r="F160" s="10"/>
      <c r="G160" s="10"/>
    </row>
    <row r="161" spans="3:7" x14ac:dyDescent="0.3">
      <c r="C161" s="11"/>
      <c r="D161" s="11"/>
      <c r="E161" s="11"/>
      <c r="F161" s="11"/>
      <c r="G161" s="11"/>
    </row>
    <row r="162" spans="3:7" x14ac:dyDescent="0.3">
      <c r="C162" s="7" t="s">
        <v>34</v>
      </c>
      <c r="D162" s="1041">
        <v>0</v>
      </c>
      <c r="E162" s="1041"/>
      <c r="F162" s="7" t="s">
        <v>47</v>
      </c>
      <c r="G162" s="6"/>
    </row>
    <row r="163" spans="3:7" x14ac:dyDescent="0.3">
      <c r="C163" s="8" t="s">
        <v>48</v>
      </c>
      <c r="D163" s="8" t="s">
        <v>49</v>
      </c>
      <c r="E163" s="8" t="s">
        <v>50</v>
      </c>
      <c r="F163" s="8" t="s">
        <v>51</v>
      </c>
      <c r="G163" s="9" t="s">
        <v>52</v>
      </c>
    </row>
    <row r="164" spans="3:7" x14ac:dyDescent="0.3">
      <c r="C164" s="10"/>
      <c r="D164" s="10"/>
      <c r="E164" s="10"/>
      <c r="F164" s="10"/>
      <c r="G164" s="10"/>
    </row>
    <row r="165" spans="3:7" x14ac:dyDescent="0.3">
      <c r="C165" s="10"/>
      <c r="D165" s="10"/>
      <c r="E165" s="10"/>
      <c r="F165" s="10"/>
      <c r="G165" s="10"/>
    </row>
    <row r="166" spans="3:7" x14ac:dyDescent="0.3">
      <c r="C166" s="10"/>
      <c r="D166" s="10"/>
      <c r="E166" s="10"/>
      <c r="F166" s="10"/>
      <c r="G166" s="10"/>
    </row>
    <row r="167" spans="3:7" x14ac:dyDescent="0.3">
      <c r="C167" s="10"/>
      <c r="D167" s="10"/>
      <c r="E167" s="10"/>
      <c r="F167" s="10"/>
      <c r="G167" s="10"/>
    </row>
    <row r="168" spans="3:7" x14ac:dyDescent="0.3">
      <c r="C168" s="10"/>
      <c r="D168" s="10"/>
      <c r="E168" s="10"/>
      <c r="F168" s="10"/>
      <c r="G168" s="10"/>
    </row>
    <row r="169" spans="3:7" x14ac:dyDescent="0.3">
      <c r="C169" s="10"/>
      <c r="D169" s="10"/>
      <c r="E169" s="10"/>
      <c r="F169" s="10"/>
      <c r="G169" s="10"/>
    </row>
    <row r="170" spans="3:7" x14ac:dyDescent="0.3">
      <c r="C170" s="10"/>
      <c r="D170" s="10"/>
      <c r="E170" s="10"/>
      <c r="F170" s="10"/>
      <c r="G170" s="10"/>
    </row>
    <row r="171" spans="3:7" x14ac:dyDescent="0.3">
      <c r="C171" s="10"/>
      <c r="D171" s="10"/>
      <c r="E171" s="10"/>
      <c r="F171" s="10"/>
      <c r="G171" s="10"/>
    </row>
    <row r="172" spans="3:7" x14ac:dyDescent="0.3">
      <c r="C172" s="10"/>
      <c r="D172" s="10"/>
      <c r="E172" s="10"/>
      <c r="F172" s="10"/>
      <c r="G172" s="10"/>
    </row>
  </sheetData>
  <mergeCells count="20">
    <mergeCell ref="D151:E151"/>
    <mergeCell ref="D162:E162"/>
    <mergeCell ref="D80:E80"/>
    <mergeCell ref="D92:E92"/>
    <mergeCell ref="D104:E104"/>
    <mergeCell ref="D116:E116"/>
    <mergeCell ref="D127:E127"/>
    <mergeCell ref="D139:E139"/>
    <mergeCell ref="D69:E69"/>
    <mergeCell ref="C2:G2"/>
    <mergeCell ref="C3:G3"/>
    <mergeCell ref="C4:G4"/>
    <mergeCell ref="C5:G5"/>
    <mergeCell ref="B6:G6"/>
    <mergeCell ref="D9:G9"/>
    <mergeCell ref="D10:E10"/>
    <mergeCell ref="D22:E22"/>
    <mergeCell ref="D34:E34"/>
    <mergeCell ref="D45:E45"/>
    <mergeCell ref="D57:E57"/>
  </mergeCells>
  <dataValidations count="1">
    <dataValidation type="list" allowBlank="1" showInputMessage="1" showErrorMessage="1" sqref="C12:C20 C24:C32" xr:uid="{00000000-0002-0000-0700-000000000000}">
      <formula1>#REF!</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tabColor rgb="FF7030A0"/>
  </sheetPr>
  <dimension ref="A1:AF116"/>
  <sheetViews>
    <sheetView showGridLines="0" view="pageBreakPreview" zoomScale="77" zoomScaleNormal="82" workbookViewId="0">
      <selection activeCell="B5" sqref="B5"/>
    </sheetView>
  </sheetViews>
  <sheetFormatPr defaultColWidth="8.7109375" defaultRowHeight="17.25" x14ac:dyDescent="0.25"/>
  <cols>
    <col min="1" max="1" width="1.5703125" style="29" customWidth="1"/>
    <col min="2" max="2" width="82" style="29" customWidth="1"/>
    <col min="3" max="3" width="38.5703125" style="29" customWidth="1"/>
    <col min="4" max="4" width="31.28515625" style="29" customWidth="1"/>
    <col min="5" max="5" width="27.42578125" style="29" customWidth="1"/>
    <col min="6" max="6" width="21.42578125" style="29" customWidth="1"/>
    <col min="7" max="7" width="44.7109375" style="29" customWidth="1"/>
    <col min="8" max="15" width="8.7109375" style="29"/>
    <col min="16" max="19" width="9.85546875" style="29" customWidth="1"/>
    <col min="20" max="27" width="8.7109375" style="29"/>
    <col min="28" max="28" width="8.7109375" style="29" customWidth="1"/>
    <col min="29" max="29" width="8.7109375" style="29"/>
    <col min="30" max="30" width="17.140625" style="29" customWidth="1"/>
    <col min="31" max="16384" width="8.7109375" style="29"/>
  </cols>
  <sheetData>
    <row r="1" spans="2:30" ht="18.600000000000001" customHeight="1" thickBot="1" x14ac:dyDescent="0.3">
      <c r="B1" s="44" t="s">
        <v>136</v>
      </c>
      <c r="C1" s="44"/>
    </row>
    <row r="2" spans="2:30" ht="21" customHeight="1" x14ac:dyDescent="0.3">
      <c r="B2" s="46" t="s">
        <v>185</v>
      </c>
      <c r="C2" s="1052">
        <f>'Welcome Page'!C8</f>
        <v>7109285168.9200001</v>
      </c>
      <c r="D2" s="1053"/>
      <c r="J2" s="378"/>
      <c r="K2" s="378"/>
      <c r="L2" s="378"/>
      <c r="M2" s="378"/>
      <c r="N2" s="378"/>
      <c r="O2" s="378"/>
      <c r="P2" s="378"/>
      <c r="Q2" s="378"/>
      <c r="R2" s="378"/>
      <c r="S2" s="378"/>
      <c r="T2" s="378"/>
      <c r="U2" s="378"/>
      <c r="V2" s="378"/>
      <c r="W2" s="378"/>
      <c r="X2" s="378"/>
      <c r="Y2" s="378"/>
      <c r="Z2" s="378"/>
      <c r="AA2" s="378"/>
      <c r="AB2" s="378"/>
      <c r="AC2" s="378"/>
      <c r="AD2" s="378"/>
    </row>
    <row r="3" spans="2:30" ht="30" customHeight="1" x14ac:dyDescent="0.3">
      <c r="B3" s="47" t="s">
        <v>184</v>
      </c>
      <c r="C3" s="1054">
        <f>SUM(D38:D46)</f>
        <v>7109285168.9195938</v>
      </c>
      <c r="D3" s="1055"/>
      <c r="J3" s="379"/>
      <c r="K3" s="379"/>
      <c r="L3" s="379"/>
      <c r="M3" s="379"/>
      <c r="N3" s="379"/>
      <c r="O3" s="379"/>
      <c r="P3" s="379"/>
      <c r="Q3" s="379"/>
      <c r="R3" s="379"/>
      <c r="S3" s="379"/>
      <c r="T3" s="377"/>
      <c r="U3" s="379"/>
      <c r="V3" s="379"/>
      <c r="W3" s="379"/>
      <c r="X3" s="379"/>
      <c r="Y3" s="379"/>
      <c r="Z3" s="379"/>
      <c r="AA3" s="379"/>
      <c r="AB3" s="379"/>
      <c r="AC3" s="379"/>
      <c r="AD3" s="379"/>
    </row>
    <row r="4" spans="2:30" ht="52.5" customHeight="1" x14ac:dyDescent="0.25">
      <c r="B4" s="47" t="s">
        <v>569</v>
      </c>
      <c r="C4" s="1054">
        <f>'Pillar 1 - Access'!S201+'Pillar 2 - Quality'!O227+'Pillar 3 - Systems Optimization'!S232</f>
        <v>989400000</v>
      </c>
      <c r="D4" s="1055"/>
    </row>
    <row r="5" spans="2:30" ht="36" customHeight="1" x14ac:dyDescent="0.25">
      <c r="B5" s="47" t="s">
        <v>568</v>
      </c>
      <c r="C5" s="1054">
        <f>'Pillar 1 - Access'!V201+'Pillar 2 - Quality'!R227+'Pillar 3 - Systems Optimization'!V232</f>
        <v>0</v>
      </c>
      <c r="D5" s="1055"/>
    </row>
    <row r="6" spans="2:30" ht="43.5" customHeight="1" x14ac:dyDescent="0.25">
      <c r="B6" s="47" t="s">
        <v>567</v>
      </c>
      <c r="C6" s="1054">
        <f>'Pillar 1 - Access'!U201+'Pillar 2 - Quality'!Q227+'Pillar 3 - Systems Optimization'!U232</f>
        <v>230000000</v>
      </c>
      <c r="D6" s="1055"/>
    </row>
    <row r="7" spans="2:30" ht="21.95" customHeight="1" thickBot="1" x14ac:dyDescent="0.3">
      <c r="B7" s="45" t="s">
        <v>83</v>
      </c>
      <c r="C7" s="1047">
        <f>SUM(C3:D6)</f>
        <v>8328685168.9195938</v>
      </c>
      <c r="D7" s="1048"/>
    </row>
    <row r="8" spans="2:30" ht="21.95" customHeight="1" x14ac:dyDescent="0.25">
      <c r="B8" s="36"/>
    </row>
    <row r="9" spans="2:30" ht="21" customHeight="1" x14ac:dyDescent="0.25">
      <c r="B9" s="1049" t="s">
        <v>84</v>
      </c>
      <c r="C9" s="1049"/>
      <c r="D9" s="1050"/>
    </row>
    <row r="10" spans="2:30" ht="48.95" customHeight="1" x14ac:dyDescent="0.25">
      <c r="B10" s="37" t="s">
        <v>81</v>
      </c>
      <c r="C10" s="380" t="s">
        <v>41</v>
      </c>
      <c r="D10" s="383" t="s">
        <v>85</v>
      </c>
    </row>
    <row r="11" spans="2:30" ht="33.6" customHeight="1" x14ac:dyDescent="0.25">
      <c r="B11" s="38" t="s">
        <v>82</v>
      </c>
      <c r="C11" s="386">
        <f>'Pillar 1 - Access'!Q201</f>
        <v>5106312838.5009594</v>
      </c>
      <c r="D11" s="400">
        <f>IFERROR(C11/C7,"")</f>
        <v>0.61309951510189642</v>
      </c>
    </row>
    <row r="12" spans="2:30" ht="42" customHeight="1" x14ac:dyDescent="0.25">
      <c r="B12" s="35" t="str">
        <f>'Pillar 1 - Access'!C17</f>
        <v>Priority initiative 1.1: Provide safe and adequate infrastructure for learning environments (Hope-EDU DLI)</v>
      </c>
      <c r="C12" s="381">
        <f>'Pillar 1 - Access'!O28</f>
        <v>4608662876.6700058</v>
      </c>
      <c r="D12" s="384"/>
    </row>
    <row r="13" spans="2:30" ht="42.75" customHeight="1" x14ac:dyDescent="0.25">
      <c r="B13" s="35" t="str">
        <f>'Pillar 1 - Access'!C33</f>
        <v>Priority initiative 1.2: Expand enrollment of out-of-school children into the formal education system (Hope-EDU DLI)</v>
      </c>
      <c r="C13" s="381">
        <f>'Pillar 1 - Access'!Q66</f>
        <v>0</v>
      </c>
      <c r="D13" s="384"/>
    </row>
    <row r="14" spans="2:30" ht="33.6" customHeight="1" x14ac:dyDescent="0.25">
      <c r="B14" s="35" t="str">
        <f>'Pillar 1 - Access'!C71</f>
        <v>Priority initiative 1.3 (Matching grant): Improve retention with incentives such as School Based Management Committee (SMBC) initiatives</v>
      </c>
      <c r="C14" s="381">
        <f>'Pillar 1 - Access'!Q123</f>
        <v>355464258.44999957</v>
      </c>
      <c r="D14" s="384"/>
    </row>
    <row r="15" spans="2:30" ht="45" customHeight="1" x14ac:dyDescent="0.25">
      <c r="B15" s="35" t="str">
        <f>'Pillar 1 - Access'!C128</f>
        <v>Enabler (Matching grant): Supervision and Project monitoring of ongoing infrastructure activities</v>
      </c>
      <c r="C15" s="381">
        <f>'Pillar 1 - Access'!Q159</f>
        <v>142185703.380954</v>
      </c>
      <c r="D15" s="384"/>
    </row>
    <row r="16" spans="2:30" ht="33" customHeight="1" x14ac:dyDescent="0.3">
      <c r="B16" s="35" t="str">
        <f>'Pillar 1 - Access'!C166</f>
        <v>Enabler: Partnerships and cross-sector collaboration to expand access to basic education</v>
      </c>
      <c r="C16" s="381">
        <f>'Pillar 1 - Access'!P197</f>
        <v>0</v>
      </c>
      <c r="D16" s="384"/>
      <c r="T16" s="1"/>
    </row>
    <row r="17" spans="2:20" ht="15" customHeight="1" x14ac:dyDescent="0.3">
      <c r="B17" s="35"/>
      <c r="C17" s="381"/>
      <c r="D17" s="384"/>
      <c r="T17" s="1"/>
    </row>
    <row r="18" spans="2:20" ht="33.6" customHeight="1" x14ac:dyDescent="0.25">
      <c r="B18" s="38" t="s">
        <v>70</v>
      </c>
      <c r="C18" s="386">
        <f>'Pillar 2 - Quality'!N227</f>
        <v>2602778914.2016792</v>
      </c>
      <c r="D18" s="400">
        <f>IFERROR(C18/C7,"")</f>
        <v>0.31250778020935982</v>
      </c>
    </row>
    <row r="19" spans="2:20" ht="33.6" customHeight="1" x14ac:dyDescent="0.25">
      <c r="B19" s="35" t="str">
        <f>'Pillar 2 - Quality'!C20</f>
        <v xml:space="preserve">Priority initiative 2.1 (Matching grant): Ensure implementation of revised basic education curriculum across schools </v>
      </c>
      <c r="C19" s="381">
        <f>'Pillar 2 - Quality'!Q51</f>
        <v>142185703.37999988</v>
      </c>
      <c r="D19" s="384"/>
    </row>
    <row r="20" spans="2:20" ht="33.6" customHeight="1" x14ac:dyDescent="0.25">
      <c r="B20" s="35" t="str">
        <f>'Pillar 2 - Quality'!C56</f>
        <v>Priority initiative 2.2: Provision of adequate Teaching and Learning Materials (TLMs) for schools  (Hope-EDU DLI)</v>
      </c>
      <c r="C20" s="381">
        <f>'Pillar 2 - Quality'!Q87</f>
        <v>722400000</v>
      </c>
      <c r="D20" s="384"/>
    </row>
    <row r="21" spans="2:20" ht="33.6" customHeight="1" x14ac:dyDescent="0.25">
      <c r="B21" s="35" t="str">
        <f>'Pillar 2 - Quality'!C93</f>
        <v>Priority initiative 2.3: Teacher/ education managers training and capacity building (Hope-EDU DLI)</v>
      </c>
      <c r="C21" s="381">
        <f>'Pillar 2 - Quality'!Q124</f>
        <v>0</v>
      </c>
      <c r="D21" s="384"/>
    </row>
    <row r="22" spans="2:20" ht="33.6" customHeight="1" x14ac:dyDescent="0.25">
      <c r="B22" s="35" t="str">
        <f>'Pillar 2 - Quality'!C204</f>
        <v>Matching Grant Intervention: Sports Development</v>
      </c>
      <c r="C22" s="381">
        <f>'Pillar 2 - Quality'!I209</f>
        <v>142185703.38</v>
      </c>
      <c r="D22" s="384"/>
    </row>
    <row r="23" spans="2:20" ht="33.6" customHeight="1" x14ac:dyDescent="0.25">
      <c r="B23" s="50" t="str">
        <f>'Pillar 2 - Quality'!C214</f>
        <v>Matching Grant Intervention:  Green School and Climate Change and Safeguards</v>
      </c>
      <c r="C23" s="381">
        <f>'Pillar 2 - Quality'!I224</f>
        <v>142185703.38</v>
      </c>
      <c r="D23" s="384"/>
    </row>
    <row r="24" spans="2:20" ht="33.6" customHeight="1" x14ac:dyDescent="0.25">
      <c r="B24" s="35" t="str">
        <f>'Pillar 2 - Quality'!C132</f>
        <v xml:space="preserve">Enabler (Matching grant): Quality Assurance monitoring </v>
      </c>
      <c r="C24" s="381">
        <f>'Pillar 2 - Quality'!P163</f>
        <v>108957545.60999934</v>
      </c>
      <c r="D24" s="384"/>
    </row>
    <row r="25" spans="2:20" ht="45" customHeight="1" x14ac:dyDescent="0.25">
      <c r="B25" s="35" t="str">
        <f>'Pillar 2 - Quality'!C168</f>
        <v>Enabler (Matching grant): Leveraging digitalization to improve the quality of basic education (ICT and Data Platform)</v>
      </c>
      <c r="C25" s="381">
        <f>'Pillar 2 - Quality'!Q199</f>
        <v>355464258.45168</v>
      </c>
      <c r="D25" s="384"/>
    </row>
    <row r="26" spans="2:20" ht="18.95" customHeight="1" x14ac:dyDescent="0.25">
      <c r="B26" s="35"/>
      <c r="C26" s="381"/>
      <c r="D26" s="384"/>
    </row>
    <row r="27" spans="2:20" ht="42" customHeight="1" x14ac:dyDescent="0.25">
      <c r="B27" s="38" t="s">
        <v>121</v>
      </c>
      <c r="C27" s="386">
        <f>'Pillar 3 - Systems Optimization'!Q232</f>
        <v>388692416.21695399</v>
      </c>
      <c r="D27" s="400">
        <f>IFERROR(C27/C7,"")</f>
        <v>4.6669121035748745E-2</v>
      </c>
    </row>
    <row r="28" spans="2:20" ht="33.6" customHeight="1" x14ac:dyDescent="0.25">
      <c r="B28" s="35" t="str">
        <f>'Pillar 3 - Systems Optimization'!C19</f>
        <v>Priority initiative 3.1: Optimize organizational structure, guidelines, and personnel capacity to effectively deliver on mandate and impact</v>
      </c>
      <c r="C28" s="381">
        <f>'Pillar 3 - Systems Optimization'!Q50</f>
        <v>0</v>
      </c>
      <c r="D28" s="384"/>
    </row>
    <row r="29" spans="2:20" ht="33.6" customHeight="1" x14ac:dyDescent="0.25">
      <c r="B29" s="35" t="str">
        <f>'Pillar 3 - Systems Optimization'!C55</f>
        <v>Priority initiative 3.2: Ensure transparent and effective financial management at state and LGA levels</v>
      </c>
      <c r="C29" s="381">
        <f>'Pillar 3 - Systems Optimization'!Q86</f>
        <v>0</v>
      </c>
      <c r="D29" s="384"/>
    </row>
    <row r="30" spans="2:20" ht="33.6" customHeight="1" x14ac:dyDescent="0.25">
      <c r="B30" s="35" t="str">
        <f>'Pillar 3 - Systems Optimization'!C91</f>
        <v>Priority initiative 3.3: Strengthen SUBEB’s brand reputation with stakeholders through strategic engagements, media, and other activities</v>
      </c>
      <c r="C30" s="381">
        <f>'Pillar 3 - Systems Optimization'!Q122</f>
        <v>0</v>
      </c>
      <c r="D30" s="384"/>
    </row>
    <row r="31" spans="2:20" ht="45" customHeight="1" x14ac:dyDescent="0.25">
      <c r="B31" s="50" t="str">
        <f>'Pillar 3 - Systems Optimization'!C127</f>
        <v>Priority initiative 3.4: Improve coordination and implementation of basic education programs with MoE, LGEAs, UBEC and other stakeholders</v>
      </c>
      <c r="C31" s="381">
        <f>'Pillar 3 - Systems Optimization'!Q158</f>
        <v>0</v>
      </c>
      <c r="D31" s="384"/>
    </row>
    <row r="32" spans="2:20" ht="61.5" customHeight="1" x14ac:dyDescent="0.25">
      <c r="B32" s="35" t="str">
        <f>'Pillar 3 - Systems Optimization'!C163</f>
        <v>Enabler (Matching grant): Strengthen performance management, and routine monitoring and evaluation of Basic Education Programs (Planning &amp; Education Management Information Systems)</v>
      </c>
      <c r="C32" s="381">
        <f>'Pillar 3 - Systems Optimization'!Q194</f>
        <v>142185703.38</v>
      </c>
      <c r="D32" s="384"/>
    </row>
    <row r="33" spans="2:5" ht="38.25" customHeight="1" x14ac:dyDescent="0.25">
      <c r="B33" s="35" t="str">
        <f>'Pillar 3 - Systems Optimization'!C199</f>
        <v>Enabler: Instituting a framework for quality assurance to improve access to basic education</v>
      </c>
      <c r="C33" s="381">
        <f>'Pillar 3 - Systems Optimization'!P230</f>
        <v>246506712.836954</v>
      </c>
      <c r="D33" s="385"/>
    </row>
    <row r="36" spans="2:5" x14ac:dyDescent="0.25">
      <c r="B36" s="1051" t="s">
        <v>143</v>
      </c>
      <c r="C36" s="1051"/>
      <c r="D36" s="1051"/>
    </row>
    <row r="37" spans="2:5" ht="16.5" customHeight="1" x14ac:dyDescent="0.25">
      <c r="B37" s="37" t="s">
        <v>72</v>
      </c>
      <c r="C37" s="37" t="s">
        <v>86</v>
      </c>
      <c r="D37" s="37" t="s">
        <v>57</v>
      </c>
    </row>
    <row r="38" spans="2:5" x14ac:dyDescent="0.25">
      <c r="B38" s="35" t="s">
        <v>682</v>
      </c>
      <c r="C38" s="51">
        <f t="shared" ref="C38:C46" si="0">(IFERROR(D38/$D$47,0))</f>
        <v>0.74999999999723044</v>
      </c>
      <c r="D38" s="39">
        <f>'Infrastructure Projects'!L9</f>
        <v>5331963876.6700058</v>
      </c>
      <c r="E38" s="53"/>
    </row>
    <row r="39" spans="2:5" x14ac:dyDescent="0.25">
      <c r="B39" s="35" t="s">
        <v>600</v>
      </c>
      <c r="C39" s="51">
        <f t="shared" si="0"/>
        <v>2.0000000000226184E-2</v>
      </c>
      <c r="D39" s="39">
        <f>'Pillar 2 - Quality'!Q51</f>
        <v>142185703.37999988</v>
      </c>
      <c r="E39" s="53"/>
    </row>
    <row r="40" spans="2:5" x14ac:dyDescent="0.25">
      <c r="B40" s="35" t="s">
        <v>759</v>
      </c>
      <c r="C40" s="51">
        <f t="shared" si="0"/>
        <v>5.0000000000801813E-2</v>
      </c>
      <c r="D40" s="39">
        <f>'Pillar 2 - Quality'!Q199</f>
        <v>355464258.45168</v>
      </c>
      <c r="E40" s="53"/>
    </row>
    <row r="41" spans="2:5" x14ac:dyDescent="0.25">
      <c r="B41" s="35" t="s">
        <v>599</v>
      </c>
      <c r="C41" s="51">
        <f t="shared" si="0"/>
        <v>5.0000000000565439E-2</v>
      </c>
      <c r="D41" s="39">
        <f>'Pillar 1 - Access'!Q123</f>
        <v>355464258.44999957</v>
      </c>
      <c r="E41" s="53"/>
    </row>
    <row r="42" spans="2:5" x14ac:dyDescent="0.25">
      <c r="B42" s="360" t="s">
        <v>601</v>
      </c>
      <c r="C42" s="51">
        <f t="shared" si="0"/>
        <v>2.0000000000226201E-2</v>
      </c>
      <c r="D42" s="39">
        <f>'Pillar 3 - Systems Optimization'!Q194</f>
        <v>142185703.38</v>
      </c>
      <c r="E42" s="53"/>
    </row>
    <row r="43" spans="2:5" x14ac:dyDescent="0.25">
      <c r="B43" s="43" t="s">
        <v>758</v>
      </c>
      <c r="C43" s="51">
        <f t="shared" si="0"/>
        <v>2.0000000000226201E-2</v>
      </c>
      <c r="D43" s="39">
        <f>'Pillar 2 - Quality'!I224</f>
        <v>142185703.38</v>
      </c>
      <c r="E43" s="53"/>
    </row>
    <row r="44" spans="2:5" x14ac:dyDescent="0.25">
      <c r="B44" s="43" t="s">
        <v>87</v>
      </c>
      <c r="C44" s="51">
        <f t="shared" si="0"/>
        <v>2.0000000000226201E-2</v>
      </c>
      <c r="D44" s="39">
        <f>'Pillar 2 - Quality'!I209</f>
        <v>142185703.38</v>
      </c>
      <c r="E44" s="53"/>
    </row>
    <row r="45" spans="2:5" x14ac:dyDescent="0.25">
      <c r="B45" s="43" t="s">
        <v>88</v>
      </c>
      <c r="C45" s="51">
        <f t="shared" si="0"/>
        <v>5.0000000000136956E-2</v>
      </c>
      <c r="D45" s="39">
        <f>SUM(C24,C33)</f>
        <v>355464258.44695336</v>
      </c>
      <c r="E45" s="53"/>
    </row>
    <row r="46" spans="2:5" x14ac:dyDescent="0.25">
      <c r="B46" s="43" t="s">
        <v>89</v>
      </c>
      <c r="C46" s="51">
        <f t="shared" si="0"/>
        <v>2.0000000000360389E-2</v>
      </c>
      <c r="D46" s="39">
        <f>SUM(C15)</f>
        <v>142185703.380954</v>
      </c>
      <c r="E46" s="53"/>
    </row>
    <row r="47" spans="2:5" x14ac:dyDescent="0.25">
      <c r="B47" s="40" t="s">
        <v>83</v>
      </c>
      <c r="C47" s="42">
        <f>SUM(C38:C46)</f>
        <v>0.99999999999999978</v>
      </c>
      <c r="D47" s="41">
        <f>SUM(D38:D46)</f>
        <v>7109285168.9195938</v>
      </c>
      <c r="E47" s="52"/>
    </row>
    <row r="48" spans="2:5" x14ac:dyDescent="0.25">
      <c r="B48" s="387"/>
      <c r="C48" s="388"/>
      <c r="D48" s="389"/>
      <c r="E48" s="52"/>
    </row>
    <row r="49" spans="2:32" x14ac:dyDescent="0.25">
      <c r="B49" s="387"/>
      <c r="C49" s="388"/>
      <c r="D49" s="389"/>
      <c r="E49" s="52"/>
    </row>
    <row r="50" spans="2:32" x14ac:dyDescent="0.25">
      <c r="B50" s="387"/>
      <c r="C50" s="388"/>
      <c r="D50" s="389"/>
      <c r="E50" s="52"/>
    </row>
    <row r="51" spans="2:32" x14ac:dyDescent="0.25">
      <c r="B51" s="387"/>
      <c r="C51" s="388"/>
      <c r="D51" s="389"/>
      <c r="E51" s="52"/>
    </row>
    <row r="52" spans="2:32" x14ac:dyDescent="0.25">
      <c r="B52" s="387"/>
      <c r="C52" s="388"/>
      <c r="D52" s="389"/>
      <c r="E52" s="52"/>
    </row>
    <row r="53" spans="2:32" x14ac:dyDescent="0.25">
      <c r="B53" s="387"/>
      <c r="C53" s="388"/>
      <c r="D53" s="389"/>
      <c r="E53" s="52"/>
    </row>
    <row r="54" spans="2:32" x14ac:dyDescent="0.25">
      <c r="B54" s="387"/>
      <c r="C54" s="388"/>
      <c r="D54" s="389"/>
      <c r="E54" s="52"/>
    </row>
    <row r="55" spans="2:32" x14ac:dyDescent="0.25">
      <c r="B55" s="387"/>
      <c r="C55" s="388"/>
      <c r="D55" s="389"/>
      <c r="E55" s="52"/>
    </row>
    <row r="56" spans="2:32" x14ac:dyDescent="0.25">
      <c r="B56" s="387"/>
      <c r="C56" s="388"/>
      <c r="D56" s="389"/>
      <c r="E56" s="52"/>
    </row>
    <row r="57" spans="2:32" x14ac:dyDescent="0.25">
      <c r="B57" s="387"/>
      <c r="C57" s="388"/>
      <c r="D57" s="389"/>
      <c r="E57" s="52"/>
    </row>
    <row r="58" spans="2:32" x14ac:dyDescent="0.25">
      <c r="B58" s="387"/>
      <c r="C58" s="388"/>
      <c r="D58" s="389"/>
      <c r="E58" s="52"/>
    </row>
    <row r="59" spans="2:32" x14ac:dyDescent="0.25">
      <c r="B59" s="387"/>
      <c r="C59" s="388"/>
      <c r="D59" s="389"/>
      <c r="E59" s="52"/>
    </row>
    <row r="60" spans="2:32" x14ac:dyDescent="0.25">
      <c r="B60" s="387"/>
      <c r="C60" s="388"/>
      <c r="D60" s="389"/>
      <c r="E60" s="52"/>
    </row>
    <row r="61" spans="2:32" x14ac:dyDescent="0.25">
      <c r="B61" s="387"/>
      <c r="C61" s="388"/>
      <c r="D61" s="389"/>
      <c r="E61" s="52"/>
    </row>
    <row r="62" spans="2:32" ht="33.6" customHeight="1" x14ac:dyDescent="0.25">
      <c r="B62" s="393"/>
      <c r="C62" s="394"/>
      <c r="D62" s="395"/>
      <c r="E62" s="396"/>
      <c r="F62" s="392"/>
      <c r="G62" s="392"/>
      <c r="H62" s="392"/>
      <c r="I62" s="392"/>
      <c r="J62" s="392"/>
      <c r="K62" s="392"/>
      <c r="L62" s="392"/>
      <c r="M62" s="392"/>
      <c r="N62" s="392"/>
      <c r="O62" s="392"/>
      <c r="P62" s="392"/>
      <c r="Q62" s="392"/>
      <c r="R62" s="392"/>
      <c r="S62" s="392"/>
      <c r="T62" s="392"/>
      <c r="U62" s="392"/>
      <c r="V62" s="392"/>
      <c r="W62" s="392"/>
      <c r="X62" s="392"/>
      <c r="Y62" s="392"/>
      <c r="Z62" s="392"/>
      <c r="AA62" s="392"/>
      <c r="AB62" s="392"/>
      <c r="AC62" s="392"/>
      <c r="AD62" s="392"/>
      <c r="AE62" s="392"/>
      <c r="AF62" s="392"/>
    </row>
    <row r="63" spans="2:32" x14ac:dyDescent="0.25">
      <c r="B63" s="387"/>
      <c r="C63" s="388"/>
      <c r="D63" s="389"/>
      <c r="E63" s="52"/>
    </row>
    <row r="64" spans="2:32" x14ac:dyDescent="0.25">
      <c r="B64" s="382"/>
      <c r="C64" s="405"/>
      <c r="D64" s="406"/>
      <c r="E64" s="407"/>
      <c r="F64" s="408"/>
      <c r="G64" s="408"/>
      <c r="H64" s="408"/>
      <c r="I64" s="408"/>
    </row>
    <row r="65" spans="2:12" x14ac:dyDescent="0.25">
      <c r="B65" s="382"/>
      <c r="C65" s="405"/>
      <c r="D65" s="406"/>
      <c r="E65" s="407"/>
      <c r="F65" s="408"/>
      <c r="G65" s="408"/>
      <c r="H65" s="408"/>
      <c r="I65" s="408"/>
    </row>
    <row r="66" spans="2:12" x14ac:dyDescent="0.25">
      <c r="B66" s="408"/>
      <c r="C66" s="408"/>
      <c r="D66" s="408"/>
      <c r="E66" s="408"/>
      <c r="F66" s="408"/>
      <c r="G66" s="408"/>
      <c r="H66" s="408"/>
      <c r="I66" s="408"/>
    </row>
    <row r="67" spans="2:12" x14ac:dyDescent="0.25">
      <c r="B67" s="408"/>
      <c r="C67" s="408"/>
      <c r="D67" s="408"/>
      <c r="E67" s="408"/>
      <c r="F67" s="408"/>
      <c r="G67" s="408"/>
      <c r="H67" s="408"/>
      <c r="I67" s="408"/>
    </row>
    <row r="68" spans="2:12" s="397" customFormat="1" x14ac:dyDescent="0.25">
      <c r="B68" s="382" t="s">
        <v>706</v>
      </c>
      <c r="C68" s="1046" t="s">
        <v>168</v>
      </c>
      <c r="D68" s="1046"/>
      <c r="E68" s="1046"/>
      <c r="F68" s="382"/>
      <c r="G68" s="397" t="s">
        <v>735</v>
      </c>
      <c r="J68" s="404"/>
      <c r="K68" s="404"/>
      <c r="L68" s="404"/>
    </row>
    <row r="69" spans="2:12" s="397" customFormat="1" x14ac:dyDescent="0.25">
      <c r="B69" s="397" t="s">
        <v>707</v>
      </c>
      <c r="C69" s="397" t="s">
        <v>716</v>
      </c>
      <c r="D69" s="397" t="s">
        <v>717</v>
      </c>
      <c r="E69" s="397" t="s">
        <v>718</v>
      </c>
      <c r="G69" s="397" t="s">
        <v>734</v>
      </c>
      <c r="J69" s="404"/>
      <c r="K69" s="404"/>
      <c r="L69" s="404"/>
    </row>
    <row r="70" spans="2:12" s="397" customFormat="1" x14ac:dyDescent="0.25">
      <c r="B70" s="397" t="s">
        <v>708</v>
      </c>
      <c r="C70" s="397">
        <f>SUMIF('Infrastructure Projects'!G18:G538, "ECCDE", 'Infrastructure Projects'!N18:N538)</f>
        <v>3</v>
      </c>
      <c r="D70" s="397">
        <f>SUMIF('Infrastructure Projects'!G18:G538, "Primary", 'Infrastructure Projects'!N18:N538)</f>
        <v>0</v>
      </c>
      <c r="E70" s="397">
        <f>SUMIF('Infrastructure Projects'!G18:G538, "JSS", 'Infrastructure Projects'!N18:N538)</f>
        <v>3</v>
      </c>
      <c r="G70" s="397" t="s">
        <v>728</v>
      </c>
      <c r="J70" s="404"/>
      <c r="K70" s="404"/>
      <c r="L70" s="404"/>
    </row>
    <row r="71" spans="2:12" s="397" customFormat="1" x14ac:dyDescent="0.25">
      <c r="B71" s="397" t="s">
        <v>724</v>
      </c>
      <c r="C71" s="397">
        <f>SUMIF('Infrastructure Projects'!G18:G538, "ECCDE", 'Infrastructure Projects'!O18:O538)</f>
        <v>0</v>
      </c>
      <c r="D71" s="397">
        <f>SUMIF('Infrastructure Projects'!G18:G538, "Primary", 'Infrastructure Projects'!O18:O538)</f>
        <v>0</v>
      </c>
      <c r="E71" s="397">
        <f>SUMIF('Infrastructure Projects'!G18:G538, "JSS", 'Infrastructure Projects'!O18:O538)</f>
        <v>0</v>
      </c>
      <c r="G71" s="397" t="s">
        <v>729</v>
      </c>
      <c r="J71" s="404"/>
      <c r="K71" s="404"/>
      <c r="L71" s="404"/>
    </row>
    <row r="72" spans="2:12" s="397" customFormat="1" x14ac:dyDescent="0.25">
      <c r="B72" s="397" t="s">
        <v>709</v>
      </c>
      <c r="C72" s="397">
        <f>SUMIF('Infrastructure Projects'!G18:G538, "ECCDE", 'Infrastructure Projects'!P18:P538)</f>
        <v>0</v>
      </c>
      <c r="D72" s="397">
        <f>SUMIF('Infrastructure Projects'!G18:G538, "Primary", 'Infrastructure Projects'!P18:P538)</f>
        <v>0</v>
      </c>
      <c r="E72" s="397">
        <f>SUMIF('Infrastructure Projects'!G18:G538, "JSS", 'Infrastructure Projects'!P18:P538)</f>
        <v>0</v>
      </c>
      <c r="G72" s="397" t="s">
        <v>730</v>
      </c>
      <c r="J72" s="404"/>
      <c r="K72" s="404"/>
      <c r="L72" s="404"/>
    </row>
    <row r="73" spans="2:12" s="397" customFormat="1" x14ac:dyDescent="0.25">
      <c r="B73" s="397" t="s">
        <v>703</v>
      </c>
      <c r="C73" s="397">
        <f>SUMIF('Infrastructure Projects'!G18:G538, "ECCDE", 'Infrastructure Projects'!Q18:Q538)</f>
        <v>18</v>
      </c>
      <c r="D73" s="397">
        <f>SUMIF('Infrastructure Projects'!G18:G538, "Primary", 'Infrastructure Projects'!Q18:Q538)</f>
        <v>12</v>
      </c>
      <c r="E73" s="397">
        <f>SUMIF('Infrastructure Projects'!G18:G538, "JSS", 'Infrastructure Projects'!Q18:Q538)</f>
        <v>18</v>
      </c>
      <c r="G73" s="397" t="s">
        <v>731</v>
      </c>
      <c r="J73" s="404"/>
      <c r="K73" s="404"/>
      <c r="L73" s="404"/>
    </row>
    <row r="74" spans="2:12" s="397" customFormat="1" x14ac:dyDescent="0.25">
      <c r="B74" s="397" t="s">
        <v>710</v>
      </c>
      <c r="C74" s="397">
        <f>SUMIF('Infrastructure Projects'!G18:G538, "ECCDE", 'Infrastructure Projects'!R18:R538)</f>
        <v>2</v>
      </c>
      <c r="D74" s="397">
        <f>SUMIF('Infrastructure Projects'!G18:G538, "Primary", 'Infrastructure Projects'!R18:R538)</f>
        <v>0</v>
      </c>
      <c r="E74" s="397">
        <f>SUMIF('Infrastructure Projects'!G18:G538, "JSS", 'Infrastructure Projects'!R18:R538)</f>
        <v>2</v>
      </c>
      <c r="G74" s="397" t="s">
        <v>732</v>
      </c>
      <c r="J74" s="404"/>
      <c r="K74" s="404"/>
      <c r="L74" s="404"/>
    </row>
    <row r="75" spans="2:12" s="397" customFormat="1" x14ac:dyDescent="0.25">
      <c r="B75" s="397" t="s">
        <v>719</v>
      </c>
      <c r="C75" s="397">
        <f>COUNTIF('Infrastructure Projects'!G544:G644, "ECCDE")</f>
        <v>3</v>
      </c>
      <c r="D75" s="397">
        <f>COUNTIF('Infrastructure Projects'!G544:G644, "Primary")</f>
        <v>2</v>
      </c>
      <c r="E75" s="397">
        <f>COUNTIF('Infrastructure Projects'!G544:G644, "JSS")</f>
        <v>3</v>
      </c>
      <c r="G75" s="397" t="s">
        <v>733</v>
      </c>
      <c r="J75" s="404"/>
      <c r="K75" s="404"/>
      <c r="L75" s="404"/>
    </row>
    <row r="76" spans="2:12" s="397" customFormat="1" x14ac:dyDescent="0.25">
      <c r="G76" s="397" t="s">
        <v>736</v>
      </c>
      <c r="J76" s="404"/>
      <c r="K76" s="404"/>
      <c r="L76" s="404"/>
    </row>
    <row r="77" spans="2:12" s="397" customFormat="1" x14ac:dyDescent="0.25">
      <c r="B77" s="397" t="s">
        <v>43</v>
      </c>
      <c r="C77" s="397" t="s">
        <v>716</v>
      </c>
      <c r="D77" s="397" t="s">
        <v>717</v>
      </c>
      <c r="E77" s="397" t="s">
        <v>718</v>
      </c>
      <c r="G77" s="397" t="s">
        <v>737</v>
      </c>
      <c r="J77" s="404"/>
      <c r="K77" s="404"/>
      <c r="L77" s="404"/>
    </row>
    <row r="78" spans="2:12" s="397" customFormat="1" x14ac:dyDescent="0.25">
      <c r="B78" s="397" t="s">
        <v>711</v>
      </c>
      <c r="C78" s="397">
        <f>SUMIF('Infrastructure Projects'!G652:G952, "ECCDE", 'Infrastructure Projects'!O652:O952)</f>
        <v>12</v>
      </c>
      <c r="D78" s="397">
        <f>SUMIF('Infrastructure Projects'!G652:G952, "Primary", 'Infrastructure Projects'!O652:O952)</f>
        <v>37</v>
      </c>
      <c r="E78" s="397">
        <f>SUMIF('Infrastructure Projects'!G652:G952, "JSS", 'Infrastructure Projects'!O652:O952)</f>
        <v>30</v>
      </c>
      <c r="G78" s="397" t="s">
        <v>738</v>
      </c>
      <c r="J78" s="404"/>
      <c r="K78" s="404"/>
      <c r="L78" s="404"/>
    </row>
    <row r="79" spans="2:12" s="397" customFormat="1" x14ac:dyDescent="0.25">
      <c r="B79" s="397" t="s">
        <v>725</v>
      </c>
      <c r="C79" s="397">
        <f>SUMIF('Infrastructure Projects'!G652:G952, "ECCDE", 'Infrastructure Projects'!P652:P952)</f>
        <v>0</v>
      </c>
      <c r="D79" s="397">
        <f>SUMIF('Infrastructure Projects'!G652:G952, "Primary", 'Infrastructure Projects'!P652:P952)</f>
        <v>1</v>
      </c>
      <c r="E79" s="397">
        <f>SUMIF('Infrastructure Projects'!G652:G952, "JSS", 'Infrastructure Projects'!P652:P952)</f>
        <v>2</v>
      </c>
      <c r="G79" s="397" t="s">
        <v>739</v>
      </c>
      <c r="J79" s="404"/>
      <c r="K79" s="404"/>
      <c r="L79" s="404"/>
    </row>
    <row r="80" spans="2:12" s="397" customFormat="1" x14ac:dyDescent="0.25">
      <c r="B80" s="397" t="s">
        <v>713</v>
      </c>
      <c r="C80" s="397">
        <f>SUMIF('Infrastructure Projects'!G652:G952, "ECCDE", 'Infrastructure Projects'!Q652:Q952)</f>
        <v>0</v>
      </c>
      <c r="D80" s="397">
        <f>SUMIF('Infrastructure Projects'!G652:G952, "Primary", 'Infrastructure Projects'!Q652:Q952)</f>
        <v>0</v>
      </c>
      <c r="E80" s="397">
        <f>SUMIF('Infrastructure Projects'!G652:G952, "JSS", 'Infrastructure Projects'!Q652:Q952)</f>
        <v>1</v>
      </c>
      <c r="G80" s="397" t="s">
        <v>740</v>
      </c>
      <c r="J80" s="404"/>
      <c r="K80" s="404"/>
      <c r="L80" s="404"/>
    </row>
    <row r="81" spans="1:12" s="397" customFormat="1" x14ac:dyDescent="0.25">
      <c r="B81" s="397" t="s">
        <v>712</v>
      </c>
      <c r="C81" s="397">
        <f>SUMIF('Infrastructure Projects'!G652:G952, "ECCDE", 'Infrastructure Projects'!R652:R952)</f>
        <v>6</v>
      </c>
      <c r="D81" s="397">
        <f>SUMIF('Infrastructure Projects'!G652:G952, "Primary", 'Infrastructure Projects'!R652:R952)</f>
        <v>14</v>
      </c>
      <c r="E81" s="397">
        <f>SUMIF('Infrastructure Projects'!G652:G952, "JSS", 'Infrastructure Projects'!R652:R952)</f>
        <v>4</v>
      </c>
      <c r="J81" s="404"/>
      <c r="K81" s="404"/>
      <c r="L81" s="404"/>
    </row>
    <row r="82" spans="1:12" s="397" customFormat="1" x14ac:dyDescent="0.25">
      <c r="B82" s="397" t="s">
        <v>714</v>
      </c>
      <c r="C82" s="397">
        <f>SUMIF('Infrastructure Projects'!G652:G952, "ECCDE", 'Infrastructure Projects'!S652:S952)</f>
        <v>4</v>
      </c>
      <c r="D82" s="397">
        <f>SUMIF('Infrastructure Projects'!G652:G952, "Primary", 'Infrastructure Projects'!S652:S952)</f>
        <v>12</v>
      </c>
      <c r="E82" s="397">
        <f>SUMIF('Infrastructure Projects'!G652:G952, "JSS", 'Infrastructure Projects'!S652:S952)</f>
        <v>10</v>
      </c>
      <c r="J82" s="404"/>
      <c r="K82" s="404"/>
      <c r="L82" s="404"/>
    </row>
    <row r="83" spans="1:12" s="397" customFormat="1" x14ac:dyDescent="0.25">
      <c r="B83" s="397" t="s">
        <v>715</v>
      </c>
      <c r="C83" s="397">
        <f>SUMIF('Infrastructure Projects'!G961:G1261, "ECCDE", 'Infrastructure Projects'!F961:F1261)</f>
        <v>60</v>
      </c>
      <c r="D83" s="397">
        <f>SUMIF('Infrastructure Projects'!G961:G1261, "Primary", 'Infrastructure Projects'!F961:F1261)</f>
        <v>740</v>
      </c>
      <c r="E83" s="397">
        <f>SUMIF('Infrastructure Projects'!G961:G1261, "JSS", 'Infrastructure Projects'!F961:F1261)</f>
        <v>2315</v>
      </c>
      <c r="J83" s="404"/>
      <c r="K83" s="404"/>
      <c r="L83" s="404"/>
    </row>
    <row r="84" spans="1:12" s="397" customFormat="1" x14ac:dyDescent="0.25">
      <c r="B84" s="397" t="s">
        <v>720</v>
      </c>
      <c r="C84" s="397">
        <f>SUMIF('Infrastructure Projects'!G1270:G1370, "ECCDE", 'Infrastructure Projects'!F1270:F1370)</f>
        <v>4</v>
      </c>
      <c r="D84" s="397">
        <f>SUMIF('Infrastructure Projects'!G1270:G1370, "Primary", 'Infrastructure Projects'!F1270:F1370)</f>
        <v>2</v>
      </c>
      <c r="E84" s="397">
        <f>SUMIF('Infrastructure Projects'!G1270:G1370, "JSS", 'Infrastructure Projects'!F1270:F1370)</f>
        <v>4</v>
      </c>
      <c r="J84" s="404"/>
      <c r="K84" s="404"/>
      <c r="L84" s="404"/>
    </row>
    <row r="85" spans="1:12" s="397" customFormat="1" x14ac:dyDescent="0.25">
      <c r="B85" s="397" t="s">
        <v>721</v>
      </c>
      <c r="C85" s="397">
        <f>SUMIF('Infrastructure Projects'!G1425:G1725, "ECCDE", 'Infrastructure Projects'!F1425:F1725)</f>
        <v>0</v>
      </c>
      <c r="D85" s="397">
        <f>SUMIF('Infrastructure Projects'!G1425:G1725, "Primary", 'Infrastructure Projects'!F1425:F1725)</f>
        <v>21955</v>
      </c>
      <c r="E85" s="397">
        <f>SUMIF('Infrastructure Projects'!G1425:G1725, "JSS", 'Infrastructure Projects'!F1425:F1725)</f>
        <v>0</v>
      </c>
      <c r="J85" s="404"/>
      <c r="K85" s="404"/>
      <c r="L85" s="404"/>
    </row>
    <row r="86" spans="1:12" s="397" customFormat="1" x14ac:dyDescent="0.25">
      <c r="J86" s="404"/>
      <c r="K86" s="404"/>
      <c r="L86" s="404"/>
    </row>
    <row r="87" spans="1:12" s="397" customFormat="1" x14ac:dyDescent="0.25">
      <c r="J87" s="404"/>
      <c r="K87" s="404"/>
      <c r="L87" s="404"/>
    </row>
    <row r="88" spans="1:12" s="397" customFormat="1" x14ac:dyDescent="0.25">
      <c r="J88" s="404"/>
      <c r="K88" s="404"/>
      <c r="L88" s="404"/>
    </row>
    <row r="89" spans="1:12" s="397" customFormat="1" x14ac:dyDescent="0.25">
      <c r="B89" s="397" t="s">
        <v>24</v>
      </c>
      <c r="C89" s="398">
        <f>C11</f>
        <v>5106312838.5009594</v>
      </c>
      <c r="D89" s="399">
        <f>C89/$C$92</f>
        <v>0.63058149389800844</v>
      </c>
      <c r="J89" s="404"/>
      <c r="K89" s="404"/>
      <c r="L89" s="404"/>
    </row>
    <row r="90" spans="1:12" s="397" customFormat="1" x14ac:dyDescent="0.25">
      <c r="A90" s="397" t="s">
        <v>313</v>
      </c>
      <c r="B90" s="397" t="s">
        <v>26</v>
      </c>
      <c r="C90" s="398">
        <f>C18</f>
        <v>2602778914.2016792</v>
      </c>
      <c r="D90" s="399">
        <f>C90/$C$92</f>
        <v>0.32141865724101437</v>
      </c>
      <c r="J90" s="404"/>
      <c r="K90" s="404"/>
      <c r="L90" s="404"/>
    </row>
    <row r="91" spans="1:12" s="397" customFormat="1" x14ac:dyDescent="0.25">
      <c r="B91" s="397" t="s">
        <v>27</v>
      </c>
      <c r="C91" s="398">
        <f>C27</f>
        <v>388692416.21695399</v>
      </c>
      <c r="D91" s="399">
        <f>C91/$C$92</f>
        <v>4.7999848860977162E-2</v>
      </c>
      <c r="J91" s="404"/>
      <c r="K91" s="404"/>
      <c r="L91" s="404"/>
    </row>
    <row r="92" spans="1:12" s="397" customFormat="1" x14ac:dyDescent="0.25">
      <c r="B92" s="397" t="s">
        <v>83</v>
      </c>
      <c r="C92" s="398">
        <f>SUM(C89:C91)</f>
        <v>8097784168.9195929</v>
      </c>
      <c r="D92" s="399">
        <f>C92/$C$92</f>
        <v>1</v>
      </c>
      <c r="J92" s="404"/>
      <c r="K92" s="404"/>
      <c r="L92" s="404"/>
    </row>
    <row r="93" spans="1:12" s="397" customFormat="1" x14ac:dyDescent="0.25">
      <c r="J93" s="404"/>
      <c r="K93" s="404"/>
      <c r="L93" s="404"/>
    </row>
    <row r="94" spans="1:12" s="397" customFormat="1" x14ac:dyDescent="0.25">
      <c r="B94" s="397" t="s">
        <v>722</v>
      </c>
      <c r="J94" s="404"/>
      <c r="K94" s="404"/>
      <c r="L94" s="404"/>
    </row>
    <row r="95" spans="1:12" s="397" customFormat="1" x14ac:dyDescent="0.25">
      <c r="B95" s="397" t="s">
        <v>716</v>
      </c>
      <c r="C95" s="397">
        <f>C83</f>
        <v>60</v>
      </c>
      <c r="J95" s="404"/>
      <c r="K95" s="404"/>
      <c r="L95" s="404"/>
    </row>
    <row r="96" spans="1:12" s="397" customFormat="1" x14ac:dyDescent="0.25">
      <c r="B96" s="397" t="s">
        <v>717</v>
      </c>
      <c r="C96" s="397">
        <f>D83</f>
        <v>740</v>
      </c>
      <c r="J96" s="404"/>
      <c r="K96" s="404"/>
      <c r="L96" s="404"/>
    </row>
    <row r="97" spans="2:12" s="397" customFormat="1" x14ac:dyDescent="0.25">
      <c r="B97" s="397" t="s">
        <v>718</v>
      </c>
      <c r="C97" s="397">
        <f>E83</f>
        <v>2315</v>
      </c>
      <c r="J97" s="404"/>
      <c r="K97" s="404"/>
      <c r="L97" s="404"/>
    </row>
    <row r="98" spans="2:12" s="397" customFormat="1" x14ac:dyDescent="0.25">
      <c r="J98" s="404"/>
      <c r="K98" s="404"/>
      <c r="L98" s="404"/>
    </row>
    <row r="99" spans="2:12" s="397" customFormat="1" x14ac:dyDescent="0.25">
      <c r="B99" s="397" t="s">
        <v>723</v>
      </c>
      <c r="J99" s="404"/>
      <c r="K99" s="404"/>
      <c r="L99" s="404"/>
    </row>
    <row r="100" spans="2:12" s="397" customFormat="1" x14ac:dyDescent="0.25">
      <c r="B100" s="397" t="s">
        <v>716</v>
      </c>
      <c r="C100" s="397">
        <f>C84</f>
        <v>4</v>
      </c>
      <c r="J100" s="404"/>
      <c r="K100" s="404"/>
      <c r="L100" s="404"/>
    </row>
    <row r="101" spans="2:12" s="397" customFormat="1" x14ac:dyDescent="0.25">
      <c r="B101" s="397" t="s">
        <v>717</v>
      </c>
      <c r="C101" s="397">
        <f>D84</f>
        <v>2</v>
      </c>
      <c r="J101" s="404"/>
      <c r="K101" s="404"/>
      <c r="L101" s="404"/>
    </row>
    <row r="102" spans="2:12" s="397" customFormat="1" x14ac:dyDescent="0.25">
      <c r="B102" s="397" t="s">
        <v>718</v>
      </c>
      <c r="C102" s="397">
        <f>E84</f>
        <v>4</v>
      </c>
      <c r="J102" s="404"/>
      <c r="K102" s="404"/>
      <c r="L102" s="404"/>
    </row>
    <row r="103" spans="2:12" s="397" customFormat="1" x14ac:dyDescent="0.25">
      <c r="J103" s="404"/>
      <c r="K103" s="404"/>
      <c r="L103" s="404"/>
    </row>
    <row r="104" spans="2:12" s="397" customFormat="1" x14ac:dyDescent="0.25">
      <c r="J104" s="404"/>
      <c r="K104" s="404"/>
      <c r="L104" s="404"/>
    </row>
    <row r="105" spans="2:12" s="397" customFormat="1" x14ac:dyDescent="0.25">
      <c r="B105" s="397" t="s">
        <v>721</v>
      </c>
      <c r="J105" s="404"/>
      <c r="K105" s="404"/>
      <c r="L105" s="404"/>
    </row>
    <row r="106" spans="2:12" s="397" customFormat="1" x14ac:dyDescent="0.25">
      <c r="B106" s="397" t="s">
        <v>716</v>
      </c>
      <c r="C106" s="397">
        <f>C85</f>
        <v>0</v>
      </c>
      <c r="J106" s="404"/>
      <c r="K106" s="404"/>
      <c r="L106" s="404"/>
    </row>
    <row r="107" spans="2:12" s="397" customFormat="1" x14ac:dyDescent="0.25">
      <c r="B107" s="397" t="s">
        <v>717</v>
      </c>
      <c r="C107" s="397">
        <f>D85</f>
        <v>21955</v>
      </c>
      <c r="J107" s="404"/>
      <c r="K107" s="404"/>
      <c r="L107" s="404"/>
    </row>
    <row r="108" spans="2:12" s="397" customFormat="1" x14ac:dyDescent="0.25">
      <c r="B108" s="397" t="s">
        <v>718</v>
      </c>
      <c r="C108" s="397">
        <f>E85</f>
        <v>0</v>
      </c>
      <c r="J108" s="404"/>
      <c r="K108" s="404"/>
      <c r="L108" s="404"/>
    </row>
    <row r="109" spans="2:12" s="397" customFormat="1" x14ac:dyDescent="0.25">
      <c r="J109" s="404"/>
      <c r="K109" s="404"/>
      <c r="L109" s="404"/>
    </row>
    <row r="110" spans="2:12" s="397" customFormat="1" x14ac:dyDescent="0.25">
      <c r="J110" s="404"/>
      <c r="K110" s="404"/>
      <c r="L110" s="404"/>
    </row>
    <row r="111" spans="2:12" x14ac:dyDescent="0.25">
      <c r="B111" s="408"/>
      <c r="C111" s="408"/>
      <c r="D111" s="408"/>
      <c r="E111" s="408"/>
      <c r="F111" s="408"/>
      <c r="G111" s="408"/>
      <c r="H111" s="408"/>
      <c r="I111" s="408"/>
    </row>
    <row r="112" spans="2:12" x14ac:dyDescent="0.25">
      <c r="B112" s="408"/>
      <c r="C112" s="408"/>
      <c r="D112" s="408"/>
      <c r="E112" s="408"/>
      <c r="F112" s="408"/>
      <c r="G112" s="408"/>
      <c r="H112" s="408"/>
      <c r="I112" s="408"/>
    </row>
    <row r="113" spans="2:9" x14ac:dyDescent="0.25">
      <c r="B113" s="408"/>
      <c r="C113" s="408"/>
      <c r="D113" s="408"/>
      <c r="E113" s="408"/>
      <c r="F113" s="408"/>
      <c r="G113" s="408"/>
      <c r="H113" s="408"/>
      <c r="I113" s="408"/>
    </row>
    <row r="114" spans="2:9" x14ac:dyDescent="0.25">
      <c r="B114" s="408"/>
      <c r="C114" s="408"/>
      <c r="D114" s="408"/>
      <c r="E114" s="408"/>
      <c r="F114" s="408"/>
      <c r="G114" s="408"/>
      <c r="H114" s="408"/>
      <c r="I114" s="408"/>
    </row>
    <row r="115" spans="2:9" x14ac:dyDescent="0.25">
      <c r="B115" s="408"/>
      <c r="C115" s="408"/>
      <c r="D115" s="408"/>
      <c r="E115" s="408"/>
      <c r="F115" s="408"/>
      <c r="G115" s="408"/>
      <c r="H115" s="408"/>
      <c r="I115" s="408"/>
    </row>
    <row r="116" spans="2:9" x14ac:dyDescent="0.25">
      <c r="B116" s="408"/>
      <c r="C116" s="408"/>
      <c r="D116" s="408"/>
      <c r="E116" s="408"/>
      <c r="F116" s="408"/>
      <c r="G116" s="408"/>
      <c r="H116" s="408"/>
      <c r="I116" s="408"/>
    </row>
  </sheetData>
  <sheetProtection algorithmName="SHA-512" hashValue="6cxPH0M/V4jdjs6NXote39qedJvfDjdHh+XQwBxh1pMOPBMRynPebnietxyflnczXf0kZ1ayv4f3ZmvP5QAalg==" saltValue="cd6bIXxlU7v7Kh5tt0MrSw==" spinCount="100000" sheet="1" objects="1" scenarios="1"/>
  <mergeCells count="9">
    <mergeCell ref="C68:E68"/>
    <mergeCell ref="C7:D7"/>
    <mergeCell ref="B9:D9"/>
    <mergeCell ref="B36:D36"/>
    <mergeCell ref="C2:D2"/>
    <mergeCell ref="C3:D3"/>
    <mergeCell ref="C4:D4"/>
    <mergeCell ref="C5:D5"/>
    <mergeCell ref="C6:D6"/>
  </mergeCells>
  <pageMargins left="0.70866141732283472" right="0.70866141732283472" top="0.74803149606299213" bottom="0.74803149606299213" header="0.31496062992125984" footer="0.27"/>
  <pageSetup paperSize="9" scale="40" orientation="landscape" horizontalDpi="4294967295" verticalDpi="4294967295" r:id="rId1"/>
  <rowBreaks count="1" manualBreakCount="1">
    <brk id="63" max="16383"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2602A-8837-415E-A191-E608B73CF7E7}">
  <sheetPr codeName="Sheet12">
    <tabColor theme="8" tint="0.59999389629810485"/>
  </sheetPr>
  <dimension ref="B1:E22"/>
  <sheetViews>
    <sheetView showGridLines="0" view="pageBreakPreview" topLeftCell="C3" zoomScale="77" zoomScaleNormal="79" workbookViewId="0">
      <selection activeCell="E9" sqref="E9:E13"/>
    </sheetView>
  </sheetViews>
  <sheetFormatPr defaultColWidth="8.7109375" defaultRowHeight="16.5" x14ac:dyDescent="0.25"/>
  <cols>
    <col min="1" max="1" width="2.42578125" style="2" customWidth="1"/>
    <col min="2" max="2" width="25.42578125" style="2" customWidth="1"/>
    <col min="3" max="3" width="44.7109375" style="2" customWidth="1"/>
    <col min="4" max="4" width="49.140625" style="2" customWidth="1"/>
    <col min="5" max="5" width="46.5703125" style="2" customWidth="1"/>
    <col min="6" max="16384" width="8.7109375" style="2"/>
  </cols>
  <sheetData>
    <row r="1" spans="2:5" ht="17.25" thickBot="1" x14ac:dyDescent="0.3"/>
    <row r="2" spans="2:5" ht="17.25" thickBot="1" x14ac:dyDescent="0.3">
      <c r="B2" s="284" t="s">
        <v>631</v>
      </c>
      <c r="C2" s="285" t="s">
        <v>658</v>
      </c>
      <c r="D2" s="285" t="s">
        <v>659</v>
      </c>
      <c r="E2" s="286" t="s">
        <v>632</v>
      </c>
    </row>
    <row r="3" spans="2:5" ht="49.5" customHeight="1" x14ac:dyDescent="0.25">
      <c r="B3" s="1066" t="s">
        <v>633</v>
      </c>
      <c r="C3" s="1069" t="s">
        <v>663</v>
      </c>
      <c r="D3" s="279" t="s">
        <v>634</v>
      </c>
      <c r="E3" s="1070" t="s">
        <v>636</v>
      </c>
    </row>
    <row r="4" spans="2:5" x14ac:dyDescent="0.25">
      <c r="B4" s="1067"/>
      <c r="C4" s="1062"/>
      <c r="D4" s="3" t="s">
        <v>635</v>
      </c>
      <c r="E4" s="1058"/>
    </row>
    <row r="5" spans="2:5" ht="33" x14ac:dyDescent="0.25">
      <c r="B5" s="1067"/>
      <c r="C5" s="1059" t="s">
        <v>664</v>
      </c>
      <c r="D5" s="3" t="s">
        <v>637</v>
      </c>
      <c r="E5" s="1056" t="s">
        <v>523</v>
      </c>
    </row>
    <row r="6" spans="2:5" ht="33" x14ac:dyDescent="0.25">
      <c r="B6" s="1068"/>
      <c r="C6" s="1062"/>
      <c r="D6" s="3" t="s">
        <v>638</v>
      </c>
      <c r="E6" s="1058"/>
    </row>
    <row r="7" spans="2:5" ht="33" x14ac:dyDescent="0.25">
      <c r="B7" s="1071" t="s">
        <v>29</v>
      </c>
      <c r="C7" s="1059" t="s">
        <v>665</v>
      </c>
      <c r="D7" s="3" t="s">
        <v>639</v>
      </c>
      <c r="E7" s="280" t="s">
        <v>641</v>
      </c>
    </row>
    <row r="8" spans="2:5" ht="33" x14ac:dyDescent="0.25">
      <c r="B8" s="1067"/>
      <c r="C8" s="1062"/>
      <c r="D8" s="3" t="s">
        <v>640</v>
      </c>
      <c r="E8" s="280" t="s">
        <v>642</v>
      </c>
    </row>
    <row r="9" spans="2:5" x14ac:dyDescent="0.25">
      <c r="B9" s="1067"/>
      <c r="C9" s="1059" t="s">
        <v>666</v>
      </c>
      <c r="D9" s="3" t="s">
        <v>643</v>
      </c>
      <c r="E9" s="1063" t="s">
        <v>661</v>
      </c>
    </row>
    <row r="10" spans="2:5" ht="33" x14ac:dyDescent="0.25">
      <c r="B10" s="1067"/>
      <c r="C10" s="1060"/>
      <c r="D10" s="3" t="s">
        <v>644</v>
      </c>
      <c r="E10" s="1064"/>
    </row>
    <row r="11" spans="2:5" ht="33" x14ac:dyDescent="0.25">
      <c r="B11" s="1067"/>
      <c r="C11" s="1060"/>
      <c r="D11" s="278" t="s">
        <v>645</v>
      </c>
      <c r="E11" s="1064"/>
    </row>
    <row r="12" spans="2:5" x14ac:dyDescent="0.25">
      <c r="B12" s="1067"/>
      <c r="C12" s="1060"/>
      <c r="D12" s="278" t="s">
        <v>646</v>
      </c>
      <c r="E12" s="1064"/>
    </row>
    <row r="13" spans="2:5" x14ac:dyDescent="0.25">
      <c r="B13" s="1067"/>
      <c r="C13" s="1062"/>
      <c r="D13" s="278" t="s">
        <v>647</v>
      </c>
      <c r="E13" s="1065"/>
    </row>
    <row r="14" spans="2:5" ht="66" customHeight="1" x14ac:dyDescent="0.25">
      <c r="B14" s="1067"/>
      <c r="C14" s="1059" t="s">
        <v>667</v>
      </c>
      <c r="D14" s="278" t="s">
        <v>648</v>
      </c>
      <c r="E14" s="1063" t="s">
        <v>662</v>
      </c>
    </row>
    <row r="15" spans="2:5" ht="33" x14ac:dyDescent="0.25">
      <c r="B15" s="1067"/>
      <c r="C15" s="1060"/>
      <c r="D15" s="278" t="s">
        <v>649</v>
      </c>
      <c r="E15" s="1064"/>
    </row>
    <row r="16" spans="2:5" ht="33" x14ac:dyDescent="0.25">
      <c r="B16" s="1068"/>
      <c r="C16" s="1062"/>
      <c r="D16" s="278" t="s">
        <v>650</v>
      </c>
      <c r="E16" s="1065"/>
    </row>
    <row r="17" spans="2:5" ht="33" x14ac:dyDescent="0.25">
      <c r="B17" s="1071" t="s">
        <v>30</v>
      </c>
      <c r="C17" s="1059" t="s">
        <v>668</v>
      </c>
      <c r="D17" s="278" t="s">
        <v>651</v>
      </c>
      <c r="E17" s="1056" t="s">
        <v>534</v>
      </c>
    </row>
    <row r="18" spans="2:5" x14ac:dyDescent="0.25">
      <c r="B18" s="1067"/>
      <c r="C18" s="1060"/>
      <c r="D18" s="278" t="s">
        <v>652</v>
      </c>
      <c r="E18" s="1057"/>
    </row>
    <row r="19" spans="2:5" x14ac:dyDescent="0.25">
      <c r="B19" s="1068"/>
      <c r="C19" s="1062"/>
      <c r="D19" s="278" t="s">
        <v>653</v>
      </c>
      <c r="E19" s="1058"/>
    </row>
    <row r="20" spans="2:5" ht="49.5" customHeight="1" x14ac:dyDescent="0.25">
      <c r="B20" s="1071" t="s">
        <v>660</v>
      </c>
      <c r="C20" s="1059" t="s">
        <v>669</v>
      </c>
      <c r="D20" s="278" t="s">
        <v>654</v>
      </c>
      <c r="E20" s="281" t="s">
        <v>537</v>
      </c>
    </row>
    <row r="21" spans="2:5" ht="33" x14ac:dyDescent="0.25">
      <c r="B21" s="1067"/>
      <c r="C21" s="1060"/>
      <c r="D21" s="278" t="s">
        <v>655</v>
      </c>
      <c r="E21" s="281" t="s">
        <v>538</v>
      </c>
    </row>
    <row r="22" spans="2:5" ht="33.75" thickBot="1" x14ac:dyDescent="0.3">
      <c r="B22" s="1072"/>
      <c r="C22" s="1061"/>
      <c r="D22" s="282" t="s">
        <v>656</v>
      </c>
      <c r="E22" s="283" t="s">
        <v>657</v>
      </c>
    </row>
  </sheetData>
  <mergeCells count="16">
    <mergeCell ref="B17:B19"/>
    <mergeCell ref="B20:B22"/>
    <mergeCell ref="B7:B16"/>
    <mergeCell ref="C7:C8"/>
    <mergeCell ref="C9:C13"/>
    <mergeCell ref="B3:B6"/>
    <mergeCell ref="C3:C4"/>
    <mergeCell ref="C5:C6"/>
    <mergeCell ref="C14:C16"/>
    <mergeCell ref="E3:E4"/>
    <mergeCell ref="E5:E6"/>
    <mergeCell ref="E17:E19"/>
    <mergeCell ref="C20:C22"/>
    <mergeCell ref="C17:C19"/>
    <mergeCell ref="E9:E13"/>
    <mergeCell ref="E14:E16"/>
  </mergeCells>
  <pageMargins left="0.7" right="0.7" top="0.75" bottom="0.75" header="0.3" footer="0.3"/>
  <pageSetup paperSize="8" orientation="landscape"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vt:i4>
      </vt:variant>
    </vt:vector>
  </HeadingPairs>
  <TitlesOfParts>
    <vt:vector size="13" baseType="lpstr">
      <vt:lpstr>Welcome Page</vt:lpstr>
      <vt:lpstr>Infrastructure Projects</vt:lpstr>
      <vt:lpstr>Description of sheets</vt:lpstr>
      <vt:lpstr>Pillar 1 - Access</vt:lpstr>
      <vt:lpstr>Sports Development</vt:lpstr>
      <vt:lpstr>GSCCS</vt:lpstr>
      <vt:lpstr>Pillar 2 - Quality</vt:lpstr>
      <vt:lpstr>Pillar 3 - Systems Optimization</vt:lpstr>
      <vt:lpstr>Unit Cost Set-Up</vt:lpstr>
      <vt:lpstr>Activity costing </vt:lpstr>
      <vt:lpstr>Total budget summary</vt:lpstr>
      <vt:lpstr>HOPE-DLI </vt:lpstr>
      <vt:lpstr>'Total budget summary'!Print_Area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Aisha Kaoje</dc:creator>
  <cp:lastModifiedBy>Eric Gowon</cp:lastModifiedBy>
  <cp:lastPrinted>2025-10-13T15:18:58Z</cp:lastPrinted>
  <dcterms:created xsi:type="dcterms:W3CDTF">2025-03-06T13:27:04Z</dcterms:created>
  <dcterms:modified xsi:type="dcterms:W3CDTF">2025-11-07T12:42:13Z</dcterms:modified>
</cp:coreProperties>
</file>