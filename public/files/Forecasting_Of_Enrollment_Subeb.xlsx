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1" formatCode="_(* #,##0_);_(* \(#,##0\);_(* &quot;-&quot;_);_(@_)"/>
    <numFmt numFmtId="43" formatCode="_(* #,##0.00_);_(* \(#,##0.00\);_(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5"/>
  <sheetViews>
    <sheetView workbookViewId="0" rightToLeft="0"/>
  </sheetViews>
  <sheetData>
    <row r="1">
      <c r="A1" t="str">
        <v xml:space="preserve">DLI 5.1: BENUE STATE UNIVERSAL BASIC EDUCATION </v>
      </c>
    </row>
    <row r="2">
      <c r="A2" t="str">
        <v>BASELINE  EXERCISE MAPPING, THE NUMBER AND DUTY STATIONS OF BASIC EDUCATION TEACHERS</v>
      </c>
    </row>
    <row r="3">
      <c r="G3" t="str">
        <v>PRIMARY</v>
      </c>
      <c r="J3" t="str">
        <v>JSS</v>
      </c>
      <c r="M3" t="str">
        <v>PRIMARY &amp; JSS</v>
      </c>
    </row>
    <row r="4">
      <c r="A4" t="str">
        <v>S/N</v>
      </c>
      <c r="B4" t="str">
        <v>LGEA</v>
      </c>
      <c r="C4" t="str">
        <v>NUMBER OF  PRIMARY SCHOOLS</v>
      </c>
      <c r="D4" t="str">
        <v>FORECASTED ENROLMENT</v>
      </c>
      <c r="G4" t="str">
        <v>NUMBER OF TEACHING STAFF</v>
      </c>
      <c r="J4" t="str">
        <v>NUMBER OF TEACHING STAFF</v>
      </c>
      <c r="N4" t="str">
        <v>NEEDS ASSESSMENT</v>
      </c>
      <c r="T4" t="str">
        <v>SPECIAL SKILLS (ENGLISH AND SCIENCES)</v>
      </c>
      <c r="Y4" t="str">
        <v>ACTUAL COST FOR PROJECTED RECRUITMENT</v>
      </c>
      <c r="Z4" t="str">
        <v>STRATEGY FOR SOURCING  NEW EMPLOYEES</v>
      </c>
    </row>
    <row r="5">
      <c r="D5" t="str">
        <v>MALE</v>
      </c>
      <c r="E5" t="str">
        <v>FEMALE</v>
      </c>
      <c r="F5" t="str">
        <v>TOTAL</v>
      </c>
      <c r="G5" t="str">
        <v>Male</v>
      </c>
      <c r="H5" t="str">
        <v>Female</v>
      </c>
      <c r="I5" t="str">
        <v>TOTAL</v>
      </c>
      <c r="J5" t="str">
        <v>Male</v>
      </c>
      <c r="K5" t="str">
        <v>Female</v>
      </c>
      <c r="L5" t="str">
        <v>TOTAL</v>
      </c>
      <c r="M5" t="str">
        <v>TOTAL</v>
      </c>
      <c r="N5" t="str">
        <v>Maximum Permissible Pupil to Teacher Ratio: 1:40</v>
      </c>
      <c r="O5" t="str">
        <v>100%</v>
      </c>
      <c r="P5" t="str">
        <v>Gaps</v>
      </c>
      <c r="Q5" t="str">
        <v>EXPECTED RECRUITMENT 50%</v>
      </c>
      <c r="R5" t="str">
        <v>NCE</v>
      </c>
      <c r="S5" t="str">
        <v>DEGREE</v>
      </c>
      <c r="T5" t="str">
        <v xml:space="preserve">ENG </v>
      </c>
      <c r="U5" t="str">
        <v xml:space="preserve">CHM </v>
      </c>
      <c r="V5" t="str">
        <v xml:space="preserve">MTH </v>
      </c>
      <c r="W5" t="str">
        <v>PHY</v>
      </c>
      <c r="X5" t="str">
        <v>PROFESSIONAL EDUCATION COURSES</v>
      </c>
    </row>
    <row r="6">
      <c r="A6">
        <v>1</v>
      </c>
      <c r="B6" t="str">
        <v>ADO</v>
      </c>
      <c r="C6">
        <v>95</v>
      </c>
      <c r="D6">
        <v>20015</v>
      </c>
      <c r="E6">
        <v>19945</v>
      </c>
      <c r="F6">
        <v>39960</v>
      </c>
      <c r="G6">
        <v>160.53205128205127</v>
      </c>
      <c r="H6">
        <v>101.60256410256412</v>
      </c>
      <c r="I6">
        <v>262.13461538461536</v>
      </c>
      <c r="J6">
        <v>39.625</v>
      </c>
      <c r="K6">
        <v>15.240384615384617</v>
      </c>
      <c r="L6">
        <v>54.86538461538461</v>
      </c>
      <c r="M6">
        <v>317</v>
      </c>
      <c r="N6">
        <f>F6/40</f>
        <v>999</v>
      </c>
      <c r="O6">
        <v>682</v>
      </c>
      <c r="P6">
        <f>N6-M6</f>
        <v>682</v>
      </c>
      <c r="Q6">
        <v>341</v>
      </c>
      <c r="R6">
        <v>221</v>
      </c>
      <c r="S6">
        <v>120</v>
      </c>
      <c r="T6">
        <v>3</v>
      </c>
      <c r="U6">
        <v>0</v>
      </c>
      <c r="V6">
        <v>1</v>
      </c>
      <c r="W6">
        <v>0</v>
      </c>
      <c r="X6">
        <v>337</v>
      </c>
      <c r="Y6">
        <v>29778321.876819998</v>
      </c>
      <c r="Z6" t="str">
        <v>Internal, External &amp; Both</v>
      </c>
    </row>
    <row r="7">
      <c r="A7">
        <v>2</v>
      </c>
      <c r="B7" t="str">
        <v>AGATU</v>
      </c>
      <c r="C7">
        <v>92</v>
      </c>
      <c r="D7">
        <v>24678</v>
      </c>
      <c r="E7">
        <v>21482</v>
      </c>
      <c r="F7">
        <v>46160</v>
      </c>
      <c r="G7">
        <v>327.2667682926829</v>
      </c>
      <c r="H7">
        <v>187.7423780487805</v>
      </c>
      <c r="I7">
        <v>515.0091463414634</v>
      </c>
      <c r="J7">
        <v>136.44664634146343</v>
      </c>
      <c r="K7">
        <v>21.54420731707317</v>
      </c>
      <c r="L7">
        <v>157.99085365853657</v>
      </c>
      <c r="M7">
        <v>673</v>
      </c>
      <c r="N7">
        <f>F7/40</f>
        <v>1154</v>
      </c>
      <c r="O7">
        <v>481</v>
      </c>
      <c r="P7">
        <f>N7-M7</f>
        <v>481</v>
      </c>
      <c r="Q7">
        <v>240.5</v>
      </c>
      <c r="R7">
        <v>160</v>
      </c>
      <c r="S7">
        <v>81</v>
      </c>
      <c r="T7">
        <v>1</v>
      </c>
      <c r="U7">
        <v>3</v>
      </c>
      <c r="V7">
        <v>4</v>
      </c>
      <c r="W7">
        <v>0</v>
      </c>
      <c r="X7">
        <v>232.5</v>
      </c>
      <c r="Y7">
        <v>66056113.05061999</v>
      </c>
      <c r="Z7" t="str">
        <v>Internal, External &amp; Both</v>
      </c>
    </row>
    <row r="8">
      <c r="A8">
        <v>3</v>
      </c>
      <c r="B8" t="str">
        <v>APA</v>
      </c>
      <c r="C8">
        <v>95</v>
      </c>
      <c r="D8">
        <v>23458</v>
      </c>
      <c r="E8">
        <v>22062</v>
      </c>
      <c r="F8">
        <v>45520</v>
      </c>
      <c r="G8">
        <v>291.7567567567568</v>
      </c>
      <c r="H8">
        <v>258.44594594594594</v>
      </c>
      <c r="I8">
        <v>550.2027027027027</v>
      </c>
      <c r="J8">
        <v>98.78378378378378</v>
      </c>
      <c r="K8">
        <v>31.013513513513512</v>
      </c>
      <c r="L8">
        <v>129.7972972972973</v>
      </c>
      <c r="M8">
        <v>680</v>
      </c>
      <c r="N8">
        <f>F8/40</f>
        <v>1138</v>
      </c>
      <c r="O8">
        <v>458</v>
      </c>
      <c r="P8">
        <f>N8-M8</f>
        <v>458</v>
      </c>
      <c r="Q8">
        <v>229</v>
      </c>
      <c r="R8">
        <v>155</v>
      </c>
      <c r="S8">
        <v>74</v>
      </c>
      <c r="T8">
        <v>2</v>
      </c>
      <c r="U8">
        <v>1</v>
      </c>
      <c r="V8">
        <v>3</v>
      </c>
      <c r="W8">
        <v>0</v>
      </c>
      <c r="X8">
        <v>223</v>
      </c>
      <c r="Y8">
        <v>69118271.34652</v>
      </c>
      <c r="Z8" t="str">
        <v>Internal, External &amp; Both</v>
      </c>
    </row>
    <row r="9">
      <c r="A9">
        <v>4</v>
      </c>
      <c r="B9" t="str">
        <v>BURUKU</v>
      </c>
      <c r="C9">
        <v>137</v>
      </c>
      <c r="D9">
        <v>34356</v>
      </c>
      <c r="E9">
        <v>31244</v>
      </c>
      <c r="F9">
        <v>65600</v>
      </c>
      <c r="G9">
        <v>178.25877192982455</v>
      </c>
      <c r="H9">
        <v>119.45175438596492</v>
      </c>
      <c r="I9">
        <v>297.7105263157895</v>
      </c>
      <c r="J9">
        <v>106.58771929824562</v>
      </c>
      <c r="K9">
        <v>14.701754385964911</v>
      </c>
      <c r="L9">
        <v>121.28947368421053</v>
      </c>
      <c r="M9">
        <v>419</v>
      </c>
      <c r="N9">
        <f>F9/40</f>
        <v>1640</v>
      </c>
      <c r="O9">
        <v>1221</v>
      </c>
      <c r="P9">
        <f>N9-M9</f>
        <v>1221</v>
      </c>
      <c r="Q9">
        <v>610.5</v>
      </c>
      <c r="R9">
        <v>442</v>
      </c>
      <c r="S9">
        <v>169</v>
      </c>
      <c r="T9">
        <v>11</v>
      </c>
      <c r="U9">
        <v>4</v>
      </c>
      <c r="V9">
        <v>5</v>
      </c>
      <c r="W9">
        <v>2</v>
      </c>
      <c r="X9">
        <v>588.5</v>
      </c>
      <c r="Y9">
        <v>37421482.81299999</v>
      </c>
      <c r="Z9" t="str">
        <v>Internal, External &amp; Both</v>
      </c>
    </row>
    <row r="10">
      <c r="A10">
        <v>5</v>
      </c>
      <c r="B10" t="str">
        <v>GBOKO</v>
      </c>
      <c r="C10">
        <v>187</v>
      </c>
      <c r="D10">
        <v>39870</v>
      </c>
      <c r="E10">
        <v>43170</v>
      </c>
      <c r="F10">
        <v>83040</v>
      </c>
      <c r="G10">
        <v>232.07301173402868</v>
      </c>
      <c r="H10">
        <v>320.2607561929596</v>
      </c>
      <c r="I10">
        <v>552.3337679269882</v>
      </c>
      <c r="J10">
        <v>94.6857887874837</v>
      </c>
      <c r="K10">
        <v>64.98044328552804</v>
      </c>
      <c r="L10">
        <v>159.66623207301174</v>
      </c>
      <c r="M10">
        <v>712</v>
      </c>
      <c r="N10">
        <f>F10/40</f>
        <v>2076</v>
      </c>
      <c r="O10">
        <v>1364</v>
      </c>
      <c r="P10">
        <f>N10-M10</f>
        <v>1364</v>
      </c>
      <c r="Q10">
        <v>682</v>
      </c>
      <c r="R10">
        <v>471</v>
      </c>
      <c r="S10">
        <v>211</v>
      </c>
      <c r="T10">
        <v>16</v>
      </c>
      <c r="U10">
        <v>3</v>
      </c>
      <c r="V10">
        <v>0</v>
      </c>
      <c r="W10">
        <v>1</v>
      </c>
      <c r="X10">
        <v>662</v>
      </c>
      <c r="Y10">
        <v>64059469.09537998</v>
      </c>
      <c r="Z10" t="str">
        <v>Internal, External &amp; Both</v>
      </c>
    </row>
    <row r="11">
      <c r="A11">
        <v>6</v>
      </c>
      <c r="B11" t="str">
        <v>GUMA</v>
      </c>
      <c r="C11">
        <v>119</v>
      </c>
      <c r="D11">
        <v>27958</v>
      </c>
      <c r="E11">
        <v>22602</v>
      </c>
      <c r="F11">
        <v>50560</v>
      </c>
      <c r="G11">
        <v>187.88724035608308</v>
      </c>
      <c r="H11">
        <v>89.32344213649851</v>
      </c>
      <c r="I11">
        <v>277.2106824925816</v>
      </c>
      <c r="J11">
        <v>57.495548961424326</v>
      </c>
      <c r="K11">
        <v>11.293768545994066</v>
      </c>
      <c r="L11">
        <v>68.7893175074184</v>
      </c>
      <c r="M11">
        <v>346</v>
      </c>
      <c r="N11">
        <f>F11/40</f>
        <v>1264</v>
      </c>
      <c r="O11">
        <v>918</v>
      </c>
      <c r="P11">
        <f>N11-M11</f>
        <v>918</v>
      </c>
      <c r="Q11">
        <v>459</v>
      </c>
      <c r="R11">
        <v>277</v>
      </c>
      <c r="S11">
        <v>182</v>
      </c>
      <c r="T11">
        <v>11</v>
      </c>
      <c r="U11">
        <v>1</v>
      </c>
      <c r="V11">
        <v>2</v>
      </c>
      <c r="W11">
        <v>0</v>
      </c>
      <c r="X11">
        <v>445</v>
      </c>
      <c r="Y11">
        <v>34708742.94778</v>
      </c>
      <c r="Z11" t="str">
        <v>Internal, External &amp; Both</v>
      </c>
    </row>
    <row r="12">
      <c r="A12">
        <v>7</v>
      </c>
      <c r="B12" t="str">
        <v>GWER-EAST</v>
      </c>
      <c r="C12">
        <v>120</v>
      </c>
      <c r="D12">
        <v>26465</v>
      </c>
      <c r="E12">
        <v>23975</v>
      </c>
      <c r="F12">
        <v>50440</v>
      </c>
      <c r="G12">
        <v>257.46564885496184</v>
      </c>
      <c r="H12">
        <v>184.793893129771</v>
      </c>
      <c r="I12">
        <v>442.2595419847328</v>
      </c>
      <c r="J12">
        <v>85.12977099236642</v>
      </c>
      <c r="K12">
        <v>16.610687022900763</v>
      </c>
      <c r="L12">
        <v>101.74045801526718</v>
      </c>
      <c r="M12">
        <v>544</v>
      </c>
      <c r="N12">
        <f>F12/40</f>
        <v>1261</v>
      </c>
      <c r="O12">
        <v>717</v>
      </c>
      <c r="P12">
        <f>N12-M12</f>
        <v>717</v>
      </c>
      <c r="Q12">
        <v>358.5</v>
      </c>
      <c r="R12">
        <v>213</v>
      </c>
      <c r="S12">
        <v>145</v>
      </c>
      <c r="T12">
        <v>9</v>
      </c>
      <c r="U12">
        <v>1</v>
      </c>
      <c r="V12">
        <v>2</v>
      </c>
      <c r="W12">
        <v>2</v>
      </c>
      <c r="X12">
        <v>344.5</v>
      </c>
      <c r="Y12">
        <v>45786155.05398001</v>
      </c>
      <c r="Z12" t="str">
        <v>Internal, External &amp; Both</v>
      </c>
    </row>
    <row r="13">
      <c r="A13">
        <v>8</v>
      </c>
      <c r="B13" t="str">
        <v>GWER-WEST</v>
      </c>
      <c r="C13">
        <v>109</v>
      </c>
      <c r="D13">
        <v>23371</v>
      </c>
      <c r="E13">
        <v>19269</v>
      </c>
      <c r="F13">
        <v>42640</v>
      </c>
      <c r="G13">
        <v>185.7142857142857</v>
      </c>
      <c r="H13">
        <v>85.11904761904762</v>
      </c>
      <c r="I13">
        <v>270.83333333333337</v>
      </c>
      <c r="J13">
        <v>50.29761904761905</v>
      </c>
      <c r="K13">
        <v>3.8690476190476186</v>
      </c>
      <c r="L13">
        <v>54.166666666666664</v>
      </c>
      <c r="M13">
        <v>325.00000000000006</v>
      </c>
      <c r="N13">
        <f>F13/40</f>
        <v>1066</v>
      </c>
      <c r="O13">
        <v>741</v>
      </c>
      <c r="P13">
        <f>N13-M13</f>
        <v>741</v>
      </c>
      <c r="Q13">
        <v>370.5</v>
      </c>
      <c r="R13">
        <v>274</v>
      </c>
      <c r="S13">
        <v>97</v>
      </c>
      <c r="T13">
        <v>3</v>
      </c>
      <c r="U13">
        <v>2</v>
      </c>
      <c r="V13">
        <v>2</v>
      </c>
      <c r="W13">
        <v>2</v>
      </c>
      <c r="X13">
        <v>361.5</v>
      </c>
      <c r="Y13">
        <v>31549295.837400004</v>
      </c>
      <c r="Z13" t="str">
        <v>Internal, External &amp; Both</v>
      </c>
    </row>
    <row r="14">
      <c r="A14">
        <v>9</v>
      </c>
      <c r="B14" t="str">
        <v>KATSINA-ALA</v>
      </c>
      <c r="C14">
        <v>189</v>
      </c>
      <c r="D14">
        <v>46000</v>
      </c>
      <c r="E14">
        <v>41000</v>
      </c>
      <c r="F14">
        <v>87000</v>
      </c>
      <c r="G14">
        <v>357.63237139272275</v>
      </c>
      <c r="H14">
        <v>232.51317440401505</v>
      </c>
      <c r="I14">
        <v>590.1455457967378</v>
      </c>
      <c r="J14">
        <v>134.50313676286072</v>
      </c>
      <c r="K14">
        <v>106.3513174404015</v>
      </c>
      <c r="L14">
        <v>240.85445420326224</v>
      </c>
      <c r="M14">
        <v>831</v>
      </c>
      <c r="N14">
        <f>F14/40</f>
        <v>2175</v>
      </c>
      <c r="O14">
        <v>1344</v>
      </c>
      <c r="P14">
        <f>N14-M14</f>
        <v>1344</v>
      </c>
      <c r="Q14">
        <v>672</v>
      </c>
      <c r="R14">
        <v>508</v>
      </c>
      <c r="S14">
        <v>164</v>
      </c>
      <c r="T14">
        <v>3</v>
      </c>
      <c r="U14">
        <v>1</v>
      </c>
      <c r="V14">
        <v>2</v>
      </c>
      <c r="W14">
        <v>1</v>
      </c>
      <c r="X14">
        <v>665</v>
      </c>
      <c r="Y14">
        <v>76423438.78686002</v>
      </c>
      <c r="Z14" t="str">
        <v>Internal, External &amp; Both</v>
      </c>
    </row>
    <row r="15">
      <c r="A15">
        <v>10</v>
      </c>
      <c r="B15" t="str">
        <v>KONSHISHA</v>
      </c>
      <c r="C15">
        <v>144</v>
      </c>
      <c r="D15">
        <v>33583</v>
      </c>
      <c r="E15">
        <v>30377</v>
      </c>
      <c r="F15">
        <v>63960</v>
      </c>
      <c r="G15">
        <v>251.3793103448276</v>
      </c>
      <c r="H15">
        <v>106.55172413793105</v>
      </c>
      <c r="I15">
        <v>357.9310344827586</v>
      </c>
      <c r="J15">
        <v>49.6551724137931</v>
      </c>
      <c r="K15">
        <v>12.413793103448276</v>
      </c>
      <c r="L15">
        <v>62.06896551724139</v>
      </c>
      <c r="M15">
        <v>420</v>
      </c>
      <c r="N15">
        <f>F15/40</f>
        <v>1599</v>
      </c>
      <c r="O15">
        <v>1179</v>
      </c>
      <c r="P15">
        <f>N15-M15</f>
        <v>1179</v>
      </c>
      <c r="Q15">
        <v>589.5</v>
      </c>
      <c r="R15">
        <v>355</v>
      </c>
      <c r="S15">
        <v>235</v>
      </c>
      <c r="T15">
        <v>14</v>
      </c>
      <c r="U15">
        <v>2</v>
      </c>
      <c r="V15">
        <v>5</v>
      </c>
      <c r="W15">
        <v>2</v>
      </c>
      <c r="X15">
        <v>566.5</v>
      </c>
      <c r="Y15">
        <v>40110015.27412</v>
      </c>
      <c r="Z15" t="str">
        <v>Internal, External &amp; Both</v>
      </c>
    </row>
    <row r="16">
      <c r="A16">
        <v>11</v>
      </c>
      <c r="B16" t="str">
        <v>KWANDE</v>
      </c>
      <c r="C16">
        <v>197</v>
      </c>
      <c r="D16">
        <v>47076</v>
      </c>
      <c r="E16">
        <v>42964</v>
      </c>
      <c r="F16">
        <v>90040</v>
      </c>
      <c r="G16">
        <v>348.6966966966967</v>
      </c>
      <c r="H16">
        <v>458.91691691691693</v>
      </c>
      <c r="I16">
        <v>807.6136136136137</v>
      </c>
      <c r="J16">
        <v>117.23423423423424</v>
      </c>
      <c r="K16">
        <v>76.15215215215215</v>
      </c>
      <c r="L16">
        <v>193.3863863863864</v>
      </c>
      <c r="M16">
        <v>1001</v>
      </c>
      <c r="N16">
        <f>F16/40</f>
        <v>2251</v>
      </c>
      <c r="O16">
        <v>1250</v>
      </c>
      <c r="P16">
        <f>N16-M16</f>
        <v>1250</v>
      </c>
      <c r="Q16">
        <v>625</v>
      </c>
      <c r="R16">
        <v>353</v>
      </c>
      <c r="S16">
        <v>272</v>
      </c>
      <c r="T16">
        <v>12</v>
      </c>
      <c r="U16">
        <v>5</v>
      </c>
      <c r="V16">
        <v>2</v>
      </c>
      <c r="W16">
        <v>2</v>
      </c>
      <c r="X16">
        <v>604</v>
      </c>
      <c r="Y16">
        <v>90786120.85224003</v>
      </c>
      <c r="Z16" t="str">
        <v>Internal, External &amp; Both</v>
      </c>
    </row>
    <row r="17">
      <c r="A17">
        <v>12</v>
      </c>
      <c r="B17" t="str">
        <v>LOGO</v>
      </c>
      <c r="C17">
        <v>153</v>
      </c>
      <c r="D17">
        <v>32283</v>
      </c>
      <c r="E17">
        <v>28397</v>
      </c>
      <c r="F17">
        <v>60680</v>
      </c>
      <c r="G17">
        <v>179.33118971061091</v>
      </c>
      <c r="H17">
        <v>76.05144694533762</v>
      </c>
      <c r="I17">
        <v>255.38263665594857</v>
      </c>
      <c r="J17">
        <v>32.861736334405144</v>
      </c>
      <c r="K17">
        <v>3.755627009646302</v>
      </c>
      <c r="L17">
        <v>36.61736334405145</v>
      </c>
      <c r="M17">
        <v>292</v>
      </c>
      <c r="N17">
        <f>F17/40</f>
        <v>1517</v>
      </c>
      <c r="O17">
        <v>1225</v>
      </c>
      <c r="P17">
        <f>N17-M17</f>
        <v>1225</v>
      </c>
      <c r="Q17">
        <v>612.5</v>
      </c>
      <c r="R17">
        <v>389</v>
      </c>
      <c r="S17">
        <v>223</v>
      </c>
      <c r="T17">
        <v>3</v>
      </c>
      <c r="U17">
        <v>1</v>
      </c>
      <c r="V17">
        <v>2</v>
      </c>
      <c r="W17">
        <v>2</v>
      </c>
      <c r="X17">
        <v>604.5</v>
      </c>
      <c r="Y17">
        <v>27661330.60108</v>
      </c>
      <c r="Z17" t="str">
        <v>Internal, External &amp; Both</v>
      </c>
    </row>
    <row r="18">
      <c r="A18">
        <v>13</v>
      </c>
      <c r="B18" t="str">
        <v>MAKURDI</v>
      </c>
      <c r="C18">
        <v>70</v>
      </c>
      <c r="D18">
        <v>27148</v>
      </c>
      <c r="E18">
        <v>28092</v>
      </c>
      <c r="F18">
        <v>55240</v>
      </c>
      <c r="G18">
        <v>158.3560460652591</v>
      </c>
      <c r="H18">
        <v>518.4395393474088</v>
      </c>
      <c r="I18">
        <v>676.795585412668</v>
      </c>
      <c r="J18">
        <v>154.3214971209213</v>
      </c>
      <c r="K18">
        <v>219.88291746641076</v>
      </c>
      <c r="L18">
        <v>374.20441458733205</v>
      </c>
      <c r="M18">
        <v>1051</v>
      </c>
      <c r="N18">
        <f>F18/40</f>
        <v>1381</v>
      </c>
      <c r="O18">
        <v>330</v>
      </c>
      <c r="P18">
        <f>N18-M18</f>
        <v>330</v>
      </c>
      <c r="Q18">
        <v>165</v>
      </c>
      <c r="R18">
        <v>115</v>
      </c>
      <c r="S18">
        <v>50</v>
      </c>
      <c r="T18">
        <v>5</v>
      </c>
      <c r="U18">
        <v>1</v>
      </c>
      <c r="V18">
        <v>2</v>
      </c>
      <c r="W18">
        <v>0</v>
      </c>
      <c r="X18">
        <v>157</v>
      </c>
      <c r="Y18">
        <v>95419996.78068</v>
      </c>
      <c r="Z18" t="str">
        <v>Internal, External &amp; Both</v>
      </c>
    </row>
    <row r="19">
      <c r="A19">
        <v>14</v>
      </c>
      <c r="B19" t="str">
        <v>OBI</v>
      </c>
      <c r="C19">
        <v>61</v>
      </c>
      <c r="D19">
        <v>16119</v>
      </c>
      <c r="E19">
        <v>13841</v>
      </c>
      <c r="F19">
        <v>29960</v>
      </c>
      <c r="G19">
        <v>107.14814814814814</v>
      </c>
      <c r="H19">
        <v>71.4320987654321</v>
      </c>
      <c r="I19">
        <v>178.58024691358025</v>
      </c>
      <c r="J19">
        <v>71.4320987654321</v>
      </c>
      <c r="K19">
        <v>12.987654320987653</v>
      </c>
      <c r="L19">
        <v>84.41975308641975</v>
      </c>
      <c r="M19">
        <v>263</v>
      </c>
      <c r="N19">
        <f>F19/40</f>
        <v>749</v>
      </c>
      <c r="O19">
        <v>486</v>
      </c>
      <c r="P19">
        <f>N19-M19</f>
        <v>486</v>
      </c>
      <c r="Q19">
        <v>243</v>
      </c>
      <c r="R19">
        <v>161</v>
      </c>
      <c r="S19">
        <v>82</v>
      </c>
      <c r="T19">
        <v>3</v>
      </c>
      <c r="U19">
        <v>0</v>
      </c>
      <c r="V19">
        <v>1</v>
      </c>
      <c r="W19">
        <v>2</v>
      </c>
      <c r="X19">
        <v>237</v>
      </c>
      <c r="Y19">
        <v>29382322.20748</v>
      </c>
      <c r="Z19" t="str">
        <v>Internal, External &amp; Both</v>
      </c>
    </row>
    <row r="20">
      <c r="A20">
        <v>15</v>
      </c>
      <c r="B20" t="str">
        <v>OGBADIBO</v>
      </c>
      <c r="C20">
        <v>106</v>
      </c>
      <c r="D20">
        <v>23688</v>
      </c>
      <c r="E20">
        <v>23712</v>
      </c>
      <c r="F20">
        <v>47400</v>
      </c>
      <c r="G20">
        <v>143.69928400954652</v>
      </c>
      <c r="H20">
        <v>244.82100238663483</v>
      </c>
      <c r="I20">
        <v>388.5202863961814</v>
      </c>
      <c r="J20">
        <v>24.482100238663485</v>
      </c>
      <c r="K20">
        <v>32.99761336515513</v>
      </c>
      <c r="L20">
        <v>57.479713603818624</v>
      </c>
      <c r="M20">
        <v>446</v>
      </c>
      <c r="N20">
        <f>F20/40</f>
        <v>1185</v>
      </c>
      <c r="O20">
        <v>739</v>
      </c>
      <c r="P20">
        <f>N20-M20</f>
        <v>739</v>
      </c>
      <c r="Q20">
        <v>369.5</v>
      </c>
      <c r="R20">
        <v>183</v>
      </c>
      <c r="S20">
        <v>186</v>
      </c>
      <c r="T20">
        <v>11</v>
      </c>
      <c r="U20">
        <v>1</v>
      </c>
      <c r="V20">
        <v>3</v>
      </c>
      <c r="W20">
        <v>2</v>
      </c>
      <c r="X20">
        <v>352.5</v>
      </c>
      <c r="Y20">
        <v>44961176.63972001</v>
      </c>
      <c r="Z20" t="str">
        <v>Internal, External &amp; Both</v>
      </c>
    </row>
    <row r="21">
      <c r="A21">
        <v>16</v>
      </c>
      <c r="B21" t="str">
        <v>OHIMINI</v>
      </c>
      <c r="C21">
        <v>49</v>
      </c>
      <c r="D21">
        <v>12098</v>
      </c>
      <c r="E21">
        <v>10302</v>
      </c>
      <c r="F21">
        <v>22400</v>
      </c>
      <c r="G21">
        <v>128.46774193548387</v>
      </c>
      <c r="H21">
        <v>142.74193548387098</v>
      </c>
      <c r="I21">
        <v>271.2096774193548</v>
      </c>
      <c r="J21">
        <v>14.274193548387096</v>
      </c>
      <c r="K21">
        <v>9.516129032258064</v>
      </c>
      <c r="L21">
        <v>23.79032258064516</v>
      </c>
      <c r="M21">
        <v>295</v>
      </c>
      <c r="N21">
        <f>F21/40</f>
        <v>560</v>
      </c>
      <c r="O21">
        <v>265</v>
      </c>
      <c r="P21">
        <f>N21-M21</f>
        <v>265</v>
      </c>
      <c r="Q21">
        <v>132.5</v>
      </c>
      <c r="R21">
        <v>81</v>
      </c>
      <c r="S21">
        <v>52</v>
      </c>
      <c r="T21">
        <v>1</v>
      </c>
      <c r="U21">
        <v>1</v>
      </c>
      <c r="V21">
        <v>0</v>
      </c>
      <c r="W21">
        <v>1</v>
      </c>
      <c r="X21">
        <v>129.5</v>
      </c>
      <c r="Y21">
        <v>28623715.588819996</v>
      </c>
      <c r="Z21" t="str">
        <v>Internal, External &amp; Both</v>
      </c>
    </row>
    <row r="22">
      <c r="A22">
        <v>17</v>
      </c>
      <c r="B22" t="str">
        <v>OJU</v>
      </c>
      <c r="C22">
        <v>105</v>
      </c>
      <c r="D22">
        <v>28815</v>
      </c>
      <c r="E22">
        <v>27705</v>
      </c>
      <c r="F22">
        <v>56520</v>
      </c>
      <c r="G22">
        <v>238.98573692551506</v>
      </c>
      <c r="H22">
        <v>273.63866877971475</v>
      </c>
      <c r="I22">
        <v>512.6244057052298</v>
      </c>
      <c r="J22">
        <v>166.09508716323296</v>
      </c>
      <c r="K22">
        <v>75.28050713153723</v>
      </c>
      <c r="L22">
        <v>241.37559429477022</v>
      </c>
      <c r="M22">
        <v>754</v>
      </c>
      <c r="N22">
        <f>F22/40</f>
        <v>1413</v>
      </c>
      <c r="O22">
        <v>659</v>
      </c>
      <c r="P22">
        <f>N22-M22</f>
        <v>659</v>
      </c>
      <c r="Q22">
        <v>329.5</v>
      </c>
      <c r="R22">
        <v>233</v>
      </c>
      <c r="S22">
        <v>96</v>
      </c>
      <c r="T22">
        <v>8</v>
      </c>
      <c r="U22">
        <v>2</v>
      </c>
      <c r="V22">
        <v>2</v>
      </c>
      <c r="W22">
        <v>1</v>
      </c>
      <c r="X22">
        <v>316.5</v>
      </c>
      <c r="Y22">
        <v>59634698.64924002</v>
      </c>
      <c r="Z22" t="str">
        <v>Internal, External &amp; Both</v>
      </c>
    </row>
    <row r="23">
      <c r="A23">
        <v>18</v>
      </c>
      <c r="B23" t="str">
        <v>OKPOKWU</v>
      </c>
      <c r="C23">
        <v>120</v>
      </c>
      <c r="D23">
        <v>25913</v>
      </c>
      <c r="E23">
        <v>26207</v>
      </c>
      <c r="F23">
        <v>52120</v>
      </c>
      <c r="G23">
        <v>156.50420168067228</v>
      </c>
      <c r="H23">
        <v>192.36974789915968</v>
      </c>
      <c r="I23">
        <v>348.87394957983196</v>
      </c>
      <c r="J23">
        <v>21.73669467787115</v>
      </c>
      <c r="K23">
        <v>17.389355742296917</v>
      </c>
      <c r="L23">
        <v>39.12605042016807</v>
      </c>
      <c r="M23">
        <v>388</v>
      </c>
      <c r="N23">
        <f>F23/40</f>
        <v>1303</v>
      </c>
      <c r="O23">
        <v>915</v>
      </c>
      <c r="P23">
        <f>N23-M23</f>
        <v>915</v>
      </c>
      <c r="Q23">
        <v>457.5</v>
      </c>
      <c r="R23">
        <v>247</v>
      </c>
      <c r="S23">
        <v>210</v>
      </c>
      <c r="T23">
        <v>2</v>
      </c>
      <c r="U23">
        <v>4</v>
      </c>
      <c r="V23">
        <v>4</v>
      </c>
      <c r="W23">
        <v>2</v>
      </c>
      <c r="X23">
        <v>445.5</v>
      </c>
      <c r="Y23">
        <v>39222627.29462001</v>
      </c>
      <c r="Z23" t="str">
        <v>Internal, External &amp; Both</v>
      </c>
    </row>
    <row r="24">
      <c r="A24">
        <v>19</v>
      </c>
      <c r="B24" t="str">
        <v>OTUKPO</v>
      </c>
      <c r="C24">
        <v>125</v>
      </c>
      <c r="D24">
        <v>27303</v>
      </c>
      <c r="E24">
        <v>26257</v>
      </c>
      <c r="F24">
        <v>53560</v>
      </c>
      <c r="G24">
        <v>146.82675814751286</v>
      </c>
      <c r="H24">
        <v>290.9005145797599</v>
      </c>
      <c r="I24">
        <v>437.72727272727275</v>
      </c>
      <c r="J24">
        <v>33.95368782161235</v>
      </c>
      <c r="K24">
        <v>63.31903945111492</v>
      </c>
      <c r="L24">
        <v>97.27272727272728</v>
      </c>
      <c r="M24">
        <v>535</v>
      </c>
      <c r="N24">
        <f>F24/40</f>
        <v>1339</v>
      </c>
      <c r="O24">
        <v>804</v>
      </c>
      <c r="P24">
        <f>N24-M24</f>
        <v>804</v>
      </c>
      <c r="Q24">
        <v>402</v>
      </c>
      <c r="R24">
        <v>222</v>
      </c>
      <c r="S24">
        <v>180</v>
      </c>
      <c r="T24">
        <v>12</v>
      </c>
      <c r="U24">
        <v>2</v>
      </c>
      <c r="V24">
        <v>6</v>
      </c>
      <c r="W24">
        <v>0</v>
      </c>
      <c r="X24">
        <v>382</v>
      </c>
      <c r="Y24">
        <v>50853582.266959995</v>
      </c>
      <c r="Z24" t="str">
        <v>Internal, External &amp; Both</v>
      </c>
    </row>
    <row r="25">
      <c r="A25">
        <v>20</v>
      </c>
      <c r="B25" t="str">
        <v>TARKA</v>
      </c>
      <c r="C25">
        <v>70</v>
      </c>
      <c r="D25">
        <v>14325</v>
      </c>
      <c r="E25">
        <v>14475</v>
      </c>
      <c r="F25">
        <v>28800</v>
      </c>
      <c r="G25">
        <v>135.1509433962264</v>
      </c>
      <c r="H25">
        <v>65.24528301886792</v>
      </c>
      <c r="I25">
        <v>200.39622641509436</v>
      </c>
      <c r="J25">
        <v>37.283018867924525</v>
      </c>
      <c r="K25">
        <v>9.320754716981131</v>
      </c>
      <c r="L25">
        <v>46.60377358490566</v>
      </c>
      <c r="M25">
        <v>247.00000000000003</v>
      </c>
      <c r="N25">
        <f>F25/40</f>
        <v>720</v>
      </c>
      <c r="O25">
        <v>473</v>
      </c>
      <c r="P25">
        <f>N25-M25</f>
        <v>473</v>
      </c>
      <c r="Q25">
        <v>236.5</v>
      </c>
      <c r="R25">
        <v>163</v>
      </c>
      <c r="S25">
        <v>74</v>
      </c>
      <c r="T25">
        <v>10</v>
      </c>
      <c r="U25">
        <v>1</v>
      </c>
      <c r="V25">
        <v>3</v>
      </c>
      <c r="W25">
        <v>0</v>
      </c>
      <c r="X25">
        <v>222.5</v>
      </c>
      <c r="Y25">
        <v>21944103.005439997</v>
      </c>
      <c r="Z25" t="str">
        <v>Internal, External &amp; Both</v>
      </c>
    </row>
    <row r="26">
      <c r="A26">
        <v>21</v>
      </c>
      <c r="B26" t="str">
        <v>UKUM</v>
      </c>
      <c r="C26">
        <v>175</v>
      </c>
      <c r="D26">
        <v>35878</v>
      </c>
      <c r="E26">
        <v>34442</v>
      </c>
      <c r="F26">
        <v>70320</v>
      </c>
      <c r="G26">
        <v>400.87866108786613</v>
      </c>
      <c r="H26">
        <v>229.3584379358438</v>
      </c>
      <c r="I26">
        <v>630.2370990237099</v>
      </c>
      <c r="J26">
        <v>71.79916317991632</v>
      </c>
      <c r="K26">
        <v>12.96373779637378</v>
      </c>
      <c r="L26">
        <v>84.7629009762901</v>
      </c>
      <c r="M26">
        <v>715</v>
      </c>
      <c r="N26">
        <f>F26/40</f>
        <v>1758</v>
      </c>
      <c r="O26">
        <v>1043</v>
      </c>
      <c r="P26">
        <f>N26-M26</f>
        <v>1043</v>
      </c>
      <c r="Q26">
        <v>521.5</v>
      </c>
      <c r="R26">
        <v>347</v>
      </c>
      <c r="S26">
        <v>175</v>
      </c>
      <c r="T26">
        <v>11</v>
      </c>
      <c r="U26">
        <v>1</v>
      </c>
      <c r="V26">
        <v>8</v>
      </c>
      <c r="W26">
        <v>2</v>
      </c>
      <c r="X26">
        <v>499.5</v>
      </c>
      <c r="Y26">
        <v>60844965.378340006</v>
      </c>
      <c r="Z26" t="str">
        <v>Internal, External &amp; Both</v>
      </c>
    </row>
    <row r="27">
      <c r="A27">
        <v>22</v>
      </c>
      <c r="B27" t="str">
        <v>USHONGO</v>
      </c>
      <c r="C27">
        <v>128</v>
      </c>
      <c r="D27">
        <v>32005</v>
      </c>
      <c r="E27">
        <v>28115</v>
      </c>
      <c r="F27">
        <v>60120</v>
      </c>
      <c r="G27">
        <v>187.27397260273972</v>
      </c>
      <c r="H27">
        <v>161.0958904109589</v>
      </c>
      <c r="I27">
        <v>348.36986301369865</v>
      </c>
      <c r="J27">
        <v>75.51369863013699</v>
      </c>
      <c r="K27">
        <v>17.116438356164384</v>
      </c>
      <c r="L27">
        <v>92.63013698630137</v>
      </c>
      <c r="M27">
        <v>441</v>
      </c>
      <c r="N27">
        <f>F27/40</f>
        <v>1503</v>
      </c>
      <c r="O27">
        <v>1062</v>
      </c>
      <c r="P27">
        <f>N27-M27</f>
        <v>1062</v>
      </c>
      <c r="Q27">
        <v>531</v>
      </c>
      <c r="R27">
        <v>303</v>
      </c>
      <c r="S27">
        <v>228</v>
      </c>
      <c r="T27">
        <v>17</v>
      </c>
      <c r="U27">
        <v>3</v>
      </c>
      <c r="V27">
        <v>9</v>
      </c>
      <c r="W27">
        <v>0</v>
      </c>
      <c r="X27">
        <v>502</v>
      </c>
      <c r="Y27">
        <v>41333333.86929998</v>
      </c>
      <c r="Z27" t="str">
        <v>Internal, External &amp; Both</v>
      </c>
    </row>
    <row r="28">
      <c r="A28">
        <v>23</v>
      </c>
      <c r="B28" t="str">
        <v>VANDEIKYA</v>
      </c>
      <c r="C28">
        <v>133</v>
      </c>
      <c r="D28">
        <v>32808</v>
      </c>
      <c r="E28">
        <v>29352</v>
      </c>
      <c r="F28">
        <v>62160</v>
      </c>
      <c r="G28">
        <v>225.7377049180328</v>
      </c>
      <c r="H28">
        <v>161.36065573770492</v>
      </c>
      <c r="I28">
        <v>387.0983606557377</v>
      </c>
      <c r="J28">
        <v>98.65573770491804</v>
      </c>
      <c r="K28">
        <v>24.24590163934426</v>
      </c>
      <c r="L28">
        <v>122.90163934426229</v>
      </c>
      <c r="M28">
        <v>510</v>
      </c>
      <c r="N28">
        <f>F28/40</f>
        <v>1554</v>
      </c>
      <c r="O28">
        <v>1044</v>
      </c>
      <c r="P28">
        <f>N28-M28</f>
        <v>1044</v>
      </c>
      <c r="Q28">
        <v>522</v>
      </c>
      <c r="R28">
        <v>300</v>
      </c>
      <c r="S28">
        <v>222</v>
      </c>
      <c r="T28">
        <v>19</v>
      </c>
      <c r="U28">
        <v>4</v>
      </c>
      <c r="V28">
        <v>3</v>
      </c>
      <c r="W28">
        <v>4</v>
      </c>
      <c r="X28">
        <v>492</v>
      </c>
      <c r="Y28">
        <v>44704310.765839994</v>
      </c>
      <c r="Z28" t="str">
        <v>Internal, External &amp; Both</v>
      </c>
    </row>
    <row r="29">
      <c r="B29" t="str">
        <v>GRAND TOTAL</v>
      </c>
      <c r="C29">
        <v>2779</v>
      </c>
      <c r="D29">
        <v>707375</v>
      </c>
      <c r="E29">
        <v>652945</v>
      </c>
      <c r="F29">
        <v>1360320</v>
      </c>
      <c r="G29">
        <v>4994.059853893409</v>
      </c>
      <c r="H29">
        <v>4566.489706126516</v>
      </c>
      <c r="I29">
        <v>9560.549560019923</v>
      </c>
      <c r="J29">
        <v>1773.0989540096296</v>
      </c>
      <c r="K29">
        <v>871.3514859704467</v>
      </c>
      <c r="L29">
        <v>2644.450439980076</v>
      </c>
      <c r="M29">
        <v>12205</v>
      </c>
      <c r="N29">
        <f>F29/40</f>
        <v>34008</v>
      </c>
      <c r="O29">
        <v>19400</v>
      </c>
      <c r="P29">
        <f>N29-M29</f>
        <v>21803</v>
      </c>
      <c r="Q29">
        <v>9700</v>
      </c>
      <c r="R29">
        <v>6147</v>
      </c>
      <c r="S29">
        <v>3553</v>
      </c>
      <c r="T29">
        <v>187</v>
      </c>
      <c r="U29">
        <v>44</v>
      </c>
      <c r="V29">
        <v>71</v>
      </c>
      <c r="W29">
        <v>28</v>
      </c>
      <c r="X29">
        <v>9370</v>
      </c>
      <c r="Y29">
        <v>1130383589.98224</v>
      </c>
      <c r="Z29" t="str">
        <v>Internal, External &amp; Both</v>
      </c>
    </row>
    <row r="55">
      <c r="A55" t="str">
        <v>Z</v>
      </c>
    </row>
  </sheetData>
  <mergeCells count="11">
    <mergeCell ref="Z4:Z5"/>
    <mergeCell ref="A2:Z2"/>
    <mergeCell ref="T4:W4"/>
    <mergeCell ref="N4:S4"/>
    <mergeCell ref="A1:X1"/>
    <mergeCell ref="Y4:Y5"/>
    <mergeCell ref="G4:I4"/>
    <mergeCell ref="J4:L4"/>
    <mergeCell ref="G3:I3"/>
    <mergeCell ref="J3:L3"/>
    <mergeCell ref="D4:F4"/>
  </mergeCells>
  <pageMargins left="0.7" right="0.7" top="0.75" bottom="0.75" header="0.3" footer="0.3"/>
  <ignoredErrors>
    <ignoredError numberStoredAsText="1" sqref="A1:Z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2025-03-31T17:09:28Z</dcterms:created>
  <dcterms:modified xsi:type="dcterms:W3CDTF">2026-07-07T19:55:59Z</dcterms:modified>
  <cp:lastModifiedBy>HP</cp:lastModifiedBy>
  <dc:creator>HP</dc:creator>
</cp:coreProperties>
</file>